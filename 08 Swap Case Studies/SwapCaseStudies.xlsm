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BOOK\.SWAPS_BOOK\08 Swap Case Studies\"/>
    </mc:Choice>
  </mc:AlternateContent>
  <xr:revisionPtr revIDLastSave="0" documentId="13_ncr:1_{4393ECDF-6B9D-40D7-BD7F-D54159FFCC63}" xr6:coauthVersionLast="47" xr6:coauthVersionMax="47" xr10:uidLastSave="{00000000-0000-0000-0000-000000000000}"/>
  <bookViews>
    <workbookView xWindow="13635" yWindow="510" windowWidth="36840" windowHeight="13335" xr2:uid="{85267533-0016-427F-8F6D-9C02F5020E56}"/>
  </bookViews>
  <sheets>
    <sheet name="Template" sheetId="4" r:id="rId1"/>
    <sheet name="USD Swap Price" sheetId="6" r:id="rId2"/>
    <sheet name="USD Swap Risk" sheetId="2" r:id="rId3"/>
    <sheet name="EUR Swap Price" sheetId="5" r:id="rId4"/>
  </sheets>
  <calcPr calcId="191029" calcOnSave="0" concurrentCalc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9" i="2" l="1"/>
  <c r="J45" i="2"/>
  <c r="J48" i="2"/>
  <c r="I45" i="2"/>
  <c r="G45" i="2"/>
  <c r="J40" i="2"/>
  <c r="J47" i="2"/>
  <c r="H45" i="2"/>
  <c r="F45" i="2"/>
  <c r="I40" i="2"/>
  <c r="H40" i="2"/>
  <c r="W35" i="2"/>
  <c r="J35" i="2"/>
  <c r="A12" i="2"/>
  <c r="Y8" i="2"/>
  <c r="T8" i="2"/>
  <c r="Q29" i="2"/>
  <c r="U8" i="2"/>
  <c r="R29" i="2"/>
  <c r="S29" i="2"/>
  <c r="T29" i="2"/>
  <c r="U29" i="2"/>
  <c r="X8" i="2"/>
  <c r="AB8" i="2"/>
  <c r="V19" i="2"/>
  <c r="U9" i="2"/>
  <c r="X9" i="2"/>
  <c r="Y9" i="2"/>
  <c r="AB9" i="2"/>
  <c r="V20" i="2"/>
  <c r="V21" i="2"/>
  <c r="V29" i="2"/>
  <c r="W29" i="2"/>
  <c r="T9" i="2"/>
  <c r="Q30" i="2"/>
  <c r="R30" i="2"/>
  <c r="S30" i="2"/>
  <c r="T30" i="2"/>
  <c r="U30" i="2"/>
  <c r="V30" i="2"/>
  <c r="W30" i="2"/>
  <c r="W31" i="2"/>
  <c r="U35" i="2"/>
  <c r="Q25" i="2"/>
  <c r="I8" i="2"/>
  <c r="G13" i="2"/>
  <c r="A11" i="2"/>
  <c r="K8" i="2"/>
  <c r="H13" i="2"/>
  <c r="I13" i="2"/>
  <c r="J13" i="2"/>
  <c r="I9" i="2"/>
  <c r="G14" i="2"/>
  <c r="K9" i="2"/>
  <c r="H14" i="2"/>
  <c r="I14" i="2"/>
  <c r="J14" i="2"/>
  <c r="J15" i="2"/>
  <c r="R25" i="2"/>
  <c r="S25" i="2"/>
  <c r="V35" i="2"/>
  <c r="I35" i="2"/>
  <c r="H8" i="2"/>
  <c r="E29" i="2"/>
  <c r="F29" i="2"/>
  <c r="G29" i="2"/>
  <c r="H29" i="2"/>
  <c r="J29" i="2"/>
  <c r="H9" i="2"/>
  <c r="E30" i="2"/>
  <c r="F30" i="2"/>
  <c r="G30" i="2"/>
  <c r="H30" i="2"/>
  <c r="J30" i="2"/>
  <c r="J31" i="2"/>
  <c r="H35" i="2"/>
  <c r="Z8" i="2"/>
  <c r="Z9" i="2"/>
  <c r="I30" i="2"/>
  <c r="I29" i="2"/>
  <c r="Q13" i="2"/>
  <c r="R13" i="2"/>
  <c r="S13" i="2"/>
  <c r="T13" i="2"/>
  <c r="Q14" i="2"/>
  <c r="R14" i="2"/>
  <c r="S14" i="2"/>
  <c r="T14" i="2"/>
  <c r="T15" i="2"/>
  <c r="H25" i="2"/>
  <c r="I25" i="2"/>
  <c r="A7" i="2"/>
  <c r="F25" i="2"/>
  <c r="G25" i="2"/>
  <c r="J25" i="2"/>
  <c r="J8" i="2"/>
  <c r="L8" i="2"/>
  <c r="N8" i="2"/>
  <c r="J19" i="2"/>
  <c r="J9" i="2"/>
  <c r="L9" i="2"/>
  <c r="N9" i="2"/>
  <c r="J20" i="2"/>
  <c r="J21" i="2"/>
  <c r="E19" i="2"/>
  <c r="F19" i="2"/>
  <c r="G19" i="2"/>
  <c r="H19" i="2"/>
  <c r="I19" i="2"/>
  <c r="E20" i="2"/>
  <c r="F20" i="2"/>
  <c r="G20" i="2"/>
  <c r="H20" i="2"/>
  <c r="I20" i="2"/>
  <c r="AB6" i="2"/>
  <c r="Z6" i="2"/>
  <c r="N6" i="2"/>
  <c r="L6" i="2"/>
  <c r="C19" i="2"/>
  <c r="C20" i="2"/>
  <c r="C18" i="2"/>
  <c r="C25" i="2"/>
  <c r="C24" i="2"/>
  <c r="C27" i="2"/>
  <c r="C26" i="2"/>
  <c r="R19" i="2"/>
  <c r="R20" i="2"/>
  <c r="U20" i="2"/>
  <c r="T20" i="2"/>
  <c r="S20" i="2"/>
  <c r="Q20" i="2"/>
  <c r="U19" i="2"/>
  <c r="T19" i="2"/>
  <c r="S19" i="2"/>
  <c r="Q19" i="2"/>
  <c r="U8" i="6"/>
  <c r="X8" i="6"/>
  <c r="A12" i="6"/>
  <c r="Y8" i="6"/>
  <c r="AB8" i="6"/>
  <c r="U9" i="6"/>
  <c r="X9" i="6"/>
  <c r="Y9" i="6"/>
  <c r="AB9" i="6"/>
  <c r="U10" i="6"/>
  <c r="X10" i="6"/>
  <c r="Y10" i="6"/>
  <c r="AB10" i="6"/>
  <c r="U11" i="6"/>
  <c r="X11" i="6"/>
  <c r="Y11" i="6"/>
  <c r="AB11" i="6"/>
  <c r="U12" i="6"/>
  <c r="X12" i="6"/>
  <c r="Y12" i="6"/>
  <c r="AB12" i="6"/>
  <c r="C20" i="6"/>
  <c r="I8" i="6"/>
  <c r="J8" i="6"/>
  <c r="A11" i="6"/>
  <c r="K8" i="6"/>
  <c r="L8" i="6"/>
  <c r="N8" i="6"/>
  <c r="I9" i="6"/>
  <c r="J9" i="6"/>
  <c r="K9" i="6"/>
  <c r="L9" i="6"/>
  <c r="N9" i="6"/>
  <c r="I10" i="6"/>
  <c r="J10" i="6"/>
  <c r="K10" i="6"/>
  <c r="L10" i="6"/>
  <c r="N10" i="6"/>
  <c r="I11" i="6"/>
  <c r="J11" i="6"/>
  <c r="K11" i="6"/>
  <c r="L11" i="6"/>
  <c r="N11" i="6"/>
  <c r="I12" i="6"/>
  <c r="J12" i="6"/>
  <c r="K12" i="6"/>
  <c r="L12" i="6"/>
  <c r="N12" i="6"/>
  <c r="C19" i="6"/>
  <c r="A7" i="6"/>
  <c r="C18" i="6"/>
  <c r="Z12" i="6"/>
  <c r="T8" i="6"/>
  <c r="T9" i="6"/>
  <c r="T10" i="6"/>
  <c r="T11" i="6"/>
  <c r="T12" i="6"/>
  <c r="C3" i="6"/>
  <c r="Q8" i="6"/>
  <c r="R8" i="6"/>
  <c r="Q9" i="6"/>
  <c r="R9" i="6"/>
  <c r="Q10" i="6"/>
  <c r="R10" i="6"/>
  <c r="Q11" i="6"/>
  <c r="R11" i="6"/>
  <c r="Q12" i="6"/>
  <c r="R12" i="6"/>
  <c r="S12" i="6"/>
  <c r="P12" i="6"/>
  <c r="H8" i="6"/>
  <c r="H9" i="6"/>
  <c r="H10" i="6"/>
  <c r="H11" i="6"/>
  <c r="H12" i="6"/>
  <c r="E8" i="6"/>
  <c r="F8" i="6"/>
  <c r="E9" i="6"/>
  <c r="F9" i="6"/>
  <c r="E10" i="6"/>
  <c r="F10" i="6"/>
  <c r="E11" i="6"/>
  <c r="F11" i="6"/>
  <c r="E12" i="6"/>
  <c r="F12" i="6"/>
  <c r="G12" i="6"/>
  <c r="Z11" i="6"/>
  <c r="S11" i="6"/>
  <c r="P11" i="6"/>
  <c r="G11" i="6"/>
  <c r="Z10" i="6"/>
  <c r="S10" i="6"/>
  <c r="P10" i="6"/>
  <c r="G10" i="6"/>
  <c r="Z9" i="6"/>
  <c r="S9" i="6"/>
  <c r="P9" i="6"/>
  <c r="G9" i="6"/>
  <c r="Z8" i="6"/>
  <c r="S8" i="6"/>
  <c r="P8" i="6"/>
  <c r="G8" i="6"/>
  <c r="AB6" i="6"/>
  <c r="Z6" i="6"/>
  <c r="N6" i="6"/>
  <c r="L6" i="6"/>
  <c r="U8" i="5"/>
  <c r="X8" i="5"/>
  <c r="A12" i="5"/>
  <c r="Y8" i="5"/>
  <c r="AB8" i="5"/>
  <c r="U9" i="5"/>
  <c r="X9" i="5"/>
  <c r="Y9" i="5"/>
  <c r="AB9" i="5"/>
  <c r="U10" i="5"/>
  <c r="X10" i="5"/>
  <c r="Y10" i="5"/>
  <c r="AB10" i="5"/>
  <c r="U11" i="5"/>
  <c r="X11" i="5"/>
  <c r="Y11" i="5"/>
  <c r="AB11" i="5"/>
  <c r="C20" i="5"/>
  <c r="U8" i="4"/>
  <c r="X8" i="4"/>
  <c r="A12" i="4"/>
  <c r="Y8" i="4"/>
  <c r="AB8" i="4"/>
  <c r="U9" i="4"/>
  <c r="X9" i="4"/>
  <c r="Y9" i="4"/>
  <c r="AB9" i="4"/>
  <c r="U10" i="4"/>
  <c r="X10" i="4"/>
  <c r="Y10" i="4"/>
  <c r="AB10" i="4"/>
  <c r="U11" i="4"/>
  <c r="X11" i="4"/>
  <c r="Y11" i="4"/>
  <c r="AB11" i="4"/>
  <c r="U12" i="4"/>
  <c r="X12" i="4"/>
  <c r="Y12" i="4"/>
  <c r="AB12" i="4"/>
  <c r="U13" i="4"/>
  <c r="X13" i="4"/>
  <c r="Y13" i="4"/>
  <c r="AB13" i="4"/>
  <c r="U14" i="4"/>
  <c r="X14" i="4"/>
  <c r="Y14" i="4"/>
  <c r="AB14" i="4"/>
  <c r="U15" i="4"/>
  <c r="X15" i="4"/>
  <c r="Y15" i="4"/>
  <c r="AB15" i="4"/>
  <c r="U16" i="4"/>
  <c r="X16" i="4"/>
  <c r="Y16" i="4"/>
  <c r="AB16" i="4"/>
  <c r="U17" i="4"/>
  <c r="X17" i="4"/>
  <c r="Y17" i="4"/>
  <c r="AB17" i="4"/>
  <c r="U18" i="4"/>
  <c r="X18" i="4"/>
  <c r="Y18" i="4"/>
  <c r="AB18" i="4"/>
  <c r="U19" i="4"/>
  <c r="X19" i="4"/>
  <c r="Y19" i="4"/>
  <c r="AB19" i="4"/>
  <c r="U20" i="4"/>
  <c r="X20" i="4"/>
  <c r="Y20" i="4"/>
  <c r="AB20" i="4"/>
  <c r="U21" i="4"/>
  <c r="X21" i="4"/>
  <c r="Y21" i="4"/>
  <c r="AB21" i="4"/>
  <c r="U22" i="4"/>
  <c r="X22" i="4"/>
  <c r="Y22" i="4"/>
  <c r="AB22" i="4"/>
  <c r="U23" i="4"/>
  <c r="X23" i="4"/>
  <c r="Y23" i="4"/>
  <c r="AB23" i="4"/>
  <c r="U24" i="4"/>
  <c r="X24" i="4"/>
  <c r="Y24" i="4"/>
  <c r="AB24" i="4"/>
  <c r="U25" i="4"/>
  <c r="X25" i="4"/>
  <c r="Y25" i="4"/>
  <c r="AB25" i="4"/>
  <c r="U26" i="4"/>
  <c r="X26" i="4"/>
  <c r="Y26" i="4"/>
  <c r="AB26" i="4"/>
  <c r="U27" i="4"/>
  <c r="X27" i="4"/>
  <c r="Y27" i="4"/>
  <c r="AB27" i="4"/>
  <c r="C20" i="4"/>
  <c r="A7" i="5"/>
  <c r="I8" i="5"/>
  <c r="J8" i="5"/>
  <c r="A11" i="5"/>
  <c r="K8" i="5"/>
  <c r="L8" i="5"/>
  <c r="N8" i="5"/>
  <c r="I9" i="5"/>
  <c r="J9" i="5"/>
  <c r="K9" i="5"/>
  <c r="L9" i="5"/>
  <c r="N9" i="5"/>
  <c r="C19" i="5"/>
  <c r="C18" i="5"/>
  <c r="T8" i="5"/>
  <c r="T9" i="5"/>
  <c r="T10" i="5"/>
  <c r="T11" i="5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C25" i="5"/>
  <c r="Z11" i="5"/>
  <c r="C3" i="5"/>
  <c r="Q8" i="5"/>
  <c r="R8" i="5"/>
  <c r="Q9" i="5"/>
  <c r="R9" i="5"/>
  <c r="Q10" i="5"/>
  <c r="R10" i="5"/>
  <c r="Q11" i="5"/>
  <c r="R11" i="5"/>
  <c r="S11" i="5"/>
  <c r="P11" i="5"/>
  <c r="Z10" i="5"/>
  <c r="S10" i="5"/>
  <c r="P10" i="5"/>
  <c r="Z9" i="5"/>
  <c r="S9" i="5"/>
  <c r="P9" i="5"/>
  <c r="H8" i="5"/>
  <c r="H9" i="5"/>
  <c r="E8" i="5"/>
  <c r="F8" i="5"/>
  <c r="E9" i="5"/>
  <c r="F9" i="5"/>
  <c r="G9" i="5"/>
  <c r="Z8" i="5"/>
  <c r="S8" i="5"/>
  <c r="P8" i="5"/>
  <c r="G8" i="5"/>
  <c r="AB6" i="5"/>
  <c r="Z6" i="5"/>
  <c r="N6" i="5"/>
  <c r="L6" i="5"/>
  <c r="Z27" i="4"/>
  <c r="C3" i="4"/>
  <c r="Q8" i="4"/>
  <c r="R8" i="4"/>
  <c r="Q9" i="4"/>
  <c r="R9" i="4"/>
  <c r="Q10" i="4"/>
  <c r="R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Q22" i="4"/>
  <c r="R22" i="4"/>
  <c r="Q23" i="4"/>
  <c r="R23" i="4"/>
  <c r="Q24" i="4"/>
  <c r="R24" i="4"/>
  <c r="Q25" i="4"/>
  <c r="R25" i="4"/>
  <c r="Q26" i="4"/>
  <c r="R26" i="4"/>
  <c r="Q27" i="4"/>
  <c r="R27" i="4"/>
  <c r="S27" i="4"/>
  <c r="P27" i="4"/>
  <c r="Z26" i="4"/>
  <c r="S26" i="4"/>
  <c r="P26" i="4"/>
  <c r="Z25" i="4"/>
  <c r="S25" i="4"/>
  <c r="P25" i="4"/>
  <c r="Z24" i="4"/>
  <c r="S24" i="4"/>
  <c r="P24" i="4"/>
  <c r="Z23" i="4"/>
  <c r="S23" i="4"/>
  <c r="P23" i="4"/>
  <c r="Z22" i="4"/>
  <c r="S22" i="4"/>
  <c r="P22" i="4"/>
  <c r="Z21" i="4"/>
  <c r="S21" i="4"/>
  <c r="P21" i="4"/>
  <c r="Z20" i="4"/>
  <c r="S20" i="4"/>
  <c r="P20" i="4"/>
  <c r="Z19" i="4"/>
  <c r="S19" i="4"/>
  <c r="P19" i="4"/>
  <c r="Z18" i="4"/>
  <c r="S18" i="4"/>
  <c r="P18" i="4"/>
  <c r="Z17" i="4"/>
  <c r="S17" i="4"/>
  <c r="P17" i="4"/>
  <c r="Z16" i="4"/>
  <c r="S16" i="4"/>
  <c r="P16" i="4"/>
  <c r="Z15" i="4"/>
  <c r="S15" i="4"/>
  <c r="P15" i="4"/>
  <c r="Z14" i="4"/>
  <c r="S14" i="4"/>
  <c r="P14" i="4"/>
  <c r="Z13" i="4"/>
  <c r="S13" i="4"/>
  <c r="P13" i="4"/>
  <c r="I27" i="4"/>
  <c r="J27" i="4"/>
  <c r="A11" i="4"/>
  <c r="K27" i="4"/>
  <c r="L27" i="4"/>
  <c r="N27" i="4"/>
  <c r="K8" i="4"/>
  <c r="H8" i="4"/>
  <c r="K9" i="4"/>
  <c r="H9" i="4"/>
  <c r="K10" i="4"/>
  <c r="H10" i="4"/>
  <c r="K11" i="4"/>
  <c r="H11" i="4"/>
  <c r="K12" i="4"/>
  <c r="H12" i="4"/>
  <c r="K13" i="4"/>
  <c r="H13" i="4"/>
  <c r="K14" i="4"/>
  <c r="H14" i="4"/>
  <c r="K15" i="4"/>
  <c r="H15" i="4"/>
  <c r="K16" i="4"/>
  <c r="H16" i="4"/>
  <c r="K17" i="4"/>
  <c r="H17" i="4"/>
  <c r="K18" i="4"/>
  <c r="H18" i="4"/>
  <c r="K19" i="4"/>
  <c r="H19" i="4"/>
  <c r="K20" i="4"/>
  <c r="H20" i="4"/>
  <c r="K21" i="4"/>
  <c r="H21" i="4"/>
  <c r="K22" i="4"/>
  <c r="H22" i="4"/>
  <c r="K23" i="4"/>
  <c r="H23" i="4"/>
  <c r="K24" i="4"/>
  <c r="H24" i="4"/>
  <c r="K25" i="4"/>
  <c r="H25" i="4"/>
  <c r="K26" i="4"/>
  <c r="H26" i="4"/>
  <c r="H2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G27" i="4"/>
  <c r="I26" i="4"/>
  <c r="J26" i="4"/>
  <c r="L26" i="4"/>
  <c r="N26" i="4"/>
  <c r="G26" i="4"/>
  <c r="I25" i="4"/>
  <c r="J25" i="4"/>
  <c r="L25" i="4"/>
  <c r="N25" i="4"/>
  <c r="G25" i="4"/>
  <c r="I24" i="4"/>
  <c r="J24" i="4"/>
  <c r="L24" i="4"/>
  <c r="N24" i="4"/>
  <c r="G24" i="4"/>
  <c r="I23" i="4"/>
  <c r="J23" i="4"/>
  <c r="L23" i="4"/>
  <c r="N23" i="4"/>
  <c r="G23" i="4"/>
  <c r="I22" i="4"/>
  <c r="J22" i="4"/>
  <c r="L22" i="4"/>
  <c r="N22" i="4"/>
  <c r="G22" i="4"/>
  <c r="I21" i="4"/>
  <c r="J21" i="4"/>
  <c r="L21" i="4"/>
  <c r="N21" i="4"/>
  <c r="G21" i="4"/>
  <c r="I20" i="4"/>
  <c r="J20" i="4"/>
  <c r="L20" i="4"/>
  <c r="N20" i="4"/>
  <c r="G20" i="4"/>
  <c r="I19" i="4"/>
  <c r="J19" i="4"/>
  <c r="L19" i="4"/>
  <c r="N19" i="4"/>
  <c r="G19" i="4"/>
  <c r="I18" i="4"/>
  <c r="J18" i="4"/>
  <c r="L18" i="4"/>
  <c r="N18" i="4"/>
  <c r="G18" i="4"/>
  <c r="I17" i="4"/>
  <c r="J17" i="4"/>
  <c r="L17" i="4"/>
  <c r="N17" i="4"/>
  <c r="G17" i="4"/>
  <c r="I16" i="4"/>
  <c r="J16" i="4"/>
  <c r="L16" i="4"/>
  <c r="N16" i="4"/>
  <c r="G16" i="4"/>
  <c r="I15" i="4"/>
  <c r="J15" i="4"/>
  <c r="L15" i="4"/>
  <c r="N15" i="4"/>
  <c r="G15" i="4"/>
  <c r="I14" i="4"/>
  <c r="J14" i="4"/>
  <c r="L14" i="4"/>
  <c r="N14" i="4"/>
  <c r="G14" i="4"/>
  <c r="I13" i="4"/>
  <c r="J13" i="4"/>
  <c r="L13" i="4"/>
  <c r="N13" i="4"/>
  <c r="G13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C27" i="4"/>
  <c r="I8" i="4"/>
  <c r="I9" i="4"/>
  <c r="I10" i="4"/>
  <c r="I11" i="4"/>
  <c r="I12" i="4"/>
  <c r="C25" i="4"/>
  <c r="C24" i="4"/>
  <c r="A7" i="4"/>
  <c r="J8" i="4"/>
  <c r="L8" i="4"/>
  <c r="N8" i="4"/>
  <c r="J9" i="4"/>
  <c r="L9" i="4"/>
  <c r="N9" i="4"/>
  <c r="J10" i="4"/>
  <c r="L10" i="4"/>
  <c r="N10" i="4"/>
  <c r="J11" i="4"/>
  <c r="L11" i="4"/>
  <c r="N11" i="4"/>
  <c r="J12" i="4"/>
  <c r="L12" i="4"/>
  <c r="N12" i="4"/>
  <c r="C19" i="4"/>
  <c r="C18" i="4"/>
  <c r="Z12" i="4"/>
  <c r="S12" i="4"/>
  <c r="P12" i="4"/>
  <c r="G12" i="4"/>
  <c r="Z11" i="4"/>
  <c r="S11" i="4"/>
  <c r="P11" i="4"/>
  <c r="G11" i="4"/>
  <c r="Z10" i="4"/>
  <c r="S10" i="4"/>
  <c r="P10" i="4"/>
  <c r="G10" i="4"/>
  <c r="Z9" i="4"/>
  <c r="S9" i="4"/>
  <c r="P9" i="4"/>
  <c r="G9" i="4"/>
  <c r="Z8" i="4"/>
  <c r="S8" i="4"/>
  <c r="P8" i="4"/>
  <c r="G8" i="4"/>
  <c r="AB6" i="4"/>
  <c r="Z6" i="4"/>
  <c r="N6" i="4"/>
  <c r="L6" i="4"/>
  <c r="C3" i="2"/>
  <c r="Q8" i="2"/>
  <c r="R8" i="2"/>
  <c r="Q9" i="2"/>
  <c r="R9" i="2"/>
  <c r="P9" i="2"/>
  <c r="S9" i="2"/>
  <c r="P8" i="2"/>
  <c r="E8" i="2"/>
  <c r="F8" i="2"/>
  <c r="E9" i="2"/>
  <c r="F9" i="2"/>
  <c r="G9" i="2"/>
  <c r="S8" i="2"/>
  <c r="G8" i="2"/>
  <c r="C24" i="5"/>
  <c r="C27" i="5"/>
  <c r="C26" i="5"/>
  <c r="C21" i="5"/>
  <c r="C21" i="2"/>
  <c r="C26" i="4"/>
  <c r="C21" i="4"/>
  <c r="C26" i="6"/>
  <c r="C21" i="6"/>
  <c r="C24" i="6"/>
  <c r="C25" i="6"/>
  <c r="C27" i="6"/>
</calcChain>
</file>

<file path=xl/sharedStrings.xml><?xml version="1.0" encoding="utf-8"?>
<sst xmlns="http://schemas.openxmlformats.org/spreadsheetml/2006/main" count="336" uniqueCount="85">
  <si>
    <t>Refresh</t>
  </si>
  <si>
    <t>Swap Trade Details</t>
  </si>
  <si>
    <t>Fixed Leg</t>
  </si>
  <si>
    <t>Float Leg</t>
  </si>
  <si>
    <t>Payer/Receiver</t>
  </si>
  <si>
    <t>RECEIVER</t>
  </si>
  <si>
    <t>Row</t>
  </si>
  <si>
    <t>Accrual Start</t>
  </si>
  <si>
    <t>Accrual End</t>
  </si>
  <si>
    <t>Pay Date</t>
  </si>
  <si>
    <t>N</t>
  </si>
  <si>
    <t>Fixing Date</t>
  </si>
  <si>
    <t>s</t>
  </si>
  <si>
    <t>Currency</t>
  </si>
  <si>
    <t>EUR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</si>
  <si>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</si>
  <si>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</si>
  <si>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</si>
  <si>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</si>
  <si>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</si>
  <si>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</si>
  <si>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Swap Pricing</t>
  </si>
  <si>
    <t>Swap PV</t>
  </si>
  <si>
    <t>Fixed Leg PV</t>
  </si>
  <si>
    <t>Float Leg PV</t>
  </si>
  <si>
    <t>Par Rate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</si>
  <si>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</si>
  <si>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</si>
  <si>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</si>
  <si>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</si>
  <si>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</si>
  <si>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AsOfDate</t>
  </si>
  <si>
    <t>Effective Lag</t>
  </si>
  <si>
    <t>ANNUAL</t>
  </si>
  <si>
    <t>2D</t>
  </si>
  <si>
    <t>SEMI-ANNUAL</t>
  </si>
  <si>
    <t>USD</t>
  </si>
  <si>
    <t>Fixing Lag</t>
  </si>
  <si>
    <t>Pay Lag</t>
  </si>
  <si>
    <t>PAYER</t>
  </si>
  <si>
    <t>Total NPV</t>
  </si>
  <si>
    <r>
      <t>t</t>
    </r>
    <r>
      <rPr>
        <vertAlign val="subscript"/>
        <sz val="11"/>
        <color theme="0"/>
        <rFont val="Calibri"/>
        <family val="2"/>
        <scheme val="minor"/>
      </rPr>
      <t>i</t>
    </r>
  </si>
  <si>
    <r>
      <t>r</t>
    </r>
    <r>
      <rPr>
        <vertAlign val="superscript"/>
        <sz val="11"/>
        <color theme="0"/>
        <rFont val="Calibri"/>
        <family val="2"/>
        <scheme val="minor"/>
      </rPr>
      <t>Fixed</t>
    </r>
  </si>
  <si>
    <r>
      <t>PV</t>
    </r>
    <r>
      <rPr>
        <vertAlign val="superscript"/>
        <sz val="11"/>
        <color theme="0"/>
        <rFont val="Calibri"/>
        <family val="2"/>
        <scheme val="minor"/>
      </rPr>
      <t>Fixed</t>
    </r>
  </si>
  <si>
    <r>
      <rPr>
        <sz val="11"/>
        <color theme="0"/>
        <rFont val="Symbol"/>
        <family val="1"/>
        <charset val="2"/>
      </rPr>
      <t>t</t>
    </r>
    <r>
      <rPr>
        <vertAlign val="subscript"/>
        <sz val="11"/>
        <color theme="0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</si>
  <si>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0"/>
        <rFont val="Calibri"/>
        <family val="2"/>
        <scheme val="minor"/>
      </rPr>
      <t>E</t>
    </r>
    <r>
      <rPr>
        <sz val="11"/>
        <color theme="0"/>
        <rFont val="Calibri"/>
        <family val="2"/>
        <scheme val="minor"/>
      </rPr>
      <t>, t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 xml:space="preserve"> )</t>
    </r>
  </si>
  <si>
    <r>
      <t>t</t>
    </r>
    <r>
      <rPr>
        <vertAlign val="subscript"/>
        <sz val="11"/>
        <color theme="0"/>
        <rFont val="Calibri"/>
        <family val="2"/>
        <scheme val="minor"/>
      </rPr>
      <t>j</t>
    </r>
  </si>
  <si>
    <r>
      <t>l</t>
    </r>
    <r>
      <rPr>
        <vertAlign val="subscript"/>
        <sz val="11"/>
        <color theme="0"/>
        <rFont val="Calibri"/>
        <family val="2"/>
        <scheme val="minor"/>
      </rPr>
      <t>j-1</t>
    </r>
  </si>
  <si>
    <r>
      <t>l</t>
    </r>
    <r>
      <rPr>
        <vertAlign val="subscript"/>
        <sz val="11"/>
        <color theme="0"/>
        <rFont val="Calibri"/>
        <family val="2"/>
        <scheme val="minor"/>
      </rPr>
      <t>j-1</t>
    </r>
    <r>
      <rPr>
        <sz val="11"/>
        <color theme="0"/>
        <rFont val="Calibri"/>
        <family val="2"/>
        <scheme val="minor"/>
      </rPr>
      <t xml:space="preserve"> + s</t>
    </r>
  </si>
  <si>
    <r>
      <rPr>
        <sz val="11"/>
        <color theme="0"/>
        <rFont val="Symbol"/>
        <family val="1"/>
        <charset val="2"/>
      </rPr>
      <t>t</t>
    </r>
    <r>
      <rPr>
        <vertAlign val="subscript"/>
        <sz val="11"/>
        <color theme="0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</si>
  <si>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0"/>
        <rFont val="Calibri"/>
        <family val="2"/>
        <scheme val="minor"/>
      </rPr>
      <t>E</t>
    </r>
    <r>
      <rPr>
        <sz val="11"/>
        <color theme="0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</si>
  <si>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0"/>
        <rFont val="Calibri"/>
        <family val="2"/>
        <scheme val="minor"/>
      </rPr>
      <t>Float</t>
    </r>
  </si>
  <si>
    <t>Cash Flow</t>
  </si>
  <si>
    <t>Cash Flow Total</t>
  </si>
  <si>
    <r>
      <t>P( t</t>
    </r>
    <r>
      <rPr>
        <vertAlign val="subscript"/>
        <sz val="11"/>
        <color theme="0"/>
        <rFont val="Calibri"/>
        <family val="2"/>
        <scheme val="minor"/>
      </rPr>
      <t>0</t>
    </r>
    <r>
      <rPr>
        <sz val="11"/>
        <color theme="0"/>
        <rFont val="Calibri"/>
        <family val="2"/>
        <scheme val="minor"/>
      </rPr>
      <t>, t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</si>
  <si>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0"/>
        <rFont val="Calibri"/>
        <family val="2"/>
        <scheme val="minor"/>
      </rPr>
      <t>0</t>
    </r>
    <r>
      <rPr>
        <sz val="11"/>
        <color theme="0"/>
        <rFont val="Calibri"/>
        <family val="2"/>
        <scheme val="minor"/>
      </rPr>
      <t>, tj )</t>
    </r>
  </si>
  <si>
    <r>
      <t>p</t>
    </r>
    <r>
      <rPr>
        <vertAlign val="superscript"/>
        <sz val="11"/>
        <color theme="0"/>
        <rFont val="Calibri"/>
        <family val="2"/>
        <scheme val="minor"/>
      </rPr>
      <t>Trade</t>
    </r>
  </si>
  <si>
    <r>
      <t>A</t>
    </r>
    <r>
      <rPr>
        <vertAlign val="subscript"/>
        <sz val="11"/>
        <color theme="0"/>
        <rFont val="Calibri"/>
        <family val="2"/>
        <scheme val="minor"/>
      </rPr>
      <t>N</t>
    </r>
    <r>
      <rPr>
        <vertAlign val="superscript"/>
        <sz val="11"/>
        <color theme="0"/>
        <rFont val="Calibri"/>
        <family val="2"/>
        <scheme val="minor"/>
      </rPr>
      <t>Fixed</t>
    </r>
  </si>
  <si>
    <t>Pay/Rec, φ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</si>
  <si>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vertAlign val="superscript"/>
        <sz val="11"/>
        <color theme="1"/>
        <rFont val="Calibri"/>
        <family val="2"/>
        <scheme val="minor"/>
      </rPr>
      <t>Fixed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</si>
  <si>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vertAlign val="superscript"/>
        <sz val="11"/>
        <color theme="1"/>
        <rFont val="Calibri"/>
        <family val="2"/>
        <scheme val="minor"/>
      </rPr>
      <t>Float</t>
    </r>
  </si>
  <si>
    <r>
      <t>PV</t>
    </r>
    <r>
      <rPr>
        <b/>
        <vertAlign val="superscript"/>
        <sz val="11"/>
        <color theme="1"/>
        <rFont val="Calibri"/>
        <family val="2"/>
        <scheme val="minor"/>
      </rPr>
      <t>Fixed</t>
    </r>
  </si>
  <si>
    <r>
      <t>PV</t>
    </r>
    <r>
      <rPr>
        <b/>
        <vertAlign val="superscript"/>
        <sz val="11"/>
        <color theme="1"/>
        <rFont val="Calibri"/>
        <family val="2"/>
        <scheme val="minor"/>
      </rPr>
      <t>Float</t>
    </r>
  </si>
  <si>
    <t>Annuity Fixed</t>
  </si>
  <si>
    <t>Annuity Float</t>
  </si>
  <si>
    <t>PV Float</t>
  </si>
  <si>
    <t>PV Fixed</t>
  </si>
  <si>
    <t>PV Swap</t>
  </si>
  <si>
    <t>Macaulay's Duration Fixed</t>
  </si>
  <si>
    <t>Macaulay's Duration Float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</si>
  <si>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MAC</t>
    </r>
    <r>
      <rPr>
        <b/>
        <vertAlign val="superscript"/>
        <sz val="11"/>
        <color theme="0"/>
        <rFont val="Calibri"/>
        <family val="2"/>
        <scheme val="minor"/>
      </rPr>
      <t>Fixed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</si>
  <si>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MAC</t>
    </r>
    <r>
      <rPr>
        <b/>
        <vertAlign val="superscript"/>
        <sz val="11"/>
        <color theme="1"/>
        <rFont val="Calibri"/>
        <family val="2"/>
        <scheme val="minor"/>
      </rPr>
      <t>Fixed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</si>
  <si>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MAC</t>
    </r>
    <r>
      <rPr>
        <b/>
        <vertAlign val="superscript"/>
        <sz val="11"/>
        <color theme="1"/>
        <rFont val="Calibri"/>
        <family val="2"/>
        <scheme val="minor"/>
      </rPr>
      <t>Float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</si>
  <si>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MAC</t>
    </r>
    <r>
      <rPr>
        <b/>
        <vertAlign val="superscript"/>
        <sz val="11"/>
        <color theme="0"/>
        <rFont val="Calibri"/>
        <family val="2"/>
        <scheme val="minor"/>
      </rPr>
      <t>Float</t>
    </r>
  </si>
  <si>
    <r>
      <t>A</t>
    </r>
    <r>
      <rPr>
        <vertAlign val="subscript"/>
        <sz val="11"/>
        <color theme="0"/>
        <rFont val="Calibri"/>
        <family val="2"/>
        <scheme val="minor"/>
      </rPr>
      <t>N</t>
    </r>
    <r>
      <rPr>
        <vertAlign val="superscript"/>
        <sz val="11"/>
        <color theme="0"/>
        <rFont val="Calibri"/>
        <family val="2"/>
        <scheme val="minor"/>
      </rPr>
      <t>Float</t>
    </r>
  </si>
  <si>
    <t>Modified Duration Fixed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</si>
  <si>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MOD</t>
    </r>
    <r>
      <rPr>
        <b/>
        <vertAlign val="superscript"/>
        <sz val="11"/>
        <color theme="0"/>
        <rFont val="Calibri"/>
        <family val="2"/>
        <scheme val="minor"/>
      </rPr>
      <t>Fixed</t>
    </r>
  </si>
  <si>
    <t>Modified Duration Float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</si>
  <si>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MOD</t>
    </r>
    <r>
      <rPr>
        <b/>
        <vertAlign val="superscript"/>
        <sz val="11"/>
        <color theme="0"/>
        <rFont val="Calibri"/>
        <family val="2"/>
        <scheme val="minor"/>
      </rPr>
      <t>Float</t>
    </r>
  </si>
  <si>
    <t>PV01</t>
  </si>
  <si>
    <r>
      <t>PV</t>
    </r>
    <r>
      <rPr>
        <vertAlign val="superscript"/>
        <sz val="11"/>
        <color theme="0"/>
        <rFont val="Calibri"/>
        <family val="2"/>
        <scheme val="minor"/>
      </rPr>
      <t>Swap</t>
    </r>
  </si>
  <si>
    <t>DV01</t>
  </si>
  <si>
    <t>Forward Risk</t>
  </si>
  <si>
    <t>DF01</t>
  </si>
  <si>
    <t>Discount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</si>
</sst>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#,##0.0000"/>
    <numFmt numFmtId="166" formatCode="0.000000%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sz val="11"/>
      <color theme="0"/>
      <name val="Symbol"/>
      <family val="1"/>
      <charset val="2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</font>
    <font>
      <sz val="11"/>
      <color rgb="FF0066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15" fontId="7" fillId="2" borderId="1" xfId="0" applyNumberFormat="1" applyFont="1" applyFill="1" applyBorder="1" applyAlignment="1">
      <alignment horizontal="center" vertical="center"/>
    </xf>
    <xf numFmtId="15" fontId="7" fillId="2" borderId="8" xfId="0" applyNumberFormat="1" applyFont="1" applyFill="1" applyBorder="1" applyAlignment="1">
      <alignment horizontal="center" vertical="center"/>
    </xf>
    <xf numFmtId="4" fontId="7" fillId="2" borderId="8" xfId="0" applyNumberFormat="1" applyFont="1" applyFill="1" applyBorder="1" applyAlignment="1">
      <alignment horizontal="center" vertical="center"/>
    </xf>
    <xf numFmtId="3" fontId="7" fillId="2" borderId="8" xfId="0" applyNumberFormat="1" applyFont="1" applyFill="1" applyBorder="1" applyAlignment="1">
      <alignment horizontal="center" vertical="center"/>
    </xf>
    <xf numFmtId="164" fontId="7" fillId="2" borderId="8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15" fontId="7" fillId="2" borderId="7" xfId="0" applyNumberFormat="1" applyFont="1" applyFill="1" applyBorder="1" applyAlignment="1">
      <alignment horizontal="center" vertical="center"/>
    </xf>
    <xf numFmtId="15" fontId="7" fillId="2" borderId="0" xfId="0" applyNumberFormat="1" applyFont="1" applyFill="1" applyAlignment="1">
      <alignment horizontal="center" vertical="center"/>
    </xf>
    <xf numFmtId="4" fontId="7" fillId="2" borderId="0" xfId="0" applyNumberFormat="1" applyFont="1" applyFill="1" applyAlignment="1">
      <alignment horizontal="center" vertical="center"/>
    </xf>
    <xf numFmtId="3" fontId="7" fillId="2" borderId="0" xfId="0" applyNumberFormat="1" applyFont="1" applyFill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4" fontId="0" fillId="4" borderId="1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4" fontId="7" fillId="2" borderId="14" xfId="0" applyNumberFormat="1" applyFont="1" applyFill="1" applyBorder="1" applyAlignment="1">
      <alignment horizontal="center" vertical="center"/>
    </xf>
    <xf numFmtId="3" fontId="7" fillId="2" borderId="10" xfId="0" applyNumberFormat="1" applyFont="1" applyFill="1" applyBorder="1" applyAlignment="1">
      <alignment horizontal="center" vertical="center"/>
    </xf>
    <xf numFmtId="15" fontId="7" fillId="2" borderId="11" xfId="0" applyNumberFormat="1" applyFont="1" applyFill="1" applyBorder="1" applyAlignment="1">
      <alignment horizontal="center" vertical="center"/>
    </xf>
    <xf numFmtId="15" fontId="7" fillId="2" borderId="15" xfId="0" applyNumberFormat="1" applyFont="1" applyFill="1" applyBorder="1" applyAlignment="1">
      <alignment horizontal="center" vertical="center"/>
    </xf>
    <xf numFmtId="4" fontId="7" fillId="2" borderId="15" xfId="0" applyNumberFormat="1" applyFont="1" applyFill="1" applyBorder="1" applyAlignment="1">
      <alignment horizontal="center" vertical="center"/>
    </xf>
    <xf numFmtId="3" fontId="7" fillId="2" borderId="15" xfId="0" applyNumberFormat="1" applyFont="1" applyFill="1" applyBorder="1" applyAlignment="1">
      <alignment horizontal="center" vertical="center"/>
    </xf>
    <xf numFmtId="164" fontId="7" fillId="2" borderId="15" xfId="0" applyNumberFormat="1" applyFont="1" applyFill="1" applyBorder="1" applyAlignment="1">
      <alignment horizontal="center" vertical="center"/>
    </xf>
    <xf numFmtId="165" fontId="7" fillId="2" borderId="10" xfId="0" applyNumberFormat="1" applyFont="1" applyFill="1" applyBorder="1" applyAlignment="1">
      <alignment horizontal="center" vertical="center"/>
    </xf>
    <xf numFmtId="3" fontId="7" fillId="2" borderId="14" xfId="0" applyNumberFormat="1" applyFont="1" applyFill="1" applyBorder="1" applyAlignment="1">
      <alignment horizontal="center" vertical="center"/>
    </xf>
    <xf numFmtId="4" fontId="7" fillId="2" borderId="10" xfId="0" applyNumberFormat="1" applyFont="1" applyFill="1" applyBorder="1" applyAlignment="1">
      <alignment horizontal="center" vertical="center"/>
    </xf>
    <xf numFmtId="15" fontId="0" fillId="4" borderId="13" xfId="0" applyNumberFormat="1" applyFill="1" applyBorder="1" applyAlignment="1">
      <alignment horizontal="center" vertical="center"/>
    </xf>
    <xf numFmtId="3" fontId="0" fillId="2" borderId="13" xfId="0" applyNumberFormat="1" applyFont="1" applyFill="1" applyBorder="1" applyAlignment="1">
      <alignment horizontal="center" vertical="center"/>
    </xf>
    <xf numFmtId="3" fontId="7" fillId="2" borderId="0" xfId="0" applyNumberFormat="1" applyFont="1" applyFill="1" applyBorder="1" applyAlignment="1">
      <alignment horizontal="center" vertical="center"/>
    </xf>
    <xf numFmtId="164" fontId="7" fillId="2" borderId="0" xfId="0" applyNumberFormat="1" applyFont="1" applyFill="1" applyBorder="1" applyAlignment="1">
      <alignment horizontal="center" vertical="center"/>
    </xf>
    <xf numFmtId="165" fontId="7" fillId="2" borderId="0" xfId="0" applyNumberFormat="1" applyFont="1" applyFill="1" applyBorder="1" applyAlignment="1">
      <alignment horizontal="center" vertical="center"/>
    </xf>
    <xf numFmtId="15" fontId="7" fillId="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 applyAlignment="1">
      <alignment horizontal="right" vertical="center"/>
    </xf>
    <xf numFmtId="3" fontId="8" fillId="0" borderId="0" xfId="0" applyNumberFormat="1" applyFont="1" applyAlignment="1">
      <alignment horizontal="right" vertical="center"/>
    </xf>
    <xf numFmtId="4" fontId="7" fillId="2" borderId="9" xfId="0" applyNumberFormat="1" applyFont="1" applyFill="1" applyBorder="1" applyAlignment="1">
      <alignment horizontal="center" vertical="center"/>
    </xf>
    <xf numFmtId="165" fontId="7" fillId="2" borderId="9" xfId="0" applyNumberFormat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right" vertical="center"/>
    </xf>
    <xf numFmtId="4" fontId="7" fillId="2" borderId="0" xfId="0" applyNumberFormat="1" applyFont="1" applyFill="1" applyBorder="1" applyAlignment="1">
      <alignment horizontal="center" vertical="center"/>
    </xf>
    <xf numFmtId="165" fontId="7" fillId="2" borderId="8" xfId="0" applyNumberFormat="1" applyFont="1" applyFill="1" applyBorder="1" applyAlignment="1">
      <alignment horizontal="center" vertical="center"/>
    </xf>
    <xf numFmtId="3" fontId="0" fillId="2" borderId="3" xfId="0" applyNumberFormat="1" applyFont="1" applyFill="1" applyBorder="1" applyAlignment="1">
      <alignment horizontal="center" vertical="center"/>
    </xf>
    <xf numFmtId="3" fontId="0" fillId="2" borderId="5" xfId="0" applyNumberFormat="1" applyFont="1" applyFill="1" applyBorder="1" applyAlignment="1">
      <alignment horizontal="center" vertical="center"/>
    </xf>
    <xf numFmtId="4" fontId="7" fillId="2" borderId="2" xfId="0" applyNumberFormat="1" applyFont="1" applyFill="1" applyBorder="1" applyAlignment="1">
      <alignment horizontal="center" vertical="center"/>
    </xf>
    <xf numFmtId="4" fontId="7" fillId="2" borderId="6" xfId="0" applyNumberFormat="1" applyFont="1" applyFill="1" applyBorder="1" applyAlignment="1">
      <alignment horizontal="center" vertical="center"/>
    </xf>
    <xf numFmtId="166" fontId="7" fillId="2" borderId="12" xfId="0" applyNumberFormat="1" applyFont="1" applyFill="1" applyBorder="1" applyAlignment="1">
      <alignment horizontal="center" vertical="center"/>
    </xf>
    <xf numFmtId="166" fontId="0" fillId="4" borderId="6" xfId="0" applyNumberFormat="1" applyFill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165" fontId="7" fillId="2" borderId="15" xfId="0" applyNumberFormat="1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165" fontId="7" fillId="2" borderId="0" xfId="0" applyNumberFormat="1" applyFont="1" applyFill="1" applyAlignment="1">
      <alignment horizontal="center" vertical="center"/>
    </xf>
    <xf numFmtId="15" fontId="4" fillId="2" borderId="1" xfId="0" applyNumberFormat="1" applyFont="1" applyFill="1" applyBorder="1" applyAlignment="1">
      <alignment horizontal="center" vertical="center"/>
    </xf>
    <xf numFmtId="15" fontId="4" fillId="2" borderId="8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7" fillId="2" borderId="1" xfId="0" applyNumberFormat="1" applyFont="1" applyFill="1" applyBorder="1" applyAlignment="1">
      <alignment horizontal="center" vertical="center"/>
    </xf>
    <xf numFmtId="3" fontId="7" fillId="2" borderId="11" xfId="0" applyNumberFormat="1" applyFont="1" applyFill="1" applyBorder="1" applyAlignment="1">
      <alignment horizontal="center" vertical="center"/>
    </xf>
    <xf numFmtId="4" fontId="7" fillId="2" borderId="3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5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166" fontId="14" fillId="2" borderId="4" xfId="0" applyNumberFormat="1" applyFont="1" applyFill="1" applyBorder="1" applyAlignment="1">
      <alignment horizontal="center" vertical="center"/>
    </xf>
    <xf numFmtId="3" fontId="14" fillId="2" borderId="4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" fontId="7" fillId="2" borderId="1" xfId="0" applyNumberFormat="1" applyFont="1" applyFill="1" applyBorder="1" applyAlignment="1">
      <alignment horizontal="center" vertical="center"/>
    </xf>
    <xf numFmtId="4" fontId="7" fillId="2" borderId="11" xfId="0" applyNumberFormat="1" applyFont="1" applyFill="1" applyBorder="1" applyAlignment="1">
      <alignment horizontal="center" vertical="center"/>
    </xf>
    <xf numFmtId="3" fontId="7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165" fontId="7" fillId="2" borderId="3" xfId="0" applyNumberFormat="1" applyFont="1" applyFill="1" applyBorder="1" applyAlignment="1">
      <alignment horizontal="center" vertical="center"/>
    </xf>
    <xf numFmtId="166" fontId="7" fillId="2" borderId="4" xfId="0" applyNumberFormat="1" applyFont="1" applyFill="1" applyBorder="1" applyAlignment="1">
      <alignment horizontal="center" vertical="center"/>
    </xf>
    <xf numFmtId="4" fontId="7" fillId="6" borderId="5" xfId="0" applyNumberFormat="1" applyFont="1" applyFill="1" applyBorder="1" applyAlignment="1">
      <alignment horizontal="center" vertical="center"/>
    </xf>
    <xf numFmtId="3" fontId="7" fillId="6" borderId="2" xfId="0" applyNumberFormat="1" applyFont="1" applyFill="1" applyBorder="1" applyAlignment="1">
      <alignment horizontal="center" vertical="center"/>
    </xf>
    <xf numFmtId="3" fontId="7" fillId="6" borderId="12" xfId="0" applyNumberFormat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166" fontId="7" fillId="6" borderId="13" xfId="0" applyNumberFormat="1" applyFont="1" applyFill="1" applyBorder="1" applyAlignment="1">
      <alignment horizontal="center" vertical="center"/>
    </xf>
    <xf numFmtId="4" fontId="7" fillId="6" borderId="2" xfId="0" applyNumberFormat="1" applyFont="1" applyFill="1" applyBorder="1" applyAlignment="1">
      <alignment horizontal="center" vertical="center"/>
    </xf>
    <xf numFmtId="4" fontId="7" fillId="6" borderId="12" xfId="0" applyNumberFormat="1" applyFont="1" applyFill="1" applyBorder="1" applyAlignment="1">
      <alignment horizontal="center" vertical="center"/>
    </xf>
    <xf numFmtId="4" fontId="14" fillId="6" borderId="13" xfId="0" applyNumberFormat="1" applyFont="1" applyFill="1" applyBorder="1" applyAlignment="1">
      <alignment horizontal="center" vertical="center"/>
    </xf>
    <xf numFmtId="165" fontId="7" fillId="6" borderId="2" xfId="0" applyNumberFormat="1" applyFont="1" applyFill="1" applyBorder="1" applyAlignment="1">
      <alignment horizontal="center" vertical="center"/>
    </xf>
    <xf numFmtId="165" fontId="7" fillId="6" borderId="12" xfId="0" applyNumberFormat="1" applyFont="1" applyFill="1" applyBorder="1" applyAlignment="1">
      <alignment horizontal="center" vertical="center"/>
    </xf>
    <xf numFmtId="165" fontId="7" fillId="6" borderId="13" xfId="0" applyNumberFormat="1" applyFont="1" applyFill="1" applyBorder="1" applyAlignment="1">
      <alignment horizontal="center" vertical="center"/>
    </xf>
    <xf numFmtId="4" fontId="7" fillId="6" borderId="13" xfId="0" applyNumberFormat="1" applyFont="1" applyFill="1" applyBorder="1" applyAlignment="1">
      <alignment horizontal="center" vertical="center"/>
    </xf>
    <xf numFmtId="4" fontId="14" fillId="2" borderId="4" xfId="0" applyNumberFormat="1" applyFont="1" applyFill="1" applyBorder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165" fontId="14" fillId="2" borderId="4" xfId="0" applyNumberFormat="1" applyFont="1" applyFill="1" applyBorder="1" applyAlignment="1">
      <alignment horizontal="center" vertical="center"/>
    </xf>
    <xf numFmtId="4" fontId="0" fillId="0" borderId="16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2" name="Picture 1">
          <a:extLst>
            <a:ext uri="{FF2B5EF4-FFF2-40B4-BE49-F238E27FC236}">
              <a16:creationId xmlns:a16="http://schemas.microsoft.com/office/drawing/2014/main" id="{0C6EB2B1-7FA4-4708-B57E-2ED32C686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2" name="Picture 1">
          <a:extLst>
            <a:ext uri="{FF2B5EF4-FFF2-40B4-BE49-F238E27FC236}">
              <a16:creationId xmlns:a16="http://schemas.microsoft.com/office/drawing/2014/main" id="{F3848454-DFEA-4C08-8C2E-9CC2FEE85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3" name="Picture 2">
          <a:extLst>
            <a:ext uri="{FF2B5EF4-FFF2-40B4-BE49-F238E27FC236}">
              <a16:creationId xmlns:a16="http://schemas.microsoft.com/office/drawing/2014/main" id="{2F402D38-A08B-4408-BB62-B721B05EF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  <xdr:oneCellAnchor>
    <xdr:from>
      <xdr:col>10</xdr:col>
      <xdr:colOff>171450</xdr:colOff>
      <xdr:row>11</xdr:row>
      <xdr:rowOff>38100</xdr:rowOff>
    </xdr:from>
    <xdr:ext cx="1628775" cy="588499"/>
    <xdr:pic>
      <xdr:nvPicPr>
        <xdr:cNvPr id="4" name="Picture 3">
          <a:extLst>
            <a:ext uri="{FF2B5EF4-FFF2-40B4-BE49-F238E27FC236}">
              <a16:creationId xmlns:a16="http://schemas.microsoft.com/office/drawing/2014/main" id="{79089C6F-9223-45B6-88DF-3614B8736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58325" y="2009775"/>
          <a:ext cx="1628775" cy="588499"/>
        </a:xfrm>
        <a:prstGeom prst="rect">
          <a:avLst/>
        </a:prstGeom>
      </xdr:spPr>
    </xdr:pic>
    <xdr:clientData/>
  </xdr:oneCellAnchor>
  <xdr:oneCellAnchor>
    <xdr:from>
      <xdr:col>20</xdr:col>
      <xdr:colOff>190500</xdr:colOff>
      <xdr:row>11</xdr:row>
      <xdr:rowOff>38100</xdr:rowOff>
    </xdr:from>
    <xdr:ext cx="1628775" cy="588499"/>
    <xdr:pic>
      <xdr:nvPicPr>
        <xdr:cNvPr id="6" name="Picture 5">
          <a:extLst>
            <a:ext uri="{FF2B5EF4-FFF2-40B4-BE49-F238E27FC236}">
              <a16:creationId xmlns:a16="http://schemas.microsoft.com/office/drawing/2014/main" id="{599895F6-9B87-4C79-9829-41658D96E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54725" y="2009775"/>
          <a:ext cx="1628775" cy="588499"/>
        </a:xfrm>
        <a:prstGeom prst="rect">
          <a:avLst/>
        </a:prstGeom>
      </xdr:spPr>
    </xdr:pic>
    <xdr:clientData/>
  </xdr:oneCellAnchor>
  <xdr:twoCellAnchor editAs="oneCell">
    <xdr:from>
      <xdr:col>22</xdr:col>
      <xdr:colOff>123826</xdr:colOff>
      <xdr:row>17</xdr:row>
      <xdr:rowOff>29187</xdr:rowOff>
    </xdr:from>
    <xdr:to>
      <xdr:col>25</xdr:col>
      <xdr:colOff>600076</xdr:colOff>
      <xdr:row>20</xdr:row>
      <xdr:rowOff>47765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DE3C38-460B-8D8C-E19D-A4CC07A77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50151" y="3181962"/>
          <a:ext cx="2895600" cy="628178"/>
        </a:xfrm>
        <a:prstGeom prst="rect">
          <a:avLst/>
        </a:prstGeom>
      </xdr:spPr>
    </xdr:pic>
    <xdr:clientData/>
  </xdr:twoCellAnchor>
  <xdr:twoCellAnchor editAs="oneCell">
    <xdr:from>
      <xdr:col>10</xdr:col>
      <xdr:colOff>133350</xdr:colOff>
      <xdr:row>16</xdr:row>
      <xdr:rowOff>183399</xdr:rowOff>
    </xdr:from>
    <xdr:to>
      <xdr:col>13</xdr:col>
      <xdr:colOff>181497</xdr:colOff>
      <xdr:row>20</xdr:row>
      <xdr:rowOff>66816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BA708F4-532A-100D-8686-10DF102D1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82325" y="3945774"/>
          <a:ext cx="2534172" cy="683517"/>
        </a:xfrm>
        <a:prstGeom prst="rect">
          <a:avLst/>
        </a:prstGeom>
      </xdr:spPr>
    </xdr:pic>
    <xdr:clientData/>
  </xdr:twoCellAnchor>
  <xdr:twoCellAnchor editAs="oneCell">
    <xdr:from>
      <xdr:col>10</xdr:col>
      <xdr:colOff>95250</xdr:colOff>
      <xdr:row>23</xdr:row>
      <xdr:rowOff>29583</xdr:rowOff>
    </xdr:from>
    <xdr:to>
      <xdr:col>13</xdr:col>
      <xdr:colOff>401</xdr:colOff>
      <xdr:row>24</xdr:row>
      <xdr:rowOff>181038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7D73698-0961-E92B-4C31-E5A85389E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63175" y="5325483"/>
          <a:ext cx="2391176" cy="380055"/>
        </a:xfrm>
        <a:prstGeom prst="rect">
          <a:avLst/>
        </a:prstGeom>
      </xdr:spPr>
    </xdr:pic>
    <xdr:clientData/>
  </xdr:twoCellAnchor>
  <xdr:twoCellAnchor editAs="oneCell">
    <xdr:from>
      <xdr:col>19</xdr:col>
      <xdr:colOff>104775</xdr:colOff>
      <xdr:row>22</xdr:row>
      <xdr:rowOff>133350</xdr:rowOff>
    </xdr:from>
    <xdr:to>
      <xdr:col>21</xdr:col>
      <xdr:colOff>281581</xdr:colOff>
      <xdr:row>25</xdr:row>
      <xdr:rowOff>114396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2DFA6D-21F9-90D0-F7E5-CC3930FE1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91650" y="3133725"/>
          <a:ext cx="1738906" cy="619221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76201</xdr:colOff>
      <xdr:row>27</xdr:row>
      <xdr:rowOff>105455</xdr:rowOff>
    </xdr:from>
    <xdr:to>
      <xdr:col>14</xdr:col>
      <xdr:colOff>438150</xdr:colOff>
      <xdr:row>30</xdr:row>
      <xdr:rowOff>9651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B4F08E-65E4-B8A4-7EF2-B40B05534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44126" y="6201455"/>
          <a:ext cx="3629024" cy="513796"/>
        </a:xfrm>
        <a:prstGeom prst="rect">
          <a:avLst/>
        </a:prstGeom>
      </xdr:spPr>
    </xdr:pic>
    <xdr:clientData/>
  </xdr:twoCellAnchor>
  <xdr:twoCellAnchor editAs="oneCell">
    <xdr:from>
      <xdr:col>23</xdr:col>
      <xdr:colOff>152400</xdr:colOff>
      <xdr:row>27</xdr:row>
      <xdr:rowOff>71414</xdr:rowOff>
    </xdr:from>
    <xdr:to>
      <xdr:col>28</xdr:col>
      <xdr:colOff>305921</xdr:colOff>
      <xdr:row>29</xdr:row>
      <xdr:rowOff>162065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3D46DBC-33C3-05FF-457E-C2C325053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935575" y="6167414"/>
          <a:ext cx="4058771" cy="509751"/>
        </a:xfrm>
        <a:prstGeom prst="rect">
          <a:avLst/>
        </a:prstGeom>
      </xdr:spPr>
    </xdr:pic>
    <xdr:clientData/>
  </xdr:twoCellAnchor>
  <xdr:twoCellAnchor editAs="oneCell">
    <xdr:from>
      <xdr:col>10</xdr:col>
      <xdr:colOff>133350</xdr:colOff>
      <xdr:row>32</xdr:row>
      <xdr:rowOff>145518</xdr:rowOff>
    </xdr:from>
    <xdr:to>
      <xdr:col>12</xdr:col>
      <xdr:colOff>543432</xdr:colOff>
      <xdr:row>35</xdr:row>
      <xdr:rowOff>28693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054F5D-0138-1BF6-BA0A-19A56B428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15250" y="6670143"/>
          <a:ext cx="2115057" cy="492775"/>
        </a:xfrm>
        <a:prstGeom prst="rect">
          <a:avLst/>
        </a:prstGeom>
      </xdr:spPr>
    </xdr:pic>
    <xdr:clientData/>
  </xdr:twoCellAnchor>
  <xdr:twoCellAnchor editAs="oneCell">
    <xdr:from>
      <xdr:col>23</xdr:col>
      <xdr:colOff>148330</xdr:colOff>
      <xdr:row>32</xdr:row>
      <xdr:rowOff>119951</xdr:rowOff>
    </xdr:from>
    <xdr:to>
      <xdr:col>26</xdr:col>
      <xdr:colOff>476250</xdr:colOff>
      <xdr:row>35</xdr:row>
      <xdr:rowOff>9662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090D0FF-1809-708F-F75D-9DC8490D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931505" y="7244651"/>
          <a:ext cx="2671070" cy="499311"/>
        </a:xfrm>
        <a:prstGeom prst="rect">
          <a:avLst/>
        </a:prstGeom>
      </xdr:spPr>
    </xdr:pic>
    <xdr:clientData/>
  </xdr:twoCellAnchor>
  <xdr:twoCellAnchor editAs="oneCell">
    <xdr:from>
      <xdr:col>10</xdr:col>
      <xdr:colOff>142875</xdr:colOff>
      <xdr:row>37</xdr:row>
      <xdr:rowOff>171636</xdr:rowOff>
    </xdr:from>
    <xdr:to>
      <xdr:col>13</xdr:col>
      <xdr:colOff>119322</xdr:colOff>
      <xdr:row>40</xdr:row>
      <xdr:rowOff>95249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7D1918F-C15E-C4E6-3B74-3225F707E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24775" y="7686861"/>
          <a:ext cx="2462472" cy="533213"/>
        </a:xfrm>
        <a:prstGeom prst="rect">
          <a:avLst/>
        </a:prstGeom>
      </xdr:spPr>
    </xdr:pic>
    <xdr:clientData/>
  </xdr:twoCellAnchor>
  <xdr:twoCellAnchor editAs="oneCell">
    <xdr:from>
      <xdr:col>10</xdr:col>
      <xdr:colOff>133350</xdr:colOff>
      <xdr:row>43</xdr:row>
      <xdr:rowOff>9526</xdr:rowOff>
    </xdr:from>
    <xdr:to>
      <xdr:col>17</xdr:col>
      <xdr:colOff>533400</xdr:colOff>
      <xdr:row>45</xdr:row>
      <xdr:rowOff>8961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78B7A87-905D-7249-5193-B23E6C3B3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715250" y="8705851"/>
          <a:ext cx="5838825" cy="4185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2" name="Picture 1">
          <a:extLst>
            <a:ext uri="{FF2B5EF4-FFF2-40B4-BE49-F238E27FC236}">
              <a16:creationId xmlns:a16="http://schemas.microsoft.com/office/drawing/2014/main" id="{BB12DB70-1565-471A-9451-1669B3DD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54AD-355C-4772-AB84-2E7E1A14A27A}">
  <sheetPr codeName="Sheet5"/>
  <dimension ref="A2:AF27"/>
  <sheetViews>
    <sheetView showGridLines="0" tabSelected="1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4" width="11.7109375" style="1" customWidth="1"/>
    <col min="15" max="15" width="9.140625" style="1"/>
    <col min="16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44773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6">
        <f>SUM(L8:L27)</f>
        <v>200000</v>
      </c>
      <c r="N6" s="66">
        <f>SUM(N8:N27)</f>
        <v>200000</v>
      </c>
      <c r="P6" s="4" t="s">
        <v>3</v>
      </c>
      <c r="Z6" s="66">
        <f>SUM(Z8:Z27)</f>
        <v>219800</v>
      </c>
      <c r="AA6" s="61"/>
      <c r="AB6" s="66">
        <f>SUM(AB8:AB27)</f>
        <v>209655.12000000005</v>
      </c>
    </row>
    <row r="7" spans="1:32" ht="18" x14ac:dyDescent="0.25">
      <c r="A7" s="48">
        <f>IF(C7="RECEIVER",1,-1)</f>
        <v>1</v>
      </c>
      <c r="B7" s="6" t="s">
        <v>4</v>
      </c>
      <c r="C7" s="7" t="s">
        <v>5</v>
      </c>
      <c r="D7" s="8" t="s">
        <v>6</v>
      </c>
      <c r="E7" s="63" t="s">
        <v>7</v>
      </c>
      <c r="F7" s="64" t="s">
        <v>8</v>
      </c>
      <c r="G7" s="64" t="s">
        <v>9</v>
      </c>
      <c r="H7" s="64" t="s">
        <v>41</v>
      </c>
      <c r="I7" s="64" t="s">
        <v>10</v>
      </c>
      <c r="J7" s="64" t="s">
        <v>42</v>
      </c>
      <c r="K7" s="64" t="s">
        <v>44</v>
      </c>
      <c r="L7" s="64" t="s">
        <v>52</v>
      </c>
      <c r="M7" s="64" t="s">
        <v>45</v>
      </c>
      <c r="N7" s="65" t="s">
        <v>43</v>
      </c>
      <c r="O7" s="52" t="s">
        <v>6</v>
      </c>
      <c r="P7" s="63" t="s">
        <v>11</v>
      </c>
      <c r="Q7" s="64" t="s">
        <v>7</v>
      </c>
      <c r="R7" s="64" t="s">
        <v>8</v>
      </c>
      <c r="S7" s="64" t="s">
        <v>9</v>
      </c>
      <c r="T7" s="64" t="s">
        <v>46</v>
      </c>
      <c r="U7" s="64" t="s">
        <v>10</v>
      </c>
      <c r="V7" s="64" t="s">
        <v>47</v>
      </c>
      <c r="W7" s="64" t="s">
        <v>12</v>
      </c>
      <c r="X7" s="64" t="s">
        <v>48</v>
      </c>
      <c r="Y7" s="64" t="s">
        <v>49</v>
      </c>
      <c r="Z7" s="64" t="s">
        <v>52</v>
      </c>
      <c r="AA7" s="64" t="s">
        <v>50</v>
      </c>
      <c r="AB7" s="64" t="s">
        <v>51</v>
      </c>
      <c r="AC7" s="9"/>
    </row>
    <row r="8" spans="1:32" x14ac:dyDescent="0.25">
      <c r="A8" s="47"/>
      <c r="B8" s="10" t="s">
        <v>13</v>
      </c>
      <c r="C8" s="11" t="s">
        <v>36</v>
      </c>
      <c r="D8" s="8">
        <v>1</v>
      </c>
      <c r="E8" s="68">
        <f ca="1">$C$3+LEFT($E$3,LEN($E$3)-1)</f>
        <v>44775</v>
      </c>
      <c r="F8" s="13">
        <f ca="1">EDATE(E8,$A$11)</f>
        <v>45140</v>
      </c>
      <c r="G8" s="13">
        <f ca="1">F8+LEFT($G$3,LEN($G$3)-1)</f>
        <v>45142</v>
      </c>
      <c r="H8" s="14">
        <f>K8</f>
        <v>1</v>
      </c>
      <c r="I8" s="15">
        <f t="shared" ref="I8:I27" si="0">$C$9</f>
        <v>1000000</v>
      </c>
      <c r="J8" s="16">
        <f t="shared" ref="J8:J27" si="1">$C$10</f>
        <v>0.01</v>
      </c>
      <c r="K8" s="14">
        <f t="shared" ref="K8:K27" si="2">$A$11/12</f>
        <v>1</v>
      </c>
      <c r="L8" s="14">
        <f>I8*J8*K8</f>
        <v>10000</v>
      </c>
      <c r="M8" s="54">
        <v>1</v>
      </c>
      <c r="N8" s="50">
        <f>L8*M8</f>
        <v>10000</v>
      </c>
      <c r="O8" s="52">
        <v>1</v>
      </c>
      <c r="P8" s="12">
        <f ca="1">Q8-LEFT($P$3,LEN($P$3)-1)</f>
        <v>44773</v>
      </c>
      <c r="Q8" s="69">
        <f ca="1">$C$3+LEFT($Q$3,LEN($E$3)-1)</f>
        <v>44775</v>
      </c>
      <c r="R8" s="13">
        <f ca="1">EDATE(Q8,$A$12)</f>
        <v>45140</v>
      </c>
      <c r="S8" s="13">
        <f ca="1">R8+LEFT($S$3,LEN($S$3)-1)</f>
        <v>45142</v>
      </c>
      <c r="T8" s="14">
        <f>Y8</f>
        <v>1</v>
      </c>
      <c r="U8" s="15">
        <f t="shared" ref="U8:U27" si="3">$C$9</f>
        <v>1000000</v>
      </c>
      <c r="V8" s="16">
        <v>2.8E-3</v>
      </c>
      <c r="W8" s="14">
        <v>0</v>
      </c>
      <c r="X8" s="16">
        <f>V8+W8</f>
        <v>2.8E-3</v>
      </c>
      <c r="Y8" s="14">
        <f t="shared" ref="Y8:Y27" si="4">$A$12/12</f>
        <v>1</v>
      </c>
      <c r="Z8" s="14">
        <f t="shared" ref="Z8:Z27" si="5">U8*X8*Y8</f>
        <v>2800</v>
      </c>
      <c r="AA8" s="54">
        <v>0.99</v>
      </c>
      <c r="AB8" s="50">
        <f t="shared" ref="AB8:AB27" si="6">U8*X8*Y8*AA8</f>
        <v>2772</v>
      </c>
      <c r="AC8" s="9"/>
      <c r="AF8" s="17"/>
    </row>
    <row r="9" spans="1:32" x14ac:dyDescent="0.25">
      <c r="A9" s="47"/>
      <c r="B9" s="10" t="s">
        <v>15</v>
      </c>
      <c r="C9" s="18">
        <v>1000000</v>
      </c>
      <c r="D9" s="8">
        <f>D8+1</f>
        <v>2</v>
      </c>
      <c r="E9" s="19">
        <f ca="1">F8</f>
        <v>45140</v>
      </c>
      <c r="F9" s="46">
        <f ca="1">EDATE(E9,$A$11)</f>
        <v>45506</v>
      </c>
      <c r="G9" s="46">
        <f t="shared" ref="G9:G27" ca="1" si="7">F9+LEFT($G$3,LEN($G$3)-1)</f>
        <v>45508</v>
      </c>
      <c r="H9" s="53">
        <f>H8+K9</f>
        <v>2</v>
      </c>
      <c r="I9" s="43">
        <f t="shared" si="0"/>
        <v>1000000</v>
      </c>
      <c r="J9" s="44">
        <f t="shared" si="1"/>
        <v>0.01</v>
      </c>
      <c r="K9" s="53">
        <f t="shared" si="2"/>
        <v>1</v>
      </c>
      <c r="L9" s="53">
        <f>I9*J9*K9</f>
        <v>10000</v>
      </c>
      <c r="M9" s="45">
        <v>1</v>
      </c>
      <c r="N9" s="40">
        <f>L9*M9</f>
        <v>10000</v>
      </c>
      <c r="O9" s="52">
        <f>O8+1</f>
        <v>2</v>
      </c>
      <c r="P9" s="19">
        <f ca="1">Q9-LEFT($P$3,LEN($P$3)-1)</f>
        <v>45138</v>
      </c>
      <c r="Q9" s="46">
        <f ca="1">R8</f>
        <v>45140</v>
      </c>
      <c r="R9" s="46">
        <f t="shared" ref="R9:R27" ca="1" si="8">EDATE(Q9,$A$12)</f>
        <v>45506</v>
      </c>
      <c r="S9" s="46">
        <f t="shared" ref="S9:S27" ca="1" si="9">R9+LEFT($S$3,LEN($S$3)-1)</f>
        <v>45508</v>
      </c>
      <c r="T9" s="53">
        <f t="shared" ref="T9:T27" si="10">T8+Y9</f>
        <v>2</v>
      </c>
      <c r="U9" s="43">
        <f t="shared" si="3"/>
        <v>1000000</v>
      </c>
      <c r="V9" s="44">
        <v>5.1399999999999996E-3</v>
      </c>
      <c r="W9" s="53">
        <v>0</v>
      </c>
      <c r="X9" s="44">
        <f>V9+W9</f>
        <v>5.1399999999999996E-3</v>
      </c>
      <c r="Y9" s="53">
        <f t="shared" si="4"/>
        <v>1</v>
      </c>
      <c r="Z9" s="53">
        <f t="shared" si="5"/>
        <v>5140</v>
      </c>
      <c r="AA9" s="45">
        <v>0.98040000000000005</v>
      </c>
      <c r="AB9" s="40">
        <f t="shared" si="6"/>
        <v>5039.2560000000003</v>
      </c>
      <c r="AC9" s="9"/>
      <c r="AF9" s="17"/>
    </row>
    <row r="10" spans="1:32" ht="17.25" x14ac:dyDescent="0.25">
      <c r="A10" s="47"/>
      <c r="B10" s="10" t="s">
        <v>16</v>
      </c>
      <c r="C10" s="60">
        <v>0.01</v>
      </c>
      <c r="D10" s="8">
        <f t="shared" ref="D10:D27" si="11">D9+1</f>
        <v>3</v>
      </c>
      <c r="E10" s="19">
        <f ca="1">F9</f>
        <v>45506</v>
      </c>
      <c r="F10" s="46">
        <f ca="1">EDATE(E10,$A$11)</f>
        <v>45871</v>
      </c>
      <c r="G10" s="46">
        <f t="shared" ca="1" si="7"/>
        <v>45873</v>
      </c>
      <c r="H10" s="53">
        <f>H9+K10</f>
        <v>3</v>
      </c>
      <c r="I10" s="43">
        <f t="shared" si="0"/>
        <v>1000000</v>
      </c>
      <c r="J10" s="44">
        <f t="shared" si="1"/>
        <v>0.01</v>
      </c>
      <c r="K10" s="53">
        <f t="shared" si="2"/>
        <v>1</v>
      </c>
      <c r="L10" s="53">
        <f>I10*J10*K10</f>
        <v>10000</v>
      </c>
      <c r="M10" s="45">
        <v>1</v>
      </c>
      <c r="N10" s="40">
        <f>L10*M10</f>
        <v>10000</v>
      </c>
      <c r="O10" s="52">
        <f t="shared" ref="O10:O27" si="12">O9+1</f>
        <v>3</v>
      </c>
      <c r="P10" s="19">
        <f t="shared" ref="P10:P27" ca="1" si="13">Q10-LEFT($P$3,LEN($P$3)-1)</f>
        <v>45504</v>
      </c>
      <c r="Q10" s="46">
        <f ca="1">R9</f>
        <v>45506</v>
      </c>
      <c r="R10" s="46">
        <f t="shared" ca="1" si="8"/>
        <v>45871</v>
      </c>
      <c r="S10" s="46">
        <f t="shared" ca="1" si="9"/>
        <v>45873</v>
      </c>
      <c r="T10" s="53">
        <f t="shared" si="10"/>
        <v>3</v>
      </c>
      <c r="U10" s="43">
        <f t="shared" si="3"/>
        <v>1000000</v>
      </c>
      <c r="V10" s="44">
        <v>7.4799999999999997E-3</v>
      </c>
      <c r="W10" s="53">
        <v>0</v>
      </c>
      <c r="X10" s="44">
        <f>V10+W10</f>
        <v>7.4799999999999997E-3</v>
      </c>
      <c r="Y10" s="53">
        <f t="shared" si="4"/>
        <v>1</v>
      </c>
      <c r="Z10" s="53">
        <f t="shared" si="5"/>
        <v>7480</v>
      </c>
      <c r="AA10" s="45">
        <v>0.9708</v>
      </c>
      <c r="AB10" s="40">
        <f t="shared" si="6"/>
        <v>7261.5839999999998</v>
      </c>
      <c r="AC10" s="9"/>
      <c r="AF10" s="17"/>
    </row>
    <row r="11" spans="1:32" x14ac:dyDescent="0.25">
      <c r="A11" s="49">
        <f>IF(C11="ANNUAL",12,IF(C11="SEMI-ANNUAL",6,IF(C11="QUARTERLY",3,IF(C11="MONTHLY",1,0))))</f>
        <v>12</v>
      </c>
      <c r="B11" s="10" t="s">
        <v>17</v>
      </c>
      <c r="C11" s="24" t="s">
        <v>33</v>
      </c>
      <c r="D11" s="8">
        <f t="shared" si="11"/>
        <v>4</v>
      </c>
      <c r="E11" s="19">
        <f ca="1">F10</f>
        <v>45871</v>
      </c>
      <c r="F11" s="46">
        <f ca="1">EDATE(E11,$A$11)</f>
        <v>46236</v>
      </c>
      <c r="G11" s="46">
        <f t="shared" ca="1" si="7"/>
        <v>46238</v>
      </c>
      <c r="H11" s="53">
        <f>H10+K11</f>
        <v>4</v>
      </c>
      <c r="I11" s="43">
        <f t="shared" si="0"/>
        <v>1000000</v>
      </c>
      <c r="J11" s="44">
        <f t="shared" si="1"/>
        <v>0.01</v>
      </c>
      <c r="K11" s="53">
        <f t="shared" si="2"/>
        <v>1</v>
      </c>
      <c r="L11" s="53">
        <f>I11*J11*K11</f>
        <v>10000</v>
      </c>
      <c r="M11" s="45">
        <v>1</v>
      </c>
      <c r="N11" s="40">
        <f>L11*M11</f>
        <v>10000</v>
      </c>
      <c r="O11" s="52">
        <f t="shared" si="12"/>
        <v>4</v>
      </c>
      <c r="P11" s="19">
        <f t="shared" ca="1" si="13"/>
        <v>45869</v>
      </c>
      <c r="Q11" s="46">
        <f ca="1">R10</f>
        <v>45871</v>
      </c>
      <c r="R11" s="46">
        <f t="shared" ca="1" si="8"/>
        <v>46236</v>
      </c>
      <c r="S11" s="46">
        <f t="shared" ca="1" si="9"/>
        <v>46238</v>
      </c>
      <c r="T11" s="53">
        <f t="shared" si="10"/>
        <v>4</v>
      </c>
      <c r="U11" s="43">
        <f t="shared" si="3"/>
        <v>1000000</v>
      </c>
      <c r="V11" s="44">
        <v>9.8200000000000006E-3</v>
      </c>
      <c r="W11" s="53">
        <v>0</v>
      </c>
      <c r="X11" s="44">
        <f>V11+W11</f>
        <v>9.8200000000000006E-3</v>
      </c>
      <c r="Y11" s="53">
        <f t="shared" si="4"/>
        <v>1</v>
      </c>
      <c r="Z11" s="53">
        <f t="shared" si="5"/>
        <v>9820</v>
      </c>
      <c r="AA11" s="45">
        <v>0.96120000000000005</v>
      </c>
      <c r="AB11" s="40">
        <f t="shared" si="6"/>
        <v>9438.9840000000004</v>
      </c>
      <c r="AC11" s="9"/>
      <c r="AF11" s="17"/>
    </row>
    <row r="12" spans="1:32" x14ac:dyDescent="0.25">
      <c r="A12" s="49">
        <f>IF(C12="ANNUAL",12,IF(C12="SEMI-ANNUAL",6,IF(C12="QUARTERLY",3,IF(C12="MONTHLY",1,0))))</f>
        <v>12</v>
      </c>
      <c r="B12" s="10" t="s">
        <v>18</v>
      </c>
      <c r="C12" s="24" t="s">
        <v>33</v>
      </c>
      <c r="D12" s="8">
        <f t="shared" si="11"/>
        <v>5</v>
      </c>
      <c r="E12" s="19">
        <f ca="1">F11</f>
        <v>46236</v>
      </c>
      <c r="F12" s="46">
        <f ca="1">EDATE(E12,$A$11)</f>
        <v>46601</v>
      </c>
      <c r="G12" s="46">
        <f t="shared" ca="1" si="7"/>
        <v>46603</v>
      </c>
      <c r="H12" s="53">
        <f>H11+K12</f>
        <v>5</v>
      </c>
      <c r="I12" s="43">
        <f t="shared" si="0"/>
        <v>1000000</v>
      </c>
      <c r="J12" s="44">
        <f t="shared" si="1"/>
        <v>0.01</v>
      </c>
      <c r="K12" s="53">
        <f t="shared" si="2"/>
        <v>1</v>
      </c>
      <c r="L12" s="53">
        <f>I12*J12*K12</f>
        <v>10000</v>
      </c>
      <c r="M12" s="45">
        <v>1</v>
      </c>
      <c r="N12" s="40">
        <f>L12*M12</f>
        <v>10000</v>
      </c>
      <c r="O12" s="52">
        <f t="shared" si="12"/>
        <v>5</v>
      </c>
      <c r="P12" s="19">
        <f t="shared" ca="1" si="13"/>
        <v>46234</v>
      </c>
      <c r="Q12" s="46">
        <f ca="1">R11</f>
        <v>46236</v>
      </c>
      <c r="R12" s="46">
        <f t="shared" ca="1" si="8"/>
        <v>46601</v>
      </c>
      <c r="S12" s="46">
        <f t="shared" ca="1" si="9"/>
        <v>46603</v>
      </c>
      <c r="T12" s="53">
        <f t="shared" si="10"/>
        <v>5</v>
      </c>
      <c r="U12" s="43">
        <f t="shared" si="3"/>
        <v>1000000</v>
      </c>
      <c r="V12" s="44">
        <v>1.2160000000000001E-2</v>
      </c>
      <c r="W12" s="53">
        <v>0</v>
      </c>
      <c r="X12" s="44">
        <f>V12+W12</f>
        <v>1.2160000000000001E-2</v>
      </c>
      <c r="Y12" s="53">
        <f t="shared" si="4"/>
        <v>1</v>
      </c>
      <c r="Z12" s="53">
        <f t="shared" si="5"/>
        <v>12160</v>
      </c>
      <c r="AA12" s="45">
        <v>0.9516</v>
      </c>
      <c r="AB12" s="40">
        <f t="shared" si="6"/>
        <v>11571.456</v>
      </c>
      <c r="AC12" s="9"/>
      <c r="AF12" s="17"/>
    </row>
    <row r="13" spans="1:32" x14ac:dyDescent="0.25">
      <c r="A13" s="47"/>
      <c r="B13" s="10" t="s">
        <v>19</v>
      </c>
      <c r="C13" s="25">
        <v>0</v>
      </c>
      <c r="D13" s="8">
        <f t="shared" si="11"/>
        <v>6</v>
      </c>
      <c r="E13" s="19">
        <f t="shared" ref="E13:E27" ca="1" si="14">F12</f>
        <v>46601</v>
      </c>
      <c r="F13" s="46">
        <f t="shared" ref="F13:F27" ca="1" si="15">EDATE(E13,$A$11)</f>
        <v>46967</v>
      </c>
      <c r="G13" s="46">
        <f t="shared" ca="1" si="7"/>
        <v>46969</v>
      </c>
      <c r="H13" s="53">
        <f t="shared" ref="H13:H27" si="16">H12+K13</f>
        <v>6</v>
      </c>
      <c r="I13" s="43">
        <f t="shared" si="0"/>
        <v>1000000</v>
      </c>
      <c r="J13" s="44">
        <f t="shared" si="1"/>
        <v>0.01</v>
      </c>
      <c r="K13" s="53">
        <f t="shared" si="2"/>
        <v>1</v>
      </c>
      <c r="L13" s="53">
        <f t="shared" ref="L13:L27" si="17">I13*J13*K13</f>
        <v>10000</v>
      </c>
      <c r="M13" s="45">
        <v>1</v>
      </c>
      <c r="N13" s="40">
        <f t="shared" ref="N13:N27" si="18">L13*M13</f>
        <v>10000</v>
      </c>
      <c r="O13" s="52">
        <f t="shared" si="12"/>
        <v>6</v>
      </c>
      <c r="P13" s="19">
        <f t="shared" ca="1" si="13"/>
        <v>46599</v>
      </c>
      <c r="Q13" s="46">
        <f t="shared" ref="Q13:Q27" ca="1" si="19">R12</f>
        <v>46601</v>
      </c>
      <c r="R13" s="46">
        <f t="shared" ca="1" si="8"/>
        <v>46967</v>
      </c>
      <c r="S13" s="46">
        <f t="shared" ca="1" si="9"/>
        <v>46969</v>
      </c>
      <c r="T13" s="53">
        <f t="shared" si="10"/>
        <v>6</v>
      </c>
      <c r="U13" s="43">
        <f t="shared" si="3"/>
        <v>1000000</v>
      </c>
      <c r="V13" s="44">
        <v>1.2160000000000001E-2</v>
      </c>
      <c r="W13" s="53">
        <v>0</v>
      </c>
      <c r="X13" s="44">
        <f t="shared" ref="X13:X27" si="20">V13+W13</f>
        <v>1.2160000000000001E-2</v>
      </c>
      <c r="Y13" s="53">
        <f t="shared" si="4"/>
        <v>1</v>
      </c>
      <c r="Z13" s="53">
        <f t="shared" si="5"/>
        <v>12160</v>
      </c>
      <c r="AA13" s="45">
        <v>0.9516</v>
      </c>
      <c r="AB13" s="40">
        <f t="shared" si="6"/>
        <v>11571.456</v>
      </c>
      <c r="AC13" s="9"/>
      <c r="AF13" s="17"/>
    </row>
    <row r="14" spans="1:32" x14ac:dyDescent="0.25">
      <c r="A14" s="47"/>
      <c r="B14" s="26" t="s">
        <v>20</v>
      </c>
      <c r="C14" s="27">
        <v>20</v>
      </c>
      <c r="D14" s="8">
        <f t="shared" si="11"/>
        <v>7</v>
      </c>
      <c r="E14" s="19">
        <f t="shared" ca="1" si="14"/>
        <v>46967</v>
      </c>
      <c r="F14" s="46">
        <f t="shared" ca="1" si="15"/>
        <v>47332</v>
      </c>
      <c r="G14" s="46">
        <f t="shared" ca="1" si="7"/>
        <v>47334</v>
      </c>
      <c r="H14" s="53">
        <f t="shared" si="16"/>
        <v>7</v>
      </c>
      <c r="I14" s="43">
        <f t="shared" si="0"/>
        <v>1000000</v>
      </c>
      <c r="J14" s="44">
        <f t="shared" si="1"/>
        <v>0.01</v>
      </c>
      <c r="K14" s="53">
        <f t="shared" si="2"/>
        <v>1</v>
      </c>
      <c r="L14" s="53">
        <f t="shared" si="17"/>
        <v>10000</v>
      </c>
      <c r="M14" s="45">
        <v>1</v>
      </c>
      <c r="N14" s="40">
        <f t="shared" si="18"/>
        <v>10000</v>
      </c>
      <c r="O14" s="52">
        <f t="shared" si="12"/>
        <v>7</v>
      </c>
      <c r="P14" s="19">
        <f t="shared" ca="1" si="13"/>
        <v>46965</v>
      </c>
      <c r="Q14" s="20">
        <f t="shared" ca="1" si="19"/>
        <v>46967</v>
      </c>
      <c r="R14" s="20">
        <f t="shared" ca="1" si="8"/>
        <v>47332</v>
      </c>
      <c r="S14" s="20">
        <f t="shared" ca="1" si="9"/>
        <v>47334</v>
      </c>
      <c r="T14" s="21">
        <f t="shared" si="10"/>
        <v>7</v>
      </c>
      <c r="U14" s="22">
        <f t="shared" si="3"/>
        <v>1000000</v>
      </c>
      <c r="V14" s="23">
        <v>1.2160000000000001E-2</v>
      </c>
      <c r="W14" s="21">
        <v>0</v>
      </c>
      <c r="X14" s="23">
        <f t="shared" si="20"/>
        <v>1.2160000000000001E-2</v>
      </c>
      <c r="Y14" s="21">
        <f t="shared" si="4"/>
        <v>1</v>
      </c>
      <c r="Z14" s="21">
        <f t="shared" si="5"/>
        <v>12160</v>
      </c>
      <c r="AA14" s="67">
        <v>0.9516</v>
      </c>
      <c r="AB14" s="21">
        <f t="shared" si="6"/>
        <v>11571.456</v>
      </c>
      <c r="AC14" s="9"/>
    </row>
    <row r="15" spans="1:32" x14ac:dyDescent="0.25">
      <c r="D15" s="8">
        <f t="shared" si="11"/>
        <v>8</v>
      </c>
      <c r="E15" s="19">
        <f t="shared" ca="1" si="14"/>
        <v>47332</v>
      </c>
      <c r="F15" s="46">
        <f t="shared" ca="1" si="15"/>
        <v>47697</v>
      </c>
      <c r="G15" s="46">
        <f t="shared" ca="1" si="7"/>
        <v>47699</v>
      </c>
      <c r="H15" s="53">
        <f t="shared" si="16"/>
        <v>8</v>
      </c>
      <c r="I15" s="43">
        <f t="shared" si="0"/>
        <v>1000000</v>
      </c>
      <c r="J15" s="44">
        <f t="shared" si="1"/>
        <v>0.01</v>
      </c>
      <c r="K15" s="53">
        <f t="shared" si="2"/>
        <v>1</v>
      </c>
      <c r="L15" s="53">
        <f t="shared" si="17"/>
        <v>10000</v>
      </c>
      <c r="M15" s="45">
        <v>1</v>
      </c>
      <c r="N15" s="40">
        <f t="shared" si="18"/>
        <v>10000</v>
      </c>
      <c r="O15" s="52">
        <f t="shared" si="12"/>
        <v>8</v>
      </c>
      <c r="P15" s="19">
        <f t="shared" ca="1" si="13"/>
        <v>47330</v>
      </c>
      <c r="Q15" s="20">
        <f t="shared" ca="1" si="19"/>
        <v>47332</v>
      </c>
      <c r="R15" s="20">
        <f t="shared" ca="1" si="8"/>
        <v>47697</v>
      </c>
      <c r="S15" s="20">
        <f t="shared" ca="1" si="9"/>
        <v>47699</v>
      </c>
      <c r="T15" s="21">
        <f t="shared" si="10"/>
        <v>8</v>
      </c>
      <c r="U15" s="22">
        <f t="shared" si="3"/>
        <v>1000000</v>
      </c>
      <c r="V15" s="23">
        <v>1.2160000000000001E-2</v>
      </c>
      <c r="W15" s="21">
        <v>0</v>
      </c>
      <c r="X15" s="23">
        <f t="shared" si="20"/>
        <v>1.2160000000000001E-2</v>
      </c>
      <c r="Y15" s="21">
        <f t="shared" si="4"/>
        <v>1</v>
      </c>
      <c r="Z15" s="21">
        <f t="shared" si="5"/>
        <v>12160</v>
      </c>
      <c r="AA15" s="67">
        <v>0.9516</v>
      </c>
      <c r="AB15" s="21">
        <f t="shared" si="6"/>
        <v>11571.456</v>
      </c>
      <c r="AC15" s="9"/>
    </row>
    <row r="16" spans="1:32" x14ac:dyDescent="0.25">
      <c r="D16" s="8">
        <f t="shared" si="11"/>
        <v>9</v>
      </c>
      <c r="E16" s="19">
        <f t="shared" ca="1" si="14"/>
        <v>47697</v>
      </c>
      <c r="F16" s="46">
        <f t="shared" ca="1" si="15"/>
        <v>48062</v>
      </c>
      <c r="G16" s="46">
        <f t="shared" ca="1" si="7"/>
        <v>48064</v>
      </c>
      <c r="H16" s="53">
        <f t="shared" si="16"/>
        <v>9</v>
      </c>
      <c r="I16" s="43">
        <f t="shared" si="0"/>
        <v>1000000</v>
      </c>
      <c r="J16" s="44">
        <f t="shared" si="1"/>
        <v>0.01</v>
      </c>
      <c r="K16" s="53">
        <f t="shared" si="2"/>
        <v>1</v>
      </c>
      <c r="L16" s="53">
        <f t="shared" si="17"/>
        <v>10000</v>
      </c>
      <c r="M16" s="45">
        <v>1</v>
      </c>
      <c r="N16" s="40">
        <f t="shared" si="18"/>
        <v>10000</v>
      </c>
      <c r="O16" s="52">
        <f t="shared" si="12"/>
        <v>9</v>
      </c>
      <c r="P16" s="19">
        <f t="shared" ca="1" si="13"/>
        <v>47695</v>
      </c>
      <c r="Q16" s="20">
        <f t="shared" ca="1" si="19"/>
        <v>47697</v>
      </c>
      <c r="R16" s="20">
        <f t="shared" ca="1" si="8"/>
        <v>48062</v>
      </c>
      <c r="S16" s="20">
        <f t="shared" ca="1" si="9"/>
        <v>48064</v>
      </c>
      <c r="T16" s="21">
        <f t="shared" si="10"/>
        <v>9</v>
      </c>
      <c r="U16" s="22">
        <f t="shared" si="3"/>
        <v>1000000</v>
      </c>
      <c r="V16" s="23">
        <v>1.2160000000000001E-2</v>
      </c>
      <c r="W16" s="21">
        <v>0</v>
      </c>
      <c r="X16" s="23">
        <f t="shared" si="20"/>
        <v>1.2160000000000001E-2</v>
      </c>
      <c r="Y16" s="21">
        <f t="shared" si="4"/>
        <v>1</v>
      </c>
      <c r="Z16" s="21">
        <f t="shared" si="5"/>
        <v>12160</v>
      </c>
      <c r="AA16" s="67">
        <v>0.9516</v>
      </c>
      <c r="AB16" s="21">
        <f t="shared" si="6"/>
        <v>11571.456</v>
      </c>
      <c r="AC16" s="9"/>
    </row>
    <row r="17" spans="2:29" x14ac:dyDescent="0.25">
      <c r="B17" s="4" t="s">
        <v>21</v>
      </c>
      <c r="D17" s="8">
        <f t="shared" si="11"/>
        <v>10</v>
      </c>
      <c r="E17" s="19">
        <f t="shared" ca="1" si="14"/>
        <v>48062</v>
      </c>
      <c r="F17" s="46">
        <f t="shared" ca="1" si="15"/>
        <v>48428</v>
      </c>
      <c r="G17" s="46">
        <f t="shared" ca="1" si="7"/>
        <v>48430</v>
      </c>
      <c r="H17" s="53">
        <f t="shared" si="16"/>
        <v>10</v>
      </c>
      <c r="I17" s="43">
        <f t="shared" si="0"/>
        <v>1000000</v>
      </c>
      <c r="J17" s="44">
        <f t="shared" si="1"/>
        <v>0.01</v>
      </c>
      <c r="K17" s="53">
        <f t="shared" si="2"/>
        <v>1</v>
      </c>
      <c r="L17" s="53">
        <f t="shared" si="17"/>
        <v>10000</v>
      </c>
      <c r="M17" s="45">
        <v>1</v>
      </c>
      <c r="N17" s="40">
        <f t="shared" si="18"/>
        <v>10000</v>
      </c>
      <c r="O17" s="52">
        <f t="shared" si="12"/>
        <v>10</v>
      </c>
      <c r="P17" s="19">
        <f t="shared" ca="1" si="13"/>
        <v>48060</v>
      </c>
      <c r="Q17" s="20">
        <f t="shared" ca="1" si="19"/>
        <v>48062</v>
      </c>
      <c r="R17" s="20">
        <f t="shared" ca="1" si="8"/>
        <v>48428</v>
      </c>
      <c r="S17" s="20">
        <f t="shared" ca="1" si="9"/>
        <v>48430</v>
      </c>
      <c r="T17" s="21">
        <f t="shared" si="10"/>
        <v>10</v>
      </c>
      <c r="U17" s="22">
        <f t="shared" si="3"/>
        <v>1000000</v>
      </c>
      <c r="V17" s="23">
        <v>1.2160000000000001E-2</v>
      </c>
      <c r="W17" s="21">
        <v>0</v>
      </c>
      <c r="X17" s="23">
        <f t="shared" si="20"/>
        <v>1.2160000000000001E-2</v>
      </c>
      <c r="Y17" s="21">
        <f t="shared" si="4"/>
        <v>1</v>
      </c>
      <c r="Z17" s="21">
        <f t="shared" si="5"/>
        <v>12160</v>
      </c>
      <c r="AA17" s="67">
        <v>0.9516</v>
      </c>
      <c r="AB17" s="21">
        <f t="shared" si="6"/>
        <v>11571.456</v>
      </c>
      <c r="AC17" s="9"/>
    </row>
    <row r="18" spans="2:29" x14ac:dyDescent="0.25">
      <c r="B18" s="28" t="s">
        <v>22</v>
      </c>
      <c r="C18" s="57">
        <f>$A$7*(C19-C20)</f>
        <v>-9655.1200000000536</v>
      </c>
      <c r="D18" s="8">
        <f t="shared" si="11"/>
        <v>11</v>
      </c>
      <c r="E18" s="19">
        <f t="shared" ca="1" si="14"/>
        <v>48428</v>
      </c>
      <c r="F18" s="46">
        <f t="shared" ca="1" si="15"/>
        <v>48793</v>
      </c>
      <c r="G18" s="46">
        <f t="shared" ca="1" si="7"/>
        <v>48795</v>
      </c>
      <c r="H18" s="53">
        <f t="shared" si="16"/>
        <v>11</v>
      </c>
      <c r="I18" s="43">
        <f t="shared" si="0"/>
        <v>1000000</v>
      </c>
      <c r="J18" s="44">
        <f t="shared" si="1"/>
        <v>0.01</v>
      </c>
      <c r="K18" s="53">
        <f t="shared" si="2"/>
        <v>1</v>
      </c>
      <c r="L18" s="53">
        <f t="shared" si="17"/>
        <v>10000</v>
      </c>
      <c r="M18" s="45">
        <v>1</v>
      </c>
      <c r="N18" s="40">
        <f t="shared" si="18"/>
        <v>10000</v>
      </c>
      <c r="O18" s="52">
        <f t="shared" si="12"/>
        <v>11</v>
      </c>
      <c r="P18" s="19">
        <f t="shared" ca="1" si="13"/>
        <v>48426</v>
      </c>
      <c r="Q18" s="20">
        <f t="shared" ca="1" si="19"/>
        <v>48428</v>
      </c>
      <c r="R18" s="20">
        <f t="shared" ca="1" si="8"/>
        <v>48793</v>
      </c>
      <c r="S18" s="20">
        <f t="shared" ca="1" si="9"/>
        <v>48795</v>
      </c>
      <c r="T18" s="21">
        <f t="shared" si="10"/>
        <v>11</v>
      </c>
      <c r="U18" s="22">
        <f t="shared" si="3"/>
        <v>1000000</v>
      </c>
      <c r="V18" s="23">
        <v>1.2160000000000001E-2</v>
      </c>
      <c r="W18" s="21">
        <v>0</v>
      </c>
      <c r="X18" s="23">
        <f t="shared" si="20"/>
        <v>1.2160000000000001E-2</v>
      </c>
      <c r="Y18" s="21">
        <f t="shared" si="4"/>
        <v>1</v>
      </c>
      <c r="Z18" s="21">
        <f t="shared" si="5"/>
        <v>12160</v>
      </c>
      <c r="AA18" s="67">
        <v>0.9516</v>
      </c>
      <c r="AB18" s="21">
        <f t="shared" si="6"/>
        <v>11571.456</v>
      </c>
      <c r="AC18" s="9"/>
    </row>
    <row r="19" spans="2:29" x14ac:dyDescent="0.25">
      <c r="B19" s="29" t="s">
        <v>23</v>
      </c>
      <c r="C19" s="58">
        <f>SUM(N8:N27)</f>
        <v>200000</v>
      </c>
      <c r="D19" s="8">
        <f t="shared" si="11"/>
        <v>12</v>
      </c>
      <c r="E19" s="19">
        <f t="shared" ca="1" si="14"/>
        <v>48793</v>
      </c>
      <c r="F19" s="46">
        <f t="shared" ca="1" si="15"/>
        <v>49158</v>
      </c>
      <c r="G19" s="46">
        <f t="shared" ca="1" si="7"/>
        <v>49160</v>
      </c>
      <c r="H19" s="53">
        <f t="shared" si="16"/>
        <v>12</v>
      </c>
      <c r="I19" s="43">
        <f t="shared" si="0"/>
        <v>1000000</v>
      </c>
      <c r="J19" s="44">
        <f t="shared" si="1"/>
        <v>0.01</v>
      </c>
      <c r="K19" s="53">
        <f t="shared" si="2"/>
        <v>1</v>
      </c>
      <c r="L19" s="53">
        <f t="shared" si="17"/>
        <v>10000</v>
      </c>
      <c r="M19" s="45">
        <v>1</v>
      </c>
      <c r="N19" s="40">
        <f t="shared" si="18"/>
        <v>10000</v>
      </c>
      <c r="O19" s="52">
        <f t="shared" si="12"/>
        <v>12</v>
      </c>
      <c r="P19" s="19">
        <f t="shared" ca="1" si="13"/>
        <v>48791</v>
      </c>
      <c r="Q19" s="20">
        <f t="shared" ca="1" si="19"/>
        <v>48793</v>
      </c>
      <c r="R19" s="20">
        <f t="shared" ca="1" si="8"/>
        <v>49158</v>
      </c>
      <c r="S19" s="20">
        <f t="shared" ca="1" si="9"/>
        <v>49160</v>
      </c>
      <c r="T19" s="21">
        <f t="shared" si="10"/>
        <v>12</v>
      </c>
      <c r="U19" s="22">
        <f t="shared" si="3"/>
        <v>1000000</v>
      </c>
      <c r="V19" s="23">
        <v>1.2160000000000001E-2</v>
      </c>
      <c r="W19" s="21">
        <v>0</v>
      </c>
      <c r="X19" s="23">
        <f t="shared" si="20"/>
        <v>1.2160000000000001E-2</v>
      </c>
      <c r="Y19" s="21">
        <f t="shared" si="4"/>
        <v>1</v>
      </c>
      <c r="Z19" s="21">
        <f t="shared" si="5"/>
        <v>12160</v>
      </c>
      <c r="AA19" s="67">
        <v>0.9516</v>
      </c>
      <c r="AB19" s="21">
        <f t="shared" si="6"/>
        <v>11571.456</v>
      </c>
      <c r="AC19" s="9"/>
    </row>
    <row r="20" spans="2:29" x14ac:dyDescent="0.25">
      <c r="B20" s="29" t="s">
        <v>24</v>
      </c>
      <c r="C20" s="58">
        <f>SUM(AB8:AB27)</f>
        <v>209655.12000000005</v>
      </c>
      <c r="D20" s="8">
        <f t="shared" si="11"/>
        <v>13</v>
      </c>
      <c r="E20" s="19">
        <f t="shared" ca="1" si="14"/>
        <v>49158</v>
      </c>
      <c r="F20" s="46">
        <f t="shared" ca="1" si="15"/>
        <v>49523</v>
      </c>
      <c r="G20" s="46">
        <f t="shared" ca="1" si="7"/>
        <v>49525</v>
      </c>
      <c r="H20" s="53">
        <f t="shared" si="16"/>
        <v>13</v>
      </c>
      <c r="I20" s="43">
        <f t="shared" si="0"/>
        <v>1000000</v>
      </c>
      <c r="J20" s="44">
        <f t="shared" si="1"/>
        <v>0.01</v>
      </c>
      <c r="K20" s="53">
        <f t="shared" si="2"/>
        <v>1</v>
      </c>
      <c r="L20" s="53">
        <f t="shared" si="17"/>
        <v>10000</v>
      </c>
      <c r="M20" s="45">
        <v>1</v>
      </c>
      <c r="N20" s="40">
        <f t="shared" si="18"/>
        <v>10000</v>
      </c>
      <c r="O20" s="52">
        <f t="shared" si="12"/>
        <v>13</v>
      </c>
      <c r="P20" s="19">
        <f t="shared" ca="1" si="13"/>
        <v>49156</v>
      </c>
      <c r="Q20" s="20">
        <f t="shared" ca="1" si="19"/>
        <v>49158</v>
      </c>
      <c r="R20" s="20">
        <f t="shared" ca="1" si="8"/>
        <v>49523</v>
      </c>
      <c r="S20" s="20">
        <f t="shared" ca="1" si="9"/>
        <v>49525</v>
      </c>
      <c r="T20" s="21">
        <f t="shared" si="10"/>
        <v>13</v>
      </c>
      <c r="U20" s="22">
        <f t="shared" si="3"/>
        <v>1000000</v>
      </c>
      <c r="V20" s="23">
        <v>1.2160000000000001E-2</v>
      </c>
      <c r="W20" s="21">
        <v>0</v>
      </c>
      <c r="X20" s="23">
        <f t="shared" si="20"/>
        <v>1.2160000000000001E-2</v>
      </c>
      <c r="Y20" s="21">
        <f t="shared" si="4"/>
        <v>1</v>
      </c>
      <c r="Z20" s="21">
        <f t="shared" si="5"/>
        <v>12160</v>
      </c>
      <c r="AA20" s="67">
        <v>0.9516</v>
      </c>
      <c r="AB20" s="21">
        <f t="shared" si="6"/>
        <v>11571.456</v>
      </c>
      <c r="AC20" s="9"/>
    </row>
    <row r="21" spans="2:29" x14ac:dyDescent="0.25">
      <c r="B21" s="30" t="s">
        <v>25</v>
      </c>
      <c r="C21" s="59">
        <f>C20/C26</f>
        <v>1.0482756000000003E-2</v>
      </c>
      <c r="D21" s="8">
        <f t="shared" si="11"/>
        <v>14</v>
      </c>
      <c r="E21" s="19">
        <f t="shared" ca="1" si="14"/>
        <v>49523</v>
      </c>
      <c r="F21" s="46">
        <f t="shared" ca="1" si="15"/>
        <v>49889</v>
      </c>
      <c r="G21" s="46">
        <f t="shared" ca="1" si="7"/>
        <v>49891</v>
      </c>
      <c r="H21" s="53">
        <f t="shared" si="16"/>
        <v>14</v>
      </c>
      <c r="I21" s="43">
        <f t="shared" si="0"/>
        <v>1000000</v>
      </c>
      <c r="J21" s="44">
        <f t="shared" si="1"/>
        <v>0.01</v>
      </c>
      <c r="K21" s="53">
        <f t="shared" si="2"/>
        <v>1</v>
      </c>
      <c r="L21" s="53">
        <f t="shared" si="17"/>
        <v>10000</v>
      </c>
      <c r="M21" s="45">
        <v>1</v>
      </c>
      <c r="N21" s="40">
        <f t="shared" si="18"/>
        <v>10000</v>
      </c>
      <c r="O21" s="52">
        <f t="shared" si="12"/>
        <v>14</v>
      </c>
      <c r="P21" s="19">
        <f t="shared" ca="1" si="13"/>
        <v>49521</v>
      </c>
      <c r="Q21" s="20">
        <f t="shared" ca="1" si="19"/>
        <v>49523</v>
      </c>
      <c r="R21" s="20">
        <f t="shared" ca="1" si="8"/>
        <v>49889</v>
      </c>
      <c r="S21" s="20">
        <f t="shared" ca="1" si="9"/>
        <v>49891</v>
      </c>
      <c r="T21" s="21">
        <f t="shared" si="10"/>
        <v>14</v>
      </c>
      <c r="U21" s="22">
        <f t="shared" si="3"/>
        <v>1000000</v>
      </c>
      <c r="V21" s="23">
        <v>1.2160000000000001E-2</v>
      </c>
      <c r="W21" s="21">
        <v>0</v>
      </c>
      <c r="X21" s="23">
        <f t="shared" si="20"/>
        <v>1.2160000000000001E-2</v>
      </c>
      <c r="Y21" s="21">
        <f t="shared" si="4"/>
        <v>1</v>
      </c>
      <c r="Z21" s="21">
        <f t="shared" si="5"/>
        <v>12160</v>
      </c>
      <c r="AA21" s="67">
        <v>0.9516</v>
      </c>
      <c r="AB21" s="21">
        <f t="shared" si="6"/>
        <v>11571.456</v>
      </c>
      <c r="AC21" s="9"/>
    </row>
    <row r="22" spans="2:29" x14ac:dyDescent="0.25">
      <c r="D22" s="8">
        <f t="shared" si="11"/>
        <v>15</v>
      </c>
      <c r="E22" s="19">
        <f t="shared" ca="1" si="14"/>
        <v>49889</v>
      </c>
      <c r="F22" s="46">
        <f t="shared" ca="1" si="15"/>
        <v>50254</v>
      </c>
      <c r="G22" s="46">
        <f t="shared" ca="1" si="7"/>
        <v>50256</v>
      </c>
      <c r="H22" s="53">
        <f t="shared" si="16"/>
        <v>15</v>
      </c>
      <c r="I22" s="43">
        <f t="shared" si="0"/>
        <v>1000000</v>
      </c>
      <c r="J22" s="44">
        <f t="shared" si="1"/>
        <v>0.01</v>
      </c>
      <c r="K22" s="53">
        <f t="shared" si="2"/>
        <v>1</v>
      </c>
      <c r="L22" s="53">
        <f t="shared" si="17"/>
        <v>10000</v>
      </c>
      <c r="M22" s="45">
        <v>1</v>
      </c>
      <c r="N22" s="40">
        <f t="shared" si="18"/>
        <v>10000</v>
      </c>
      <c r="O22" s="52">
        <f t="shared" si="12"/>
        <v>15</v>
      </c>
      <c r="P22" s="19">
        <f t="shared" ca="1" si="13"/>
        <v>49887</v>
      </c>
      <c r="Q22" s="20">
        <f t="shared" ca="1" si="19"/>
        <v>49889</v>
      </c>
      <c r="R22" s="20">
        <f t="shared" ca="1" si="8"/>
        <v>50254</v>
      </c>
      <c r="S22" s="20">
        <f t="shared" ca="1" si="9"/>
        <v>50256</v>
      </c>
      <c r="T22" s="21">
        <f t="shared" si="10"/>
        <v>15</v>
      </c>
      <c r="U22" s="22">
        <f t="shared" si="3"/>
        <v>1000000</v>
      </c>
      <c r="V22" s="23">
        <v>1.2160000000000001E-2</v>
      </c>
      <c r="W22" s="21">
        <v>0</v>
      </c>
      <c r="X22" s="23">
        <f t="shared" si="20"/>
        <v>1.2160000000000001E-2</v>
      </c>
      <c r="Y22" s="21">
        <f t="shared" si="4"/>
        <v>1</v>
      </c>
      <c r="Z22" s="21">
        <f t="shared" si="5"/>
        <v>12160</v>
      </c>
      <c r="AA22" s="67">
        <v>0.9516</v>
      </c>
      <c r="AB22" s="21">
        <f t="shared" si="6"/>
        <v>11571.456</v>
      </c>
      <c r="AC22" s="9"/>
    </row>
    <row r="23" spans="2:29" x14ac:dyDescent="0.25">
      <c r="B23" s="4" t="s">
        <v>26</v>
      </c>
      <c r="D23" s="8">
        <f t="shared" si="11"/>
        <v>16</v>
      </c>
      <c r="E23" s="19">
        <f t="shared" ca="1" si="14"/>
        <v>50254</v>
      </c>
      <c r="F23" s="46">
        <f t="shared" ca="1" si="15"/>
        <v>50619</v>
      </c>
      <c r="G23" s="46">
        <f t="shared" ca="1" si="7"/>
        <v>50621</v>
      </c>
      <c r="H23" s="53">
        <f t="shared" si="16"/>
        <v>16</v>
      </c>
      <c r="I23" s="43">
        <f t="shared" si="0"/>
        <v>1000000</v>
      </c>
      <c r="J23" s="44">
        <f t="shared" si="1"/>
        <v>0.01</v>
      </c>
      <c r="K23" s="53">
        <f t="shared" si="2"/>
        <v>1</v>
      </c>
      <c r="L23" s="53">
        <f t="shared" si="17"/>
        <v>10000</v>
      </c>
      <c r="M23" s="45">
        <v>1</v>
      </c>
      <c r="N23" s="40">
        <f t="shared" si="18"/>
        <v>10000</v>
      </c>
      <c r="O23" s="52">
        <f t="shared" si="12"/>
        <v>16</v>
      </c>
      <c r="P23" s="19">
        <f t="shared" ca="1" si="13"/>
        <v>50252</v>
      </c>
      <c r="Q23" s="20">
        <f t="shared" ca="1" si="19"/>
        <v>50254</v>
      </c>
      <c r="R23" s="20">
        <f t="shared" ca="1" si="8"/>
        <v>50619</v>
      </c>
      <c r="S23" s="20">
        <f t="shared" ca="1" si="9"/>
        <v>50621</v>
      </c>
      <c r="T23" s="21">
        <f t="shared" si="10"/>
        <v>16</v>
      </c>
      <c r="U23" s="22">
        <f t="shared" si="3"/>
        <v>1000000</v>
      </c>
      <c r="V23" s="23">
        <v>1.2160000000000001E-2</v>
      </c>
      <c r="W23" s="21">
        <v>0</v>
      </c>
      <c r="X23" s="23">
        <f t="shared" si="20"/>
        <v>1.2160000000000001E-2</v>
      </c>
      <c r="Y23" s="21">
        <f t="shared" si="4"/>
        <v>1</v>
      </c>
      <c r="Z23" s="21">
        <f t="shared" si="5"/>
        <v>12160</v>
      </c>
      <c r="AA23" s="67">
        <v>0.9516</v>
      </c>
      <c r="AB23" s="21">
        <f t="shared" si="6"/>
        <v>11571.456</v>
      </c>
      <c r="AC23" s="9"/>
    </row>
    <row r="24" spans="2:29" ht="17.25" x14ac:dyDescent="0.25">
      <c r="B24" s="6" t="s">
        <v>27</v>
      </c>
      <c r="C24" s="51">
        <f>SUMPRODUCT(K8:K27,M8:M27)</f>
        <v>20</v>
      </c>
      <c r="D24" s="8">
        <f t="shared" si="11"/>
        <v>17</v>
      </c>
      <c r="E24" s="19">
        <f t="shared" ca="1" si="14"/>
        <v>50619</v>
      </c>
      <c r="F24" s="46">
        <f t="shared" ca="1" si="15"/>
        <v>50984</v>
      </c>
      <c r="G24" s="46">
        <f t="shared" ca="1" si="7"/>
        <v>50986</v>
      </c>
      <c r="H24" s="53">
        <f t="shared" si="16"/>
        <v>17</v>
      </c>
      <c r="I24" s="43">
        <f t="shared" si="0"/>
        <v>1000000</v>
      </c>
      <c r="J24" s="44">
        <f t="shared" si="1"/>
        <v>0.01</v>
      </c>
      <c r="K24" s="53">
        <f t="shared" si="2"/>
        <v>1</v>
      </c>
      <c r="L24" s="53">
        <f t="shared" si="17"/>
        <v>10000</v>
      </c>
      <c r="M24" s="45">
        <v>1</v>
      </c>
      <c r="N24" s="40">
        <f t="shared" si="18"/>
        <v>10000</v>
      </c>
      <c r="O24" s="52">
        <f t="shared" si="12"/>
        <v>17</v>
      </c>
      <c r="P24" s="19">
        <f t="shared" ca="1" si="13"/>
        <v>50617</v>
      </c>
      <c r="Q24" s="20">
        <f t="shared" ca="1" si="19"/>
        <v>50619</v>
      </c>
      <c r="R24" s="20">
        <f t="shared" ca="1" si="8"/>
        <v>50984</v>
      </c>
      <c r="S24" s="20">
        <f t="shared" ca="1" si="9"/>
        <v>50986</v>
      </c>
      <c r="T24" s="21">
        <f t="shared" si="10"/>
        <v>17</v>
      </c>
      <c r="U24" s="22">
        <f t="shared" si="3"/>
        <v>1000000</v>
      </c>
      <c r="V24" s="23">
        <v>1.2160000000000001E-2</v>
      </c>
      <c r="W24" s="21">
        <v>0</v>
      </c>
      <c r="X24" s="23">
        <f t="shared" si="20"/>
        <v>1.2160000000000001E-2</v>
      </c>
      <c r="Y24" s="21">
        <f t="shared" si="4"/>
        <v>1</v>
      </c>
      <c r="Z24" s="21">
        <f t="shared" si="5"/>
        <v>12160</v>
      </c>
      <c r="AA24" s="67">
        <v>0.9516</v>
      </c>
      <c r="AB24" s="21">
        <f t="shared" si="6"/>
        <v>11571.456</v>
      </c>
      <c r="AC24" s="9"/>
    </row>
    <row r="25" spans="2:29" ht="17.25" x14ac:dyDescent="0.25">
      <c r="B25" s="10" t="s">
        <v>28</v>
      </c>
      <c r="C25" s="38">
        <f>SUMPRODUCT(Y8:Y27,AA8:AA27)</f>
        <v>19.127999999999989</v>
      </c>
      <c r="D25" s="8">
        <f t="shared" si="11"/>
        <v>18</v>
      </c>
      <c r="E25" s="19">
        <f t="shared" ca="1" si="14"/>
        <v>50984</v>
      </c>
      <c r="F25" s="46">
        <f t="shared" ca="1" si="15"/>
        <v>51350</v>
      </c>
      <c r="G25" s="46">
        <f t="shared" ca="1" si="7"/>
        <v>51352</v>
      </c>
      <c r="H25" s="53">
        <f t="shared" si="16"/>
        <v>18</v>
      </c>
      <c r="I25" s="43">
        <f t="shared" si="0"/>
        <v>1000000</v>
      </c>
      <c r="J25" s="44">
        <f t="shared" si="1"/>
        <v>0.01</v>
      </c>
      <c r="K25" s="53">
        <f t="shared" si="2"/>
        <v>1</v>
      </c>
      <c r="L25" s="53">
        <f t="shared" si="17"/>
        <v>10000</v>
      </c>
      <c r="M25" s="45">
        <v>1</v>
      </c>
      <c r="N25" s="40">
        <f t="shared" si="18"/>
        <v>10000</v>
      </c>
      <c r="O25" s="52">
        <f t="shared" si="12"/>
        <v>18</v>
      </c>
      <c r="P25" s="19">
        <f t="shared" ca="1" si="13"/>
        <v>50982</v>
      </c>
      <c r="Q25" s="20">
        <f t="shared" ca="1" si="19"/>
        <v>50984</v>
      </c>
      <c r="R25" s="20">
        <f t="shared" ca="1" si="8"/>
        <v>51350</v>
      </c>
      <c r="S25" s="20">
        <f t="shared" ca="1" si="9"/>
        <v>51352</v>
      </c>
      <c r="T25" s="21">
        <f t="shared" si="10"/>
        <v>18</v>
      </c>
      <c r="U25" s="22">
        <f t="shared" si="3"/>
        <v>1000000</v>
      </c>
      <c r="V25" s="23">
        <v>1.2160000000000001E-2</v>
      </c>
      <c r="W25" s="21">
        <v>0</v>
      </c>
      <c r="X25" s="23">
        <f t="shared" si="20"/>
        <v>1.2160000000000001E-2</v>
      </c>
      <c r="Y25" s="21">
        <f t="shared" si="4"/>
        <v>1</v>
      </c>
      <c r="Z25" s="21">
        <f t="shared" si="5"/>
        <v>12160</v>
      </c>
      <c r="AA25" s="67">
        <v>0.9516</v>
      </c>
      <c r="AB25" s="21">
        <f t="shared" si="6"/>
        <v>11571.456</v>
      </c>
      <c r="AC25" s="9"/>
    </row>
    <row r="26" spans="2:29" ht="18" x14ac:dyDescent="0.25">
      <c r="B26" s="10" t="s">
        <v>29</v>
      </c>
      <c r="C26" s="32">
        <f>SUMPRODUCT(K8:K27,M8:M27,I8:I27)</f>
        <v>20000000</v>
      </c>
      <c r="D26" s="8">
        <f t="shared" si="11"/>
        <v>19</v>
      </c>
      <c r="E26" s="19">
        <f t="shared" ca="1" si="14"/>
        <v>51350</v>
      </c>
      <c r="F26" s="46">
        <f t="shared" ca="1" si="15"/>
        <v>51715</v>
      </c>
      <c r="G26" s="46">
        <f t="shared" ca="1" si="7"/>
        <v>51717</v>
      </c>
      <c r="H26" s="53">
        <f t="shared" si="16"/>
        <v>19</v>
      </c>
      <c r="I26" s="43">
        <f t="shared" si="0"/>
        <v>1000000</v>
      </c>
      <c r="J26" s="44">
        <f t="shared" si="1"/>
        <v>0.01</v>
      </c>
      <c r="K26" s="53">
        <f t="shared" si="2"/>
        <v>1</v>
      </c>
      <c r="L26" s="53">
        <f t="shared" si="17"/>
        <v>10000</v>
      </c>
      <c r="M26" s="45">
        <v>1</v>
      </c>
      <c r="N26" s="40">
        <f t="shared" si="18"/>
        <v>10000</v>
      </c>
      <c r="O26" s="52">
        <f t="shared" si="12"/>
        <v>19</v>
      </c>
      <c r="P26" s="19">
        <f t="shared" ca="1" si="13"/>
        <v>51348</v>
      </c>
      <c r="Q26" s="20">
        <f t="shared" ca="1" si="19"/>
        <v>51350</v>
      </c>
      <c r="R26" s="20">
        <f t="shared" ca="1" si="8"/>
        <v>51715</v>
      </c>
      <c r="S26" s="20">
        <f t="shared" ca="1" si="9"/>
        <v>51717</v>
      </c>
      <c r="T26" s="21">
        <f t="shared" si="10"/>
        <v>19</v>
      </c>
      <c r="U26" s="22">
        <f t="shared" si="3"/>
        <v>1000000</v>
      </c>
      <c r="V26" s="23">
        <v>1.2160000000000001E-2</v>
      </c>
      <c r="W26" s="21">
        <v>0</v>
      </c>
      <c r="X26" s="23">
        <f t="shared" si="20"/>
        <v>1.2160000000000001E-2</v>
      </c>
      <c r="Y26" s="21">
        <f t="shared" si="4"/>
        <v>1</v>
      </c>
      <c r="Z26" s="21">
        <f t="shared" si="5"/>
        <v>12160</v>
      </c>
      <c r="AA26" s="67">
        <v>0.9516</v>
      </c>
      <c r="AB26" s="21">
        <f t="shared" si="6"/>
        <v>11571.456</v>
      </c>
      <c r="AC26" s="9"/>
    </row>
    <row r="27" spans="2:29" ht="18" x14ac:dyDescent="0.25">
      <c r="B27" s="26" t="s">
        <v>30</v>
      </c>
      <c r="C27" s="39">
        <f>SUMPRODUCT(Y8:Y27,AA8:AA27,U8:U27)</f>
        <v>19128000</v>
      </c>
      <c r="D27" s="8">
        <f t="shared" si="11"/>
        <v>20</v>
      </c>
      <c r="E27" s="33">
        <f t="shared" ca="1" si="14"/>
        <v>51715</v>
      </c>
      <c r="F27" s="34">
        <f t="shared" ca="1" si="15"/>
        <v>52080</v>
      </c>
      <c r="G27" s="34">
        <f t="shared" ca="1" si="7"/>
        <v>52082</v>
      </c>
      <c r="H27" s="35">
        <f t="shared" si="16"/>
        <v>20</v>
      </c>
      <c r="I27" s="36">
        <f t="shared" si="0"/>
        <v>1000000</v>
      </c>
      <c r="J27" s="37">
        <f t="shared" si="1"/>
        <v>0.01</v>
      </c>
      <c r="K27" s="35">
        <f t="shared" si="2"/>
        <v>1</v>
      </c>
      <c r="L27" s="35">
        <f t="shared" si="17"/>
        <v>10000</v>
      </c>
      <c r="M27" s="62">
        <v>1</v>
      </c>
      <c r="N27" s="31">
        <f t="shared" si="18"/>
        <v>10000</v>
      </c>
      <c r="O27" s="52">
        <f t="shared" si="12"/>
        <v>20</v>
      </c>
      <c r="P27" s="33">
        <f t="shared" ca="1" si="13"/>
        <v>51713</v>
      </c>
      <c r="Q27" s="34">
        <f t="shared" ca="1" si="19"/>
        <v>51715</v>
      </c>
      <c r="R27" s="34">
        <f t="shared" ca="1" si="8"/>
        <v>52080</v>
      </c>
      <c r="S27" s="34">
        <f t="shared" ca="1" si="9"/>
        <v>52082</v>
      </c>
      <c r="T27" s="35">
        <f t="shared" si="10"/>
        <v>20</v>
      </c>
      <c r="U27" s="36">
        <f t="shared" si="3"/>
        <v>1000000</v>
      </c>
      <c r="V27" s="37">
        <v>1.2160000000000001E-2</v>
      </c>
      <c r="W27" s="35">
        <v>0</v>
      </c>
      <c r="X27" s="37">
        <f t="shared" si="20"/>
        <v>1.2160000000000001E-2</v>
      </c>
      <c r="Y27" s="35">
        <f t="shared" si="4"/>
        <v>1</v>
      </c>
      <c r="Z27" s="35">
        <f t="shared" si="5"/>
        <v>12160</v>
      </c>
      <c r="AA27" s="62">
        <v>0.9516</v>
      </c>
      <c r="AB27" s="31">
        <f t="shared" si="6"/>
        <v>11571.456</v>
      </c>
      <c r="AC27" s="9"/>
    </row>
  </sheetData>
  <dataValidations count="4">
    <dataValidation type="list" allowBlank="1" showInputMessage="1" showErrorMessage="1" sqref="C11:C12" xr:uid="{2537E4C1-6B7E-4617-AF4E-A9D93BE6D96C}">
      <formula1>"ANNUAL,SEMI-ANNUAL,QUARTERLY,MONTHLY"</formula1>
    </dataValidation>
    <dataValidation type="list" allowBlank="1" showInputMessage="1" showErrorMessage="1" sqref="C8" xr:uid="{33B10CE7-CA43-43B4-9B6A-BF9C7967F4C4}">
      <formula1>"EUR,USD,GBP,JPY"</formula1>
    </dataValidation>
    <dataValidation type="list" allowBlank="1" showInputMessage="1" showErrorMessage="1" sqref="C7" xr:uid="{13EB9DF6-2B09-4B1A-A204-8F921B01F108}">
      <formula1>"PAYER,RECEIVER"</formula1>
    </dataValidation>
    <dataValidation type="decimal" allowBlank="1" showInputMessage="1" showErrorMessage="1" sqref="C14" xr:uid="{C11032DC-FC83-421B-AFC1-EC46D4906861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D83C-78B2-4BEE-881E-07D02EF8FD75}">
  <sheetPr codeName="Sheet7"/>
  <dimension ref="A2:AF27"/>
  <sheetViews>
    <sheetView showGridLines="0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4" width="11.7109375" style="1" customWidth="1"/>
    <col min="15" max="15" width="9.140625" style="1"/>
    <col min="16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44773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6">
        <f>SUM(L8:L12)</f>
        <v>50000</v>
      </c>
      <c r="N6" s="66">
        <f>SUM(N8:N12)</f>
        <v>48540</v>
      </c>
      <c r="P6" s="4" t="s">
        <v>3</v>
      </c>
      <c r="Z6" s="66">
        <f>SUM(Z8:Z12)</f>
        <v>37400</v>
      </c>
      <c r="AA6" s="61"/>
      <c r="AB6" s="66">
        <f>SUM(AB8:AB12)</f>
        <v>36083.279999999999</v>
      </c>
    </row>
    <row r="7" spans="1:32" ht="18" x14ac:dyDescent="0.25">
      <c r="A7" s="48">
        <f>IF(C7="RECEIVER",1,-1)</f>
        <v>1</v>
      </c>
      <c r="B7" s="6" t="s">
        <v>4</v>
      </c>
      <c r="C7" s="7" t="s">
        <v>5</v>
      </c>
      <c r="D7" s="8"/>
      <c r="E7" s="63" t="s">
        <v>7</v>
      </c>
      <c r="F7" s="64" t="s">
        <v>8</v>
      </c>
      <c r="G7" s="64" t="s">
        <v>9</v>
      </c>
      <c r="H7" s="64" t="s">
        <v>41</v>
      </c>
      <c r="I7" s="64" t="s">
        <v>10</v>
      </c>
      <c r="J7" s="64" t="s">
        <v>42</v>
      </c>
      <c r="K7" s="64" t="s">
        <v>44</v>
      </c>
      <c r="L7" s="64" t="s">
        <v>52</v>
      </c>
      <c r="M7" s="64" t="s">
        <v>45</v>
      </c>
      <c r="N7" s="65" t="s">
        <v>43</v>
      </c>
      <c r="O7" s="52"/>
      <c r="P7" s="63" t="s">
        <v>11</v>
      </c>
      <c r="Q7" s="64" t="s">
        <v>7</v>
      </c>
      <c r="R7" s="64" t="s">
        <v>8</v>
      </c>
      <c r="S7" s="64" t="s">
        <v>9</v>
      </c>
      <c r="T7" s="64" t="s">
        <v>46</v>
      </c>
      <c r="U7" s="64" t="s">
        <v>10</v>
      </c>
      <c r="V7" s="64" t="s">
        <v>47</v>
      </c>
      <c r="W7" s="64" t="s">
        <v>12</v>
      </c>
      <c r="X7" s="64" t="s">
        <v>48</v>
      </c>
      <c r="Y7" s="64" t="s">
        <v>49</v>
      </c>
      <c r="Z7" s="64" t="s">
        <v>52</v>
      </c>
      <c r="AA7" s="64" t="s">
        <v>50</v>
      </c>
      <c r="AB7" s="64" t="s">
        <v>51</v>
      </c>
      <c r="AC7" s="9"/>
    </row>
    <row r="8" spans="1:32" x14ac:dyDescent="0.25">
      <c r="A8" s="47"/>
      <c r="B8" s="10" t="s">
        <v>13</v>
      </c>
      <c r="C8" s="11" t="s">
        <v>36</v>
      </c>
      <c r="D8" s="8"/>
      <c r="E8" s="68">
        <f ca="1">$C$3+LEFT($E$3,LEN($E$3)-1)</f>
        <v>44775</v>
      </c>
      <c r="F8" s="13">
        <f ca="1">EDATE(E8,$A$11)</f>
        <v>45140</v>
      </c>
      <c r="G8" s="13">
        <f ca="1">F8+LEFT($G$3,LEN($G$3)-1)</f>
        <v>45142</v>
      </c>
      <c r="H8" s="14">
        <f>K8</f>
        <v>1</v>
      </c>
      <c r="I8" s="15">
        <f>$C$9</f>
        <v>1000000</v>
      </c>
      <c r="J8" s="16">
        <f>$C$10</f>
        <v>0.01</v>
      </c>
      <c r="K8" s="14">
        <f>$A$11/12</f>
        <v>1</v>
      </c>
      <c r="L8" s="14">
        <f>I8*J8*K8</f>
        <v>10000</v>
      </c>
      <c r="M8" s="54">
        <v>0.99</v>
      </c>
      <c r="N8" s="50">
        <f>L8*M8</f>
        <v>9900</v>
      </c>
      <c r="O8" s="52"/>
      <c r="P8" s="12">
        <f ca="1">Q8-LEFT($P$3,LEN($P$3)-1)</f>
        <v>44773</v>
      </c>
      <c r="Q8" s="69">
        <f ca="1">$C$3+LEFT($Q$3,LEN($E$3)-1)</f>
        <v>44775</v>
      </c>
      <c r="R8" s="13">
        <f ca="1">EDATE(Q8,$A$12)</f>
        <v>45140</v>
      </c>
      <c r="S8" s="13">
        <f ca="1">R8+LEFT($S$3,LEN($S$3)-1)</f>
        <v>45142</v>
      </c>
      <c r="T8" s="14">
        <f>Y8</f>
        <v>1</v>
      </c>
      <c r="U8" s="15">
        <f>$C$9</f>
        <v>1000000</v>
      </c>
      <c r="V8" s="16">
        <v>2.8E-3</v>
      </c>
      <c r="W8" s="14">
        <v>0</v>
      </c>
      <c r="X8" s="16">
        <f>V8+W8</f>
        <v>2.8E-3</v>
      </c>
      <c r="Y8" s="14">
        <f>$A$12/12</f>
        <v>1</v>
      </c>
      <c r="Z8" s="14">
        <f>U8*X8*Y8</f>
        <v>2800</v>
      </c>
      <c r="AA8" s="54">
        <v>0.99</v>
      </c>
      <c r="AB8" s="50">
        <f>U8*X8*Y8*AA8</f>
        <v>2772</v>
      </c>
      <c r="AC8" s="9"/>
      <c r="AF8" s="17"/>
    </row>
    <row r="9" spans="1:32" x14ac:dyDescent="0.25">
      <c r="A9" s="47"/>
      <c r="B9" s="10" t="s">
        <v>15</v>
      </c>
      <c r="C9" s="18">
        <v>1000000</v>
      </c>
      <c r="D9" s="8"/>
      <c r="E9" s="19">
        <f ca="1">F8</f>
        <v>45140</v>
      </c>
      <c r="F9" s="46">
        <f ca="1">EDATE(E9,$A$11)</f>
        <v>45506</v>
      </c>
      <c r="G9" s="46">
        <f ca="1">F9+LEFT($G$3,LEN($G$3)-1)</f>
        <v>45508</v>
      </c>
      <c r="H9" s="53">
        <f>H8+K9</f>
        <v>2</v>
      </c>
      <c r="I9" s="43">
        <f>$C$9</f>
        <v>1000000</v>
      </c>
      <c r="J9" s="44">
        <f>$C$10</f>
        <v>0.01</v>
      </c>
      <c r="K9" s="53">
        <f>$A$11/12</f>
        <v>1</v>
      </c>
      <c r="L9" s="53">
        <f>I9*J9*K9</f>
        <v>10000</v>
      </c>
      <c r="M9" s="45">
        <v>0.98040000000000005</v>
      </c>
      <c r="N9" s="40">
        <f>L9*M9</f>
        <v>9804</v>
      </c>
      <c r="O9" s="52"/>
      <c r="P9" s="19">
        <f ca="1">Q9-LEFT($P$3,LEN($P$3)-1)</f>
        <v>45138</v>
      </c>
      <c r="Q9" s="46">
        <f ca="1">R8</f>
        <v>45140</v>
      </c>
      <c r="R9" s="46">
        <f ca="1">EDATE(Q9,$A$12)</f>
        <v>45506</v>
      </c>
      <c r="S9" s="46">
        <f ca="1">R9+LEFT($S$3,LEN($S$3)-1)</f>
        <v>45508</v>
      </c>
      <c r="T9" s="53">
        <f>T8+Y9</f>
        <v>2</v>
      </c>
      <c r="U9" s="43">
        <f>$C$9</f>
        <v>1000000</v>
      </c>
      <c r="V9" s="44">
        <v>5.1399999999999996E-3</v>
      </c>
      <c r="W9" s="53">
        <v>0</v>
      </c>
      <c r="X9" s="44">
        <f>V9+W9</f>
        <v>5.1399999999999996E-3</v>
      </c>
      <c r="Y9" s="53">
        <f>$A$12/12</f>
        <v>1</v>
      </c>
      <c r="Z9" s="53">
        <f>U9*X9*Y9</f>
        <v>5140</v>
      </c>
      <c r="AA9" s="45">
        <v>0.98040000000000005</v>
      </c>
      <c r="AB9" s="40">
        <f>U9*X9*Y9*AA9</f>
        <v>5039.2560000000003</v>
      </c>
      <c r="AC9" s="9"/>
      <c r="AF9" s="17"/>
    </row>
    <row r="10" spans="1:32" ht="17.25" x14ac:dyDescent="0.25">
      <c r="A10" s="47"/>
      <c r="B10" s="10" t="s">
        <v>16</v>
      </c>
      <c r="C10" s="60">
        <v>0.01</v>
      </c>
      <c r="D10" s="8"/>
      <c r="E10" s="19">
        <f ca="1">F9</f>
        <v>45506</v>
      </c>
      <c r="F10" s="46">
        <f ca="1">EDATE(E10,$A$11)</f>
        <v>45871</v>
      </c>
      <c r="G10" s="46">
        <f ca="1">F10+LEFT($G$3,LEN($G$3)-1)</f>
        <v>45873</v>
      </c>
      <c r="H10" s="53">
        <f>H9+K10</f>
        <v>3</v>
      </c>
      <c r="I10" s="43">
        <f>$C$9</f>
        <v>1000000</v>
      </c>
      <c r="J10" s="44">
        <f>$C$10</f>
        <v>0.01</v>
      </c>
      <c r="K10" s="53">
        <f>$A$11/12</f>
        <v>1</v>
      </c>
      <c r="L10" s="53">
        <f>I10*J10*K10</f>
        <v>10000</v>
      </c>
      <c r="M10" s="45">
        <v>0.9708</v>
      </c>
      <c r="N10" s="40">
        <f>L10*M10</f>
        <v>9708</v>
      </c>
      <c r="O10" s="52"/>
      <c r="P10" s="19">
        <f ca="1">Q10-LEFT($P$3,LEN($P$3)-1)</f>
        <v>45504</v>
      </c>
      <c r="Q10" s="46">
        <f ca="1">R9</f>
        <v>45506</v>
      </c>
      <c r="R10" s="46">
        <f ca="1">EDATE(Q10,$A$12)</f>
        <v>45871</v>
      </c>
      <c r="S10" s="46">
        <f ca="1">R10+LEFT($S$3,LEN($S$3)-1)</f>
        <v>45873</v>
      </c>
      <c r="T10" s="53">
        <f>T9+Y10</f>
        <v>3</v>
      </c>
      <c r="U10" s="43">
        <f>$C$9</f>
        <v>1000000</v>
      </c>
      <c r="V10" s="44">
        <v>7.4799999999999997E-3</v>
      </c>
      <c r="W10" s="53">
        <v>0</v>
      </c>
      <c r="X10" s="44">
        <f>V10+W10</f>
        <v>7.4799999999999997E-3</v>
      </c>
      <c r="Y10" s="53">
        <f>$A$12/12</f>
        <v>1</v>
      </c>
      <c r="Z10" s="53">
        <f>U10*X10*Y10</f>
        <v>7480</v>
      </c>
      <c r="AA10" s="45">
        <v>0.9708</v>
      </c>
      <c r="AB10" s="40">
        <f>U10*X10*Y10*AA10</f>
        <v>7261.5839999999998</v>
      </c>
      <c r="AC10" s="9"/>
      <c r="AF10" s="17"/>
    </row>
    <row r="11" spans="1:32" x14ac:dyDescent="0.25">
      <c r="A11" s="49">
        <f>IF(C11="ANNUAL",12,IF(C11="SEMI-ANNUAL",6,IF(C11="QUARTERLY",3,IF(C11="MONTHLY",1,0))))</f>
        <v>12</v>
      </c>
      <c r="B11" s="10" t="s">
        <v>17</v>
      </c>
      <c r="C11" s="24" t="s">
        <v>33</v>
      </c>
      <c r="D11" s="8"/>
      <c r="E11" s="19">
        <f ca="1">F10</f>
        <v>45871</v>
      </c>
      <c r="F11" s="46">
        <f ca="1">EDATE(E11,$A$11)</f>
        <v>46236</v>
      </c>
      <c r="G11" s="46">
        <f ca="1">F11+LEFT($G$3,LEN($G$3)-1)</f>
        <v>46238</v>
      </c>
      <c r="H11" s="53">
        <f>H10+K11</f>
        <v>4</v>
      </c>
      <c r="I11" s="43">
        <f>$C$9</f>
        <v>1000000</v>
      </c>
      <c r="J11" s="44">
        <f>$C$10</f>
        <v>0.01</v>
      </c>
      <c r="K11" s="53">
        <f>$A$11/12</f>
        <v>1</v>
      </c>
      <c r="L11" s="53">
        <f>I11*J11*K11</f>
        <v>10000</v>
      </c>
      <c r="M11" s="45">
        <v>0.96120000000000005</v>
      </c>
      <c r="N11" s="40">
        <f>L11*M11</f>
        <v>9612</v>
      </c>
      <c r="O11" s="52"/>
      <c r="P11" s="19">
        <f ca="1">Q11-LEFT($P$3,LEN($P$3)-1)</f>
        <v>45869</v>
      </c>
      <c r="Q11" s="46">
        <f ca="1">R10</f>
        <v>45871</v>
      </c>
      <c r="R11" s="46">
        <f ca="1">EDATE(Q11,$A$12)</f>
        <v>46236</v>
      </c>
      <c r="S11" s="46">
        <f ca="1">R11+LEFT($S$3,LEN($S$3)-1)</f>
        <v>46238</v>
      </c>
      <c r="T11" s="53">
        <f>T10+Y11</f>
        <v>4</v>
      </c>
      <c r="U11" s="43">
        <f>$C$9</f>
        <v>1000000</v>
      </c>
      <c r="V11" s="44">
        <v>9.8200000000000006E-3</v>
      </c>
      <c r="W11" s="53">
        <v>0</v>
      </c>
      <c r="X11" s="44">
        <f>V11+W11</f>
        <v>9.8200000000000006E-3</v>
      </c>
      <c r="Y11" s="53">
        <f>$A$12/12</f>
        <v>1</v>
      </c>
      <c r="Z11" s="53">
        <f>U11*X11*Y11</f>
        <v>9820</v>
      </c>
      <c r="AA11" s="45">
        <v>0.96120000000000005</v>
      </c>
      <c r="AB11" s="40">
        <f>U11*X11*Y11*AA11</f>
        <v>9438.9840000000004</v>
      </c>
      <c r="AC11" s="9"/>
      <c r="AF11" s="17"/>
    </row>
    <row r="12" spans="1:32" x14ac:dyDescent="0.25">
      <c r="A12" s="49">
        <f>IF(C12="ANNUAL",12,IF(C12="SEMI-ANNUAL",6,IF(C12="QUARTERLY",3,IF(C12="MONTHLY",1,0))))</f>
        <v>12</v>
      </c>
      <c r="B12" s="10" t="s">
        <v>18</v>
      </c>
      <c r="C12" s="24" t="s">
        <v>33</v>
      </c>
      <c r="D12" s="8"/>
      <c r="E12" s="33">
        <f ca="1">F11</f>
        <v>46236</v>
      </c>
      <c r="F12" s="34">
        <f ca="1">EDATE(E12,$A$11)</f>
        <v>46601</v>
      </c>
      <c r="G12" s="34">
        <f ca="1">F12+LEFT($G$3,LEN($G$3)-1)</f>
        <v>46603</v>
      </c>
      <c r="H12" s="35">
        <f>H11+K12</f>
        <v>5</v>
      </c>
      <c r="I12" s="36">
        <f>$C$9</f>
        <v>1000000</v>
      </c>
      <c r="J12" s="37">
        <f>$C$10</f>
        <v>0.01</v>
      </c>
      <c r="K12" s="35">
        <f>$A$11/12</f>
        <v>1</v>
      </c>
      <c r="L12" s="35">
        <f>I12*J12*K12</f>
        <v>10000</v>
      </c>
      <c r="M12" s="62">
        <v>0.9516</v>
      </c>
      <c r="N12" s="31">
        <f>L12*M12</f>
        <v>9516</v>
      </c>
      <c r="O12" s="52"/>
      <c r="P12" s="33">
        <f ca="1">Q12-LEFT($P$3,LEN($P$3)-1)</f>
        <v>46234</v>
      </c>
      <c r="Q12" s="34">
        <f ca="1">R11</f>
        <v>46236</v>
      </c>
      <c r="R12" s="34">
        <f ca="1">EDATE(Q12,$A$12)</f>
        <v>46601</v>
      </c>
      <c r="S12" s="34">
        <f ca="1">R12+LEFT($S$3,LEN($S$3)-1)</f>
        <v>46603</v>
      </c>
      <c r="T12" s="35">
        <f>T11+Y12</f>
        <v>5</v>
      </c>
      <c r="U12" s="36">
        <f>$C$9</f>
        <v>1000000</v>
      </c>
      <c r="V12" s="37">
        <v>1.2160000000000001E-2</v>
      </c>
      <c r="W12" s="35">
        <v>0</v>
      </c>
      <c r="X12" s="37">
        <f>V12+W12</f>
        <v>1.2160000000000001E-2</v>
      </c>
      <c r="Y12" s="35">
        <f>$A$12/12</f>
        <v>1</v>
      </c>
      <c r="Z12" s="35">
        <f>U12*X12*Y12</f>
        <v>12160</v>
      </c>
      <c r="AA12" s="62">
        <v>0.9516</v>
      </c>
      <c r="AB12" s="31">
        <f>U12*X12*Y12*AA12</f>
        <v>11571.456</v>
      </c>
      <c r="AC12" s="9"/>
      <c r="AF12" s="17"/>
    </row>
    <row r="13" spans="1:32" x14ac:dyDescent="0.25">
      <c r="A13" s="47"/>
      <c r="B13" s="10" t="s">
        <v>19</v>
      </c>
      <c r="C13" s="25">
        <v>0</v>
      </c>
      <c r="AF13" s="17"/>
    </row>
    <row r="14" spans="1:32" x14ac:dyDescent="0.25">
      <c r="A14" s="47"/>
      <c r="B14" s="26" t="s">
        <v>20</v>
      </c>
      <c r="C14" s="27">
        <v>5</v>
      </c>
    </row>
    <row r="17" spans="2:3" x14ac:dyDescent="0.25">
      <c r="B17" s="4" t="s">
        <v>21</v>
      </c>
    </row>
    <row r="18" spans="2:3" x14ac:dyDescent="0.25">
      <c r="B18" s="28" t="s">
        <v>22</v>
      </c>
      <c r="C18" s="57">
        <f>$A$7*(C19-C20)</f>
        <v>12456.720000000001</v>
      </c>
    </row>
    <row r="19" spans="2:3" x14ac:dyDescent="0.25">
      <c r="B19" s="29" t="s">
        <v>23</v>
      </c>
      <c r="C19" s="58">
        <f>SUM(N8:N12)</f>
        <v>48540</v>
      </c>
    </row>
    <row r="20" spans="2:3" x14ac:dyDescent="0.25">
      <c r="B20" s="29" t="s">
        <v>24</v>
      </c>
      <c r="C20" s="58">
        <f>SUM(AB8:AB12)</f>
        <v>36083.279999999999</v>
      </c>
    </row>
    <row r="21" spans="2:3" x14ac:dyDescent="0.25">
      <c r="B21" s="30" t="s">
        <v>25</v>
      </c>
      <c r="C21" s="59">
        <f>C20/C26</f>
        <v>7.4337206427688499E-3</v>
      </c>
    </row>
    <row r="23" spans="2:3" x14ac:dyDescent="0.25">
      <c r="B23" s="4" t="s">
        <v>26</v>
      </c>
    </row>
    <row r="24" spans="2:3" ht="17.25" x14ac:dyDescent="0.25">
      <c r="B24" s="6" t="s">
        <v>27</v>
      </c>
      <c r="C24" s="51">
        <f>SUMPRODUCT(K8:K12,M8:M12)</f>
        <v>4.8540000000000001</v>
      </c>
    </row>
    <row r="25" spans="2:3" ht="17.25" x14ac:dyDescent="0.25">
      <c r="B25" s="10" t="s">
        <v>28</v>
      </c>
      <c r="C25" s="38">
        <f>SUMPRODUCT(Y8:Y12,AA8:AA12)</f>
        <v>4.8540000000000001</v>
      </c>
    </row>
    <row r="26" spans="2:3" ht="18" x14ac:dyDescent="0.25">
      <c r="B26" s="10" t="s">
        <v>29</v>
      </c>
      <c r="C26" s="32">
        <f>SUMPRODUCT(K8:K12,M8:M12,I8:I12)</f>
        <v>4854000</v>
      </c>
    </row>
    <row r="27" spans="2:3" ht="18" x14ac:dyDescent="0.25">
      <c r="B27" s="26" t="s">
        <v>30</v>
      </c>
      <c r="C27" s="39">
        <f>SUMPRODUCT(Y8:Y12,AA8:AA12,U8:U12)</f>
        <v>4854000</v>
      </c>
    </row>
  </sheetData>
  <dataValidations count="4">
    <dataValidation type="list" allowBlank="1" showInputMessage="1" showErrorMessage="1" sqref="C11:C12" xr:uid="{084059EA-9926-40F2-AB0B-F90A04EFEFE3}">
      <formula1>"ANNUAL,SEMI-ANNUAL,QUARTERLY,MONTHLY"</formula1>
    </dataValidation>
    <dataValidation type="list" allowBlank="1" showInputMessage="1" showErrorMessage="1" sqref="C8" xr:uid="{39A96A36-ACB4-40D6-9416-47168EF31A8C}">
      <formula1>"EUR,USD,GBP,JPY"</formula1>
    </dataValidation>
    <dataValidation type="list" allowBlank="1" showInputMessage="1" showErrorMessage="1" sqref="C7" xr:uid="{23FC8170-B78F-403B-BA19-25E45EA96C34}">
      <formula1>"PAYER,RECEIVER"</formula1>
    </dataValidation>
    <dataValidation type="decimal" allowBlank="1" showInputMessage="1" showErrorMessage="1" sqref="C14" xr:uid="{F113EB07-462B-44C2-8824-4D194E43D060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0B3-6AD0-49BC-B8B0-6EF893990AF6}">
  <sheetPr codeName="Sheet4"/>
  <dimension ref="A2:AF50"/>
  <sheetViews>
    <sheetView showGridLines="0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0" width="11.7109375" style="1" customWidth="1"/>
    <col min="11" max="11" width="13.85546875" style="1" customWidth="1"/>
    <col min="12" max="14" width="11.7109375" style="1" customWidth="1"/>
    <col min="15" max="15" width="9.140625" style="1"/>
    <col min="16" max="22" width="11.7109375" style="1" customWidth="1"/>
    <col min="23" max="23" width="12.85546875" style="1" bestFit="1" customWidth="1"/>
    <col min="24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44773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6">
        <f>SUM(L8:L9)</f>
        <v>300000</v>
      </c>
      <c r="N6" s="66">
        <f>SUM(N8:N9)</f>
        <v>295560</v>
      </c>
      <c r="P6" s="4" t="s">
        <v>3</v>
      </c>
      <c r="Z6" s="66">
        <f>SUM(Z8:Z9)</f>
        <v>79400</v>
      </c>
      <c r="AA6" s="61"/>
      <c r="AB6" s="66">
        <f>SUM(AB8:AB9)</f>
        <v>78112.56</v>
      </c>
    </row>
    <row r="7" spans="1:32" ht="18" x14ac:dyDescent="0.25">
      <c r="A7" s="48">
        <f>IF(C7="RECEIVER",1,-1)</f>
        <v>1</v>
      </c>
      <c r="B7" s="6" t="s">
        <v>4</v>
      </c>
      <c r="C7" s="7" t="s">
        <v>5</v>
      </c>
      <c r="D7" s="8"/>
      <c r="E7" s="63" t="s">
        <v>7</v>
      </c>
      <c r="F7" s="64" t="s">
        <v>8</v>
      </c>
      <c r="G7" s="64" t="s">
        <v>9</v>
      </c>
      <c r="H7" s="64" t="s">
        <v>41</v>
      </c>
      <c r="I7" s="64" t="s">
        <v>10</v>
      </c>
      <c r="J7" s="64" t="s">
        <v>42</v>
      </c>
      <c r="K7" s="64" t="s">
        <v>44</v>
      </c>
      <c r="L7" s="64" t="s">
        <v>52</v>
      </c>
      <c r="M7" s="64" t="s">
        <v>54</v>
      </c>
      <c r="N7" s="65" t="s">
        <v>43</v>
      </c>
      <c r="O7" s="52"/>
      <c r="P7" s="63" t="s">
        <v>11</v>
      </c>
      <c r="Q7" s="64" t="s">
        <v>7</v>
      </c>
      <c r="R7" s="64" t="s">
        <v>8</v>
      </c>
      <c r="S7" s="64" t="s">
        <v>9</v>
      </c>
      <c r="T7" s="64" t="s">
        <v>46</v>
      </c>
      <c r="U7" s="64" t="s">
        <v>10</v>
      </c>
      <c r="V7" s="64" t="s">
        <v>47</v>
      </c>
      <c r="W7" s="64" t="s">
        <v>12</v>
      </c>
      <c r="X7" s="64" t="s">
        <v>48</v>
      </c>
      <c r="Y7" s="64" t="s">
        <v>49</v>
      </c>
      <c r="Z7" s="64" t="s">
        <v>52</v>
      </c>
      <c r="AA7" s="64" t="s">
        <v>55</v>
      </c>
      <c r="AB7" s="65" t="s">
        <v>51</v>
      </c>
      <c r="AC7" s="9"/>
    </row>
    <row r="8" spans="1:32" x14ac:dyDescent="0.25">
      <c r="A8" s="47"/>
      <c r="B8" s="10" t="s">
        <v>13</v>
      </c>
      <c r="C8" s="11" t="s">
        <v>36</v>
      </c>
      <c r="D8" s="8"/>
      <c r="E8" s="68">
        <f ca="1">$C$3+LEFT($E$3,LEN($E$3)-1)</f>
        <v>44775</v>
      </c>
      <c r="F8" s="13">
        <f ca="1">EDATE(E8,$A$11)</f>
        <v>45140</v>
      </c>
      <c r="G8" s="13">
        <f ca="1">F8+LEFT($G$3,LEN($G$3)-1)</f>
        <v>45142</v>
      </c>
      <c r="H8" s="14">
        <f>K8</f>
        <v>1</v>
      </c>
      <c r="I8" s="15">
        <f>$C$9</f>
        <v>10000000</v>
      </c>
      <c r="J8" s="16">
        <f>$C$10</f>
        <v>1.4999999999999999E-2</v>
      </c>
      <c r="K8" s="14">
        <f>$A$11/12</f>
        <v>1</v>
      </c>
      <c r="L8" s="14">
        <f>I8*J8*K8</f>
        <v>150000</v>
      </c>
      <c r="M8" s="54">
        <v>0.99</v>
      </c>
      <c r="N8" s="50">
        <f>L8*M8</f>
        <v>148500</v>
      </c>
      <c r="O8" s="52"/>
      <c r="P8" s="12">
        <f ca="1">Q8-LEFT($P$3,LEN($P$3)-1)</f>
        <v>44773</v>
      </c>
      <c r="Q8" s="69">
        <f ca="1">$C$3+LEFT($Q$3,LEN($E$3)-1)</f>
        <v>44775</v>
      </c>
      <c r="R8" s="13">
        <f ca="1">EDATE(Q8,$A$12)</f>
        <v>45140</v>
      </c>
      <c r="S8" s="13">
        <f ca="1">R8+LEFT($S$3,LEN($S$3)-1)</f>
        <v>45142</v>
      </c>
      <c r="T8" s="14">
        <f>Y8</f>
        <v>1</v>
      </c>
      <c r="U8" s="15">
        <f>$C$9</f>
        <v>10000000</v>
      </c>
      <c r="V8" s="16">
        <v>2.8E-3</v>
      </c>
      <c r="W8" s="14">
        <v>0</v>
      </c>
      <c r="X8" s="16">
        <f>V8+W8</f>
        <v>2.8E-3</v>
      </c>
      <c r="Y8" s="14">
        <f>$A$12/12</f>
        <v>1</v>
      </c>
      <c r="Z8" s="14">
        <f>U8*X8*Y8</f>
        <v>28000</v>
      </c>
      <c r="AA8" s="54">
        <v>0.99</v>
      </c>
      <c r="AB8" s="50">
        <f>U8*X8*Y8*AA8</f>
        <v>27720</v>
      </c>
      <c r="AC8" s="9"/>
      <c r="AF8" s="17"/>
    </row>
    <row r="9" spans="1:32" x14ac:dyDescent="0.25">
      <c r="A9" s="47"/>
      <c r="B9" s="10" t="s">
        <v>15</v>
      </c>
      <c r="C9" s="18">
        <v>10000000</v>
      </c>
      <c r="D9" s="8"/>
      <c r="E9" s="33">
        <f ca="1">F8</f>
        <v>45140</v>
      </c>
      <c r="F9" s="34">
        <f ca="1">EDATE(E9,$A$11)</f>
        <v>45506</v>
      </c>
      <c r="G9" s="34">
        <f ca="1">F9+LEFT($G$3,LEN($G$3)-1)</f>
        <v>45508</v>
      </c>
      <c r="H9" s="35">
        <f>H8+K9</f>
        <v>2</v>
      </c>
      <c r="I9" s="36">
        <f>$C$9</f>
        <v>10000000</v>
      </c>
      <c r="J9" s="37">
        <f>$C$10</f>
        <v>1.4999999999999999E-2</v>
      </c>
      <c r="K9" s="35">
        <f>$A$11/12</f>
        <v>1</v>
      </c>
      <c r="L9" s="35">
        <f>I9*J9*K9</f>
        <v>150000</v>
      </c>
      <c r="M9" s="62">
        <v>0.98040000000000005</v>
      </c>
      <c r="N9" s="31">
        <f>L9*M9</f>
        <v>147060</v>
      </c>
      <c r="O9" s="52"/>
      <c r="P9" s="33">
        <f ca="1">Q9-LEFT($P$3,LEN($P$3)-1)</f>
        <v>45138</v>
      </c>
      <c r="Q9" s="34">
        <f ca="1">R8</f>
        <v>45140</v>
      </c>
      <c r="R9" s="34">
        <f ca="1">EDATE(Q9,$A$12)</f>
        <v>45506</v>
      </c>
      <c r="S9" s="34">
        <f ca="1">R9+LEFT($S$3,LEN($S$3)-1)</f>
        <v>45508</v>
      </c>
      <c r="T9" s="35">
        <f>T8+Y9</f>
        <v>2</v>
      </c>
      <c r="U9" s="36">
        <f>$C$9</f>
        <v>10000000</v>
      </c>
      <c r="V9" s="37">
        <v>5.1399999999999996E-3</v>
      </c>
      <c r="W9" s="35">
        <v>0</v>
      </c>
      <c r="X9" s="37">
        <f>V9+W9</f>
        <v>5.1399999999999996E-3</v>
      </c>
      <c r="Y9" s="35">
        <f>$A$12/12</f>
        <v>1</v>
      </c>
      <c r="Z9" s="35">
        <f>U9*X9*Y9</f>
        <v>51399.999999999993</v>
      </c>
      <c r="AA9" s="62">
        <v>0.98040000000000005</v>
      </c>
      <c r="AB9" s="31">
        <f>U9*X9*Y9*AA9</f>
        <v>50392.56</v>
      </c>
      <c r="AC9" s="9"/>
      <c r="AF9" s="17"/>
    </row>
    <row r="10" spans="1:32" ht="17.25" x14ac:dyDescent="0.25">
      <c r="A10" s="47"/>
      <c r="B10" s="10" t="s">
        <v>16</v>
      </c>
      <c r="C10" s="60">
        <v>1.4999999999999999E-2</v>
      </c>
      <c r="D10" s="8"/>
      <c r="AF10" s="17"/>
    </row>
    <row r="11" spans="1:32" x14ac:dyDescent="0.25">
      <c r="A11" s="49">
        <f>IF(C11="ANNUAL",12,IF(C11="SEMI-ANNUAL",6,IF(C11="QUARTERLY",3,IF(C11="MONTHLY",1,0))))</f>
        <v>12</v>
      </c>
      <c r="B11" s="10" t="s">
        <v>17</v>
      </c>
      <c r="C11" s="24" t="s">
        <v>33</v>
      </c>
      <c r="D11" s="8"/>
      <c r="G11" s="4" t="s">
        <v>63</v>
      </c>
      <c r="Q11" s="4" t="s">
        <v>64</v>
      </c>
      <c r="AF11" s="17"/>
    </row>
    <row r="12" spans="1:32" ht="18" x14ac:dyDescent="0.25">
      <c r="A12" s="49">
        <f>IF(C12="ANNUAL",12,IF(C12="SEMI-ANNUAL",6,IF(C12="QUARTERLY",3,IF(C12="MONTHLY",1,0))))</f>
        <v>12</v>
      </c>
      <c r="B12" s="10" t="s">
        <v>18</v>
      </c>
      <c r="C12" s="24" t="s">
        <v>33</v>
      </c>
      <c r="D12" s="8"/>
      <c r="E12" s="75"/>
      <c r="G12" s="63" t="s">
        <v>10</v>
      </c>
      <c r="H12" s="64" t="s">
        <v>44</v>
      </c>
      <c r="I12" s="64" t="s">
        <v>54</v>
      </c>
      <c r="J12" s="65" t="s">
        <v>57</v>
      </c>
      <c r="Q12" s="63" t="s">
        <v>10</v>
      </c>
      <c r="R12" s="64" t="s">
        <v>49</v>
      </c>
      <c r="S12" s="64" t="s">
        <v>54</v>
      </c>
      <c r="T12" s="65" t="s">
        <v>74</v>
      </c>
      <c r="AF12" s="17"/>
    </row>
    <row r="13" spans="1:32" x14ac:dyDescent="0.25">
      <c r="A13" s="47"/>
      <c r="B13" s="10" t="s">
        <v>19</v>
      </c>
      <c r="C13" s="25">
        <v>0</v>
      </c>
      <c r="G13" s="72">
        <f>I8</f>
        <v>10000000</v>
      </c>
      <c r="H13" s="14">
        <f>K8</f>
        <v>1</v>
      </c>
      <c r="I13" s="54">
        <f>M8</f>
        <v>0.99</v>
      </c>
      <c r="J13" s="90">
        <f>G13*H13*I13</f>
        <v>9900000</v>
      </c>
      <c r="Q13" s="72">
        <f>U8</f>
        <v>10000000</v>
      </c>
      <c r="R13" s="14">
        <f>Y8</f>
        <v>1</v>
      </c>
      <c r="S13" s="54">
        <f>AA8</f>
        <v>0.99</v>
      </c>
      <c r="T13" s="90">
        <f>Q13*R13*S13</f>
        <v>9900000</v>
      </c>
      <c r="AF13" s="17"/>
    </row>
    <row r="14" spans="1:32" x14ac:dyDescent="0.25">
      <c r="A14" s="47"/>
      <c r="B14" s="26" t="s">
        <v>20</v>
      </c>
      <c r="C14" s="27">
        <v>5</v>
      </c>
      <c r="G14" s="73">
        <f>I9</f>
        <v>10000000</v>
      </c>
      <c r="H14" s="35">
        <f>K9</f>
        <v>1</v>
      </c>
      <c r="I14" s="62">
        <f>M9</f>
        <v>0.98040000000000005</v>
      </c>
      <c r="J14" s="91">
        <f>G14*H14*I14</f>
        <v>9804000</v>
      </c>
      <c r="Q14" s="73">
        <f>U9</f>
        <v>10000000</v>
      </c>
      <c r="R14" s="35">
        <f>Y9</f>
        <v>1</v>
      </c>
      <c r="S14" s="62">
        <f>AA9</f>
        <v>0.98040000000000005</v>
      </c>
      <c r="T14" s="91">
        <f>Q14*R14*S14</f>
        <v>9804000</v>
      </c>
    </row>
    <row r="15" spans="1:32" ht="18" x14ac:dyDescent="0.25">
      <c r="I15" s="71" t="s">
        <v>59</v>
      </c>
      <c r="J15" s="5">
        <f>SUM(J13:J14)</f>
        <v>19704000</v>
      </c>
      <c r="S15" s="71" t="s">
        <v>60</v>
      </c>
      <c r="T15" s="5">
        <f>SUM(T13:T14)</f>
        <v>19704000</v>
      </c>
    </row>
    <row r="17" spans="2:23" x14ac:dyDescent="0.25">
      <c r="B17" s="4" t="s">
        <v>21</v>
      </c>
      <c r="E17" s="2" t="s">
        <v>66</v>
      </c>
      <c r="Q17" s="4" t="s">
        <v>65</v>
      </c>
    </row>
    <row r="18" spans="2:23" ht="18" x14ac:dyDescent="0.25">
      <c r="B18" s="28" t="s">
        <v>22</v>
      </c>
      <c r="C18" s="57">
        <f>$A$7*(C19-C20)</f>
        <v>217447.44</v>
      </c>
      <c r="E18" s="63" t="s">
        <v>10</v>
      </c>
      <c r="F18" s="64" t="s">
        <v>42</v>
      </c>
      <c r="G18" s="64" t="s">
        <v>44</v>
      </c>
      <c r="H18" s="64" t="s">
        <v>52</v>
      </c>
      <c r="I18" s="64" t="s">
        <v>54</v>
      </c>
      <c r="J18" s="92" t="s">
        <v>43</v>
      </c>
      <c r="Q18" s="63" t="s">
        <v>10</v>
      </c>
      <c r="R18" s="64" t="s">
        <v>48</v>
      </c>
      <c r="S18" s="64" t="s">
        <v>49</v>
      </c>
      <c r="T18" s="64" t="s">
        <v>52</v>
      </c>
      <c r="U18" s="64" t="s">
        <v>55</v>
      </c>
      <c r="V18" s="65" t="s">
        <v>51</v>
      </c>
    </row>
    <row r="19" spans="2:23" x14ac:dyDescent="0.25">
      <c r="B19" s="29" t="s">
        <v>23</v>
      </c>
      <c r="C19" s="58">
        <f>SUM(N8:N9)</f>
        <v>295560</v>
      </c>
      <c r="E19" s="72">
        <f>I8</f>
        <v>10000000</v>
      </c>
      <c r="F19" s="16">
        <f>J8</f>
        <v>1.4999999999999999E-2</v>
      </c>
      <c r="G19" s="14">
        <f>K8</f>
        <v>1</v>
      </c>
      <c r="H19" s="14">
        <f>L8</f>
        <v>150000</v>
      </c>
      <c r="I19" s="54">
        <f>M8</f>
        <v>0.99</v>
      </c>
      <c r="J19" s="94">
        <f>N8</f>
        <v>148500</v>
      </c>
      <c r="Q19" s="72">
        <f>U8</f>
        <v>10000000</v>
      </c>
      <c r="R19" s="16">
        <f t="shared" ref="R19:V20" si="0">X8</f>
        <v>2.8E-3</v>
      </c>
      <c r="S19" s="14">
        <f t="shared" si="0"/>
        <v>1</v>
      </c>
      <c r="T19" s="14">
        <f t="shared" si="0"/>
        <v>28000</v>
      </c>
      <c r="U19" s="54">
        <f t="shared" si="0"/>
        <v>0.99</v>
      </c>
      <c r="V19" s="94">
        <f t="shared" si="0"/>
        <v>27720</v>
      </c>
    </row>
    <row r="20" spans="2:23" x14ac:dyDescent="0.25">
      <c r="B20" s="29" t="s">
        <v>24</v>
      </c>
      <c r="C20" s="58">
        <f>SUM(AB8:AB9)</f>
        <v>78112.56</v>
      </c>
      <c r="E20" s="73">
        <f>I9</f>
        <v>10000000</v>
      </c>
      <c r="F20" s="37">
        <f>J9</f>
        <v>1.4999999999999999E-2</v>
      </c>
      <c r="G20" s="35">
        <f>K9</f>
        <v>1</v>
      </c>
      <c r="H20" s="35">
        <f>L9</f>
        <v>150000</v>
      </c>
      <c r="I20" s="62">
        <f>M9</f>
        <v>0.98040000000000005</v>
      </c>
      <c r="J20" s="95">
        <f>N9</f>
        <v>147060</v>
      </c>
      <c r="Q20" s="73">
        <f>U9</f>
        <v>10000000</v>
      </c>
      <c r="R20" s="37">
        <f t="shared" si="0"/>
        <v>5.1399999999999996E-3</v>
      </c>
      <c r="S20" s="35">
        <f t="shared" si="0"/>
        <v>1</v>
      </c>
      <c r="T20" s="35">
        <f t="shared" si="0"/>
        <v>51399.999999999993</v>
      </c>
      <c r="U20" s="62">
        <f t="shared" si="0"/>
        <v>0.98040000000000005</v>
      </c>
      <c r="V20" s="95">
        <f t="shared" si="0"/>
        <v>50392.56</v>
      </c>
    </row>
    <row r="21" spans="2:23" ht="17.25" x14ac:dyDescent="0.25">
      <c r="B21" s="30" t="s">
        <v>25</v>
      </c>
      <c r="C21" s="59">
        <f>C20/C26</f>
        <v>3.9642996345919607E-3</v>
      </c>
      <c r="I21" s="71" t="s">
        <v>61</v>
      </c>
      <c r="J21" s="70">
        <f>SUM(J19:J20)</f>
        <v>295560</v>
      </c>
      <c r="U21" s="71" t="s">
        <v>62</v>
      </c>
      <c r="V21" s="70">
        <f>SUM(V19:V20)</f>
        <v>78112.56</v>
      </c>
    </row>
    <row r="23" spans="2:23" x14ac:dyDescent="0.25">
      <c r="B23" s="4" t="s">
        <v>26</v>
      </c>
      <c r="F23" s="71" t="s">
        <v>67</v>
      </c>
      <c r="Q23" s="4" t="s">
        <v>25</v>
      </c>
    </row>
    <row r="24" spans="2:23" ht="18" x14ac:dyDescent="0.25">
      <c r="B24" s="6" t="s">
        <v>27</v>
      </c>
      <c r="C24" s="51">
        <f>SUMPRODUCT(K8:K9,M8:M9)</f>
        <v>1.9704000000000002</v>
      </c>
      <c r="F24" s="76" t="s">
        <v>58</v>
      </c>
      <c r="G24" s="64" t="s">
        <v>42</v>
      </c>
      <c r="H24" s="64" t="s">
        <v>56</v>
      </c>
      <c r="I24" s="64" t="s">
        <v>57</v>
      </c>
      <c r="J24" s="65" t="s">
        <v>80</v>
      </c>
      <c r="Q24" s="63" t="s">
        <v>51</v>
      </c>
      <c r="R24" s="64" t="s">
        <v>57</v>
      </c>
      <c r="S24" s="92" t="s">
        <v>56</v>
      </c>
    </row>
    <row r="25" spans="2:23" ht="17.25" x14ac:dyDescent="0.25">
      <c r="B25" s="10" t="s">
        <v>28</v>
      </c>
      <c r="C25" s="38">
        <f>SUMPRODUCT(Y8:Y9,AA8:AA9)</f>
        <v>1.9704000000000002</v>
      </c>
      <c r="F25" s="77">
        <f>$A$7</f>
        <v>1</v>
      </c>
      <c r="G25" s="78">
        <f>$C$10</f>
        <v>1.4999999999999999E-2</v>
      </c>
      <c r="H25" s="78">
        <f>$S$25</f>
        <v>3.9642996345919607E-3</v>
      </c>
      <c r="I25" s="79">
        <f>J15</f>
        <v>19704000</v>
      </c>
      <c r="J25" s="96">
        <f>F25*(G25-H25)*I25</f>
        <v>217447.44</v>
      </c>
      <c r="Q25" s="74">
        <f>$V$21</f>
        <v>78112.56</v>
      </c>
      <c r="R25" s="83">
        <f>$J$15</f>
        <v>19704000</v>
      </c>
      <c r="S25" s="93">
        <f>Q25/R25</f>
        <v>3.9642996345919607E-3</v>
      </c>
    </row>
    <row r="26" spans="2:23" ht="18" x14ac:dyDescent="0.25">
      <c r="B26" s="10" t="s">
        <v>29</v>
      </c>
      <c r="C26" s="32">
        <f>SUMPRODUCT(K8:K9,M8:M9,I8:I9)</f>
        <v>19704000</v>
      </c>
    </row>
    <row r="27" spans="2:23" ht="18" x14ac:dyDescent="0.25">
      <c r="B27" s="26" t="s">
        <v>30</v>
      </c>
      <c r="C27" s="39">
        <f>SUMPRODUCT(Y8:Y9,AA8:AA9,U8:U9)</f>
        <v>19704000</v>
      </c>
      <c r="E27" s="4" t="s">
        <v>68</v>
      </c>
      <c r="Q27" s="4" t="s">
        <v>69</v>
      </c>
    </row>
    <row r="28" spans="2:23" ht="18" x14ac:dyDescent="0.25">
      <c r="E28" s="63" t="s">
        <v>41</v>
      </c>
      <c r="F28" s="64" t="s">
        <v>10</v>
      </c>
      <c r="G28" s="64" t="s">
        <v>44</v>
      </c>
      <c r="H28" s="64" t="s">
        <v>54</v>
      </c>
      <c r="I28" s="64" t="s">
        <v>57</v>
      </c>
      <c r="J28" s="85" t="s">
        <v>70</v>
      </c>
      <c r="Q28" s="63" t="s">
        <v>41</v>
      </c>
      <c r="R28" s="64" t="s">
        <v>10</v>
      </c>
      <c r="S28" s="64" t="s">
        <v>47</v>
      </c>
      <c r="T28" s="64" t="s">
        <v>44</v>
      </c>
      <c r="U28" s="64" t="s">
        <v>54</v>
      </c>
      <c r="V28" s="64" t="s">
        <v>51</v>
      </c>
      <c r="W28" s="85" t="s">
        <v>73</v>
      </c>
    </row>
    <row r="29" spans="2:23" x14ac:dyDescent="0.25">
      <c r="E29" s="81">
        <f>H8</f>
        <v>1</v>
      </c>
      <c r="F29" s="15">
        <f>I8</f>
        <v>10000000</v>
      </c>
      <c r="G29" s="14">
        <f>K8</f>
        <v>1</v>
      </c>
      <c r="H29" s="54">
        <f>M8</f>
        <v>0.99</v>
      </c>
      <c r="I29" s="15">
        <f>$J$15</f>
        <v>19704000</v>
      </c>
      <c r="J29" s="97">
        <f>E29*F29*G29*H29/$J$15</f>
        <v>0.502436053593179</v>
      </c>
      <c r="Q29" s="81">
        <f>T8</f>
        <v>1</v>
      </c>
      <c r="R29" s="15">
        <f>U8</f>
        <v>10000000</v>
      </c>
      <c r="S29" s="16">
        <f>V8</f>
        <v>2.8E-3</v>
      </c>
      <c r="T29" s="14">
        <f>Y8</f>
        <v>1</v>
      </c>
      <c r="U29" s="54">
        <f>AA8</f>
        <v>0.99</v>
      </c>
      <c r="V29" s="15">
        <f>$V$21</f>
        <v>78112.56</v>
      </c>
      <c r="W29" s="97">
        <f>Q29*R29*S29*T29*U29/V29</f>
        <v>0.35487250705904405</v>
      </c>
    </row>
    <row r="30" spans="2:23" x14ac:dyDescent="0.25">
      <c r="E30" s="82">
        <f>H9</f>
        <v>2</v>
      </c>
      <c r="F30" s="36">
        <f>I9</f>
        <v>10000000</v>
      </c>
      <c r="G30" s="35">
        <f>K9</f>
        <v>1</v>
      </c>
      <c r="H30" s="62">
        <f>M9</f>
        <v>0.98040000000000005</v>
      </c>
      <c r="I30" s="36">
        <f>$J$15</f>
        <v>19704000</v>
      </c>
      <c r="J30" s="98">
        <f>E30*F30*G30*H30/$J$15</f>
        <v>0.99512789281364189</v>
      </c>
      <c r="Q30" s="82">
        <f>T9</f>
        <v>2</v>
      </c>
      <c r="R30" s="36">
        <f>U9</f>
        <v>10000000</v>
      </c>
      <c r="S30" s="37">
        <f>V9</f>
        <v>5.1399999999999996E-3</v>
      </c>
      <c r="T30" s="35">
        <f>Y9</f>
        <v>1</v>
      </c>
      <c r="U30" s="62">
        <f>AA9</f>
        <v>0.98040000000000005</v>
      </c>
      <c r="V30" s="36">
        <f>$V$21</f>
        <v>78112.56</v>
      </c>
      <c r="W30" s="98">
        <f>Q30*R30*S30*T30*U30/V30</f>
        <v>1.2902549858819119</v>
      </c>
    </row>
    <row r="31" spans="2:23" ht="18" x14ac:dyDescent="0.25">
      <c r="I31" s="71" t="s">
        <v>71</v>
      </c>
      <c r="J31" s="80">
        <f>SUM(J29:J30)</f>
        <v>1.4975639464068209</v>
      </c>
      <c r="V31" s="71" t="s">
        <v>72</v>
      </c>
      <c r="W31" s="80">
        <f>SUM(W29:W30)</f>
        <v>1.6451274929409561</v>
      </c>
    </row>
    <row r="33" spans="6:23" x14ac:dyDescent="0.25">
      <c r="H33" s="4" t="s">
        <v>75</v>
      </c>
      <c r="U33" s="4" t="s">
        <v>77</v>
      </c>
    </row>
    <row r="34" spans="6:23" ht="18" x14ac:dyDescent="0.25">
      <c r="H34" s="86" t="s">
        <v>70</v>
      </c>
      <c r="I34" s="64" t="s">
        <v>56</v>
      </c>
      <c r="J34" s="85" t="s">
        <v>76</v>
      </c>
      <c r="U34" s="86" t="s">
        <v>73</v>
      </c>
      <c r="V34" s="64" t="s">
        <v>56</v>
      </c>
      <c r="W34" s="85" t="s">
        <v>78</v>
      </c>
    </row>
    <row r="35" spans="6:23" x14ac:dyDescent="0.25">
      <c r="H35" s="87">
        <f>$J$31</f>
        <v>1.4975639464068209</v>
      </c>
      <c r="I35" s="88">
        <f>$S$25</f>
        <v>3.9642996345919607E-3</v>
      </c>
      <c r="J35" s="99">
        <f>H35/(1+I35)</f>
        <v>1.491650596492208</v>
      </c>
      <c r="U35" s="87">
        <f>$W$31</f>
        <v>1.6451274929409561</v>
      </c>
      <c r="V35" s="88">
        <f>$S$25</f>
        <v>3.9642996345919607E-3</v>
      </c>
      <c r="W35" s="99">
        <f>U35/(1+V35)</f>
        <v>1.6386314668158273</v>
      </c>
    </row>
    <row r="38" spans="6:23" x14ac:dyDescent="0.25">
      <c r="H38" s="4" t="s">
        <v>79</v>
      </c>
    </row>
    <row r="39" spans="6:23" ht="18" x14ac:dyDescent="0.25">
      <c r="H39" s="76" t="s">
        <v>58</v>
      </c>
      <c r="I39" s="64" t="s">
        <v>57</v>
      </c>
      <c r="J39" s="85" t="s">
        <v>79</v>
      </c>
    </row>
    <row r="40" spans="6:23" x14ac:dyDescent="0.25">
      <c r="H40" s="77">
        <f>$A$7</f>
        <v>1</v>
      </c>
      <c r="I40" s="79">
        <f>$J$15</f>
        <v>19704000</v>
      </c>
      <c r="J40" s="100">
        <f>H40*I40/10000</f>
        <v>1970.4</v>
      </c>
    </row>
    <row r="43" spans="6:23" x14ac:dyDescent="0.25">
      <c r="F43" s="4" t="s">
        <v>81</v>
      </c>
    </row>
    <row r="44" spans="6:23" ht="18" x14ac:dyDescent="0.25">
      <c r="F44" s="76" t="s">
        <v>58</v>
      </c>
      <c r="G44" s="64" t="s">
        <v>79</v>
      </c>
      <c r="H44" s="64" t="s">
        <v>80</v>
      </c>
      <c r="I44" s="102" t="s">
        <v>76</v>
      </c>
      <c r="J44" s="85" t="s">
        <v>81</v>
      </c>
    </row>
    <row r="45" spans="6:23" x14ac:dyDescent="0.25">
      <c r="F45" s="77">
        <f>$A$7</f>
        <v>1</v>
      </c>
      <c r="G45" s="79">
        <f>J40</f>
        <v>1970.4</v>
      </c>
      <c r="H45" s="101">
        <f>J25</f>
        <v>217447.44</v>
      </c>
      <c r="I45" s="103">
        <f>J35</f>
        <v>1.491650596492208</v>
      </c>
      <c r="J45" s="89">
        <f>(F45*G45)+(F45*H45*I45/10000)</f>
        <v>2002.8355603581704</v>
      </c>
    </row>
    <row r="47" spans="6:23" x14ac:dyDescent="0.25">
      <c r="I47" s="1" t="s">
        <v>79</v>
      </c>
      <c r="J47" s="70">
        <f>F45*G45</f>
        <v>1970.4</v>
      </c>
      <c r="K47" s="84" t="s">
        <v>82</v>
      </c>
    </row>
    <row r="48" spans="6:23" x14ac:dyDescent="0.25">
      <c r="I48" s="1" t="s">
        <v>83</v>
      </c>
      <c r="J48" s="70">
        <f>F45*H45*I45/10000</f>
        <v>32.435560358170363</v>
      </c>
      <c r="K48" s="84" t="s">
        <v>84</v>
      </c>
    </row>
    <row r="49" spans="9:10" ht="15.75" thickBot="1" x14ac:dyDescent="0.3">
      <c r="I49" s="1" t="s">
        <v>81</v>
      </c>
      <c r="J49" s="104">
        <f>SUM(J47:J48)</f>
        <v>2002.8355603581704</v>
      </c>
    </row>
    <row r="50" spans="9:10" ht="15.75" thickTop="1" x14ac:dyDescent="0.25"/>
  </sheetData>
  <dataValidations disablePrompts="1" count="4">
    <dataValidation type="decimal" allowBlank="1" showInputMessage="1" showErrorMessage="1" sqref="C14" xr:uid="{73B1F99F-0133-44F4-925A-886126103BDD}">
      <formula1>0</formula1>
      <formula2>20</formula2>
    </dataValidation>
    <dataValidation type="list" allowBlank="1" showInputMessage="1" showErrorMessage="1" sqref="C7" xr:uid="{25430CD3-5CCF-4E0D-94CA-D13A601B016B}">
      <formula1>"PAYER,RECEIVER"</formula1>
    </dataValidation>
    <dataValidation type="list" allowBlank="1" showInputMessage="1" showErrorMessage="1" sqref="C8" xr:uid="{D9722142-A910-4336-9D87-CC68AE10C95E}">
      <formula1>"EUR,USD,GBP,JPY"</formula1>
    </dataValidation>
    <dataValidation type="list" allowBlank="1" showInputMessage="1" showErrorMessage="1" sqref="C11:C12" xr:uid="{2E0DE01E-931F-40B9-A19A-02EBB870387C}">
      <formula1>"ANNUAL,SEMI-ANNUAL,QUARTERLY,MONTHLY"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838E7-D386-4B77-A9E4-0EBF1EC8158F}">
  <sheetPr codeName="Sheet6"/>
  <dimension ref="A2:AF27"/>
  <sheetViews>
    <sheetView showGridLines="0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4" width="11.7109375" style="1" customWidth="1"/>
    <col min="15" max="15" width="9.140625" style="1"/>
    <col min="16" max="23" width="11.7109375" style="1" customWidth="1"/>
    <col min="24" max="24" width="11.7109375" style="1" hidden="1" customWidth="1"/>
    <col min="25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44773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6">
        <f>SUM(L8:L9)</f>
        <v>50000</v>
      </c>
      <c r="N6" s="66">
        <f>SUM(N8:N9)</f>
        <v>51600</v>
      </c>
      <c r="P6" s="4" t="s">
        <v>3</v>
      </c>
      <c r="Z6" s="66">
        <f>SUM(Z8:Z11)</f>
        <v>22870</v>
      </c>
      <c r="AA6" s="61"/>
      <c r="AB6" s="66">
        <f>SUM(AB8:AB11)</f>
        <v>23580.449999999997</v>
      </c>
    </row>
    <row r="7" spans="1:32" ht="18" x14ac:dyDescent="0.25">
      <c r="A7" s="48">
        <f>IF(C7="RECEIVER",1,-1)</f>
        <v>-1</v>
      </c>
      <c r="B7" s="6" t="s">
        <v>4</v>
      </c>
      <c r="C7" s="7" t="s">
        <v>39</v>
      </c>
      <c r="D7" s="8"/>
      <c r="E7" s="63" t="s">
        <v>7</v>
      </c>
      <c r="F7" s="64" t="s">
        <v>8</v>
      </c>
      <c r="G7" s="64" t="s">
        <v>9</v>
      </c>
      <c r="H7" s="64" t="s">
        <v>41</v>
      </c>
      <c r="I7" s="64" t="s">
        <v>10</v>
      </c>
      <c r="J7" s="64" t="s">
        <v>42</v>
      </c>
      <c r="K7" s="64" t="s">
        <v>44</v>
      </c>
      <c r="L7" s="64" t="s">
        <v>52</v>
      </c>
      <c r="M7" s="64" t="s">
        <v>45</v>
      </c>
      <c r="N7" s="65" t="s">
        <v>43</v>
      </c>
      <c r="O7" s="52"/>
      <c r="P7" s="63" t="s">
        <v>11</v>
      </c>
      <c r="Q7" s="64" t="s">
        <v>7</v>
      </c>
      <c r="R7" s="64" t="s">
        <v>8</v>
      </c>
      <c r="S7" s="64" t="s">
        <v>9</v>
      </c>
      <c r="T7" s="64" t="s">
        <v>46</v>
      </c>
      <c r="U7" s="64" t="s">
        <v>10</v>
      </c>
      <c r="V7" s="64" t="s">
        <v>47</v>
      </c>
      <c r="W7" s="64" t="s">
        <v>12</v>
      </c>
      <c r="X7" s="64" t="s">
        <v>48</v>
      </c>
      <c r="Y7" s="64" t="s">
        <v>49</v>
      </c>
      <c r="Z7" s="64" t="s">
        <v>52</v>
      </c>
      <c r="AA7" s="64" t="s">
        <v>50</v>
      </c>
      <c r="AB7" s="65" t="s">
        <v>51</v>
      </c>
      <c r="AC7" s="9"/>
    </row>
    <row r="8" spans="1:32" x14ac:dyDescent="0.25">
      <c r="A8" s="47"/>
      <c r="B8" s="10" t="s">
        <v>13</v>
      </c>
      <c r="C8" s="11" t="s">
        <v>14</v>
      </c>
      <c r="D8" s="8"/>
      <c r="E8" s="68">
        <f ca="1">$C$3+LEFT($E$3,LEN($E$3)-1)</f>
        <v>44775</v>
      </c>
      <c r="F8" s="13">
        <f ca="1">EDATE(E8,$A$11)</f>
        <v>45140</v>
      </c>
      <c r="G8" s="13">
        <f ca="1">F8+LEFT($G$3,LEN($G$3)-1)</f>
        <v>45142</v>
      </c>
      <c r="H8" s="14">
        <f>K8</f>
        <v>1</v>
      </c>
      <c r="I8" s="15">
        <f>$C$9</f>
        <v>5000000</v>
      </c>
      <c r="J8" s="16">
        <f>$C$10</f>
        <v>5.0000000000000001E-3</v>
      </c>
      <c r="K8" s="14">
        <f>$A$11/12</f>
        <v>1</v>
      </c>
      <c r="L8" s="14">
        <f>I8*J8*K8</f>
        <v>25000</v>
      </c>
      <c r="M8" s="54">
        <v>1.038</v>
      </c>
      <c r="N8" s="50">
        <f>L8*M8</f>
        <v>25950</v>
      </c>
      <c r="O8" s="52"/>
      <c r="P8" s="12">
        <f ca="1">Q8-LEFT($P$3,LEN($P$3)-1)</f>
        <v>44773</v>
      </c>
      <c r="Q8" s="69">
        <f ca="1">$C$3+LEFT($Q$3,LEN($E$3)-1)</f>
        <v>44775</v>
      </c>
      <c r="R8" s="13">
        <f ca="1">EDATE(Q8,$A$12)</f>
        <v>44959</v>
      </c>
      <c r="S8" s="13">
        <f ca="1">R8+LEFT($S$3,LEN($S$3)-1)</f>
        <v>44961</v>
      </c>
      <c r="T8" s="14">
        <f>Y8</f>
        <v>0.5</v>
      </c>
      <c r="U8" s="15">
        <f>$C$9</f>
        <v>5000000</v>
      </c>
      <c r="V8" s="16">
        <v>4.8700000000000002E-4</v>
      </c>
      <c r="W8" s="14">
        <v>0</v>
      </c>
      <c r="X8" s="16">
        <f>V8+W8</f>
        <v>4.8700000000000002E-4</v>
      </c>
      <c r="Y8" s="14">
        <f>$A$12/12</f>
        <v>0.5</v>
      </c>
      <c r="Z8" s="14">
        <f>U8*X8*Y8</f>
        <v>1217.5</v>
      </c>
      <c r="AA8" s="54">
        <v>1.044</v>
      </c>
      <c r="AB8" s="50">
        <f>U8*X8*Y8*AA8</f>
        <v>1271.07</v>
      </c>
      <c r="AC8" s="9"/>
      <c r="AF8" s="17"/>
    </row>
    <row r="9" spans="1:32" x14ac:dyDescent="0.25">
      <c r="A9" s="47"/>
      <c r="B9" s="10" t="s">
        <v>15</v>
      </c>
      <c r="C9" s="18">
        <v>5000000</v>
      </c>
      <c r="D9" s="8"/>
      <c r="E9" s="33">
        <f ca="1">F8</f>
        <v>45140</v>
      </c>
      <c r="F9" s="34">
        <f ca="1">EDATE(E9,$A$11)</f>
        <v>45506</v>
      </c>
      <c r="G9" s="34">
        <f ca="1">F9+LEFT($G$3,LEN($G$3)-1)</f>
        <v>45508</v>
      </c>
      <c r="H9" s="35">
        <f>H8+K9</f>
        <v>2</v>
      </c>
      <c r="I9" s="36">
        <f>$C$9</f>
        <v>5000000</v>
      </c>
      <c r="J9" s="37">
        <f>$C$10</f>
        <v>5.0000000000000001E-3</v>
      </c>
      <c r="K9" s="35">
        <f>$A$11/12</f>
        <v>1</v>
      </c>
      <c r="L9" s="35">
        <f>I9*J9*K9</f>
        <v>25000</v>
      </c>
      <c r="M9" s="62">
        <v>1.026</v>
      </c>
      <c r="N9" s="31">
        <f>L9*M9</f>
        <v>25650</v>
      </c>
      <c r="O9" s="52"/>
      <c r="P9" s="19">
        <f ca="1">Q9-LEFT($P$3,LEN($P$3)-1)</f>
        <v>44957</v>
      </c>
      <c r="Q9" s="46">
        <f ca="1">R8</f>
        <v>44959</v>
      </c>
      <c r="R9" s="46">
        <f ca="1">EDATE(Q9,$A$12)</f>
        <v>45140</v>
      </c>
      <c r="S9" s="46">
        <f ca="1">R9+LEFT($S$3,LEN($S$3)-1)</f>
        <v>45142</v>
      </c>
      <c r="T9" s="53">
        <f>T8+Y9</f>
        <v>1</v>
      </c>
      <c r="U9" s="43">
        <f>$C$9</f>
        <v>5000000</v>
      </c>
      <c r="V9" s="44">
        <v>1.6869999999999999E-3</v>
      </c>
      <c r="W9" s="53">
        <v>0</v>
      </c>
      <c r="X9" s="44">
        <f>V9+W9</f>
        <v>1.6869999999999999E-3</v>
      </c>
      <c r="Y9" s="53">
        <f>$A$12/12</f>
        <v>0.5</v>
      </c>
      <c r="Z9" s="53">
        <f>U9*X9*Y9</f>
        <v>4217.5</v>
      </c>
      <c r="AA9" s="45">
        <v>1.038</v>
      </c>
      <c r="AB9" s="40">
        <f>U9*X9*Y9*AA9</f>
        <v>4377.7650000000003</v>
      </c>
      <c r="AC9" s="9"/>
      <c r="AF9" s="17"/>
    </row>
    <row r="10" spans="1:32" ht="17.25" x14ac:dyDescent="0.25">
      <c r="A10" s="47"/>
      <c r="B10" s="10" t="s">
        <v>16</v>
      </c>
      <c r="C10" s="60">
        <v>5.0000000000000001E-3</v>
      </c>
      <c r="D10" s="8"/>
      <c r="O10" s="52"/>
      <c r="P10" s="19">
        <f ca="1">Q10-LEFT($P$3,LEN($P$3)-1)</f>
        <v>45138</v>
      </c>
      <c r="Q10" s="46">
        <f ca="1">R9</f>
        <v>45140</v>
      </c>
      <c r="R10" s="46">
        <f ca="1">EDATE(Q10,$A$12)</f>
        <v>45324</v>
      </c>
      <c r="S10" s="46">
        <f ca="1">R10+LEFT($S$3,LEN($S$3)-1)</f>
        <v>45326</v>
      </c>
      <c r="T10" s="53">
        <f>T9+Y10</f>
        <v>1.5</v>
      </c>
      <c r="U10" s="43">
        <f>$C$9</f>
        <v>5000000</v>
      </c>
      <c r="V10" s="44">
        <v>2.8869999999999998E-3</v>
      </c>
      <c r="W10" s="53">
        <v>0</v>
      </c>
      <c r="X10" s="44">
        <f>V10+W10</f>
        <v>2.8869999999999998E-3</v>
      </c>
      <c r="Y10" s="53">
        <f>$A$12/12</f>
        <v>0.5</v>
      </c>
      <c r="Z10" s="53">
        <f>U10*X10*Y10</f>
        <v>7217.4999999999991</v>
      </c>
      <c r="AA10" s="45">
        <v>1.032</v>
      </c>
      <c r="AB10" s="40">
        <f>U10*X10*Y10*AA10</f>
        <v>7448.4599999999991</v>
      </c>
      <c r="AC10" s="9"/>
      <c r="AF10" s="17"/>
    </row>
    <row r="11" spans="1:32" x14ac:dyDescent="0.25">
      <c r="A11" s="49">
        <f>IF(C11="ANNUAL",12,IF(C11="SEMI-ANNUAL",6,IF(C11="QUARTERLY",3,IF(C11="MONTHLY",1,0))))</f>
        <v>12</v>
      </c>
      <c r="B11" s="10" t="s">
        <v>17</v>
      </c>
      <c r="C11" s="24" t="s">
        <v>33</v>
      </c>
      <c r="D11" s="8"/>
      <c r="O11" s="52"/>
      <c r="P11" s="33">
        <f ca="1">Q11-LEFT($P$3,LEN($P$3)-1)</f>
        <v>45322</v>
      </c>
      <c r="Q11" s="34">
        <f ca="1">R10</f>
        <v>45324</v>
      </c>
      <c r="R11" s="34">
        <f ca="1">EDATE(Q11,$A$12)</f>
        <v>45506</v>
      </c>
      <c r="S11" s="34">
        <f ca="1">R11+LEFT($S$3,LEN($S$3)-1)</f>
        <v>45508</v>
      </c>
      <c r="T11" s="35">
        <f>T10+Y11</f>
        <v>2</v>
      </c>
      <c r="U11" s="36">
        <f>$C$9</f>
        <v>5000000</v>
      </c>
      <c r="V11" s="37">
        <v>4.0870000000000004E-3</v>
      </c>
      <c r="W11" s="35">
        <v>0</v>
      </c>
      <c r="X11" s="37">
        <f>V11+W11</f>
        <v>4.0870000000000004E-3</v>
      </c>
      <c r="Y11" s="35">
        <f>$A$12/12</f>
        <v>0.5</v>
      </c>
      <c r="Z11" s="35">
        <f>U11*X11*Y11</f>
        <v>10217.5</v>
      </c>
      <c r="AA11" s="62">
        <v>1.026</v>
      </c>
      <c r="AB11" s="31">
        <f>U11*X11*Y11*AA11</f>
        <v>10483.155000000001</v>
      </c>
      <c r="AC11" s="9"/>
      <c r="AF11" s="17"/>
    </row>
    <row r="12" spans="1:32" x14ac:dyDescent="0.25">
      <c r="A12" s="49">
        <f>IF(C12="ANNUAL",12,IF(C12="SEMI-ANNUAL",6,IF(C12="QUARTERLY",3,IF(C12="MONTHLY",1,0))))</f>
        <v>6</v>
      </c>
      <c r="B12" s="10" t="s">
        <v>18</v>
      </c>
      <c r="C12" s="24" t="s">
        <v>35</v>
      </c>
      <c r="D12" s="8"/>
      <c r="AF12" s="17"/>
    </row>
    <row r="13" spans="1:32" x14ac:dyDescent="0.25">
      <c r="A13" s="47"/>
      <c r="B13" s="10" t="s">
        <v>19</v>
      </c>
      <c r="C13" s="25">
        <v>0</v>
      </c>
      <c r="D13" s="8"/>
      <c r="AF13" s="17"/>
    </row>
    <row r="14" spans="1:32" x14ac:dyDescent="0.25">
      <c r="A14" s="47"/>
      <c r="B14" s="26" t="s">
        <v>20</v>
      </c>
      <c r="C14" s="27">
        <v>2</v>
      </c>
      <c r="D14" s="8"/>
    </row>
    <row r="15" spans="1:32" x14ac:dyDescent="0.25">
      <c r="D15" s="8"/>
    </row>
    <row r="16" spans="1:32" x14ac:dyDescent="0.25">
      <c r="D16" s="8"/>
    </row>
    <row r="17" spans="2:4" x14ac:dyDescent="0.25">
      <c r="B17" s="4" t="s">
        <v>21</v>
      </c>
      <c r="D17" s="8"/>
    </row>
    <row r="18" spans="2:4" x14ac:dyDescent="0.25">
      <c r="B18" s="28" t="s">
        <v>22</v>
      </c>
      <c r="C18" s="57">
        <f>$A$7*(C19-C20)</f>
        <v>-28019.550000000003</v>
      </c>
      <c r="D18" s="8"/>
    </row>
    <row r="19" spans="2:4" x14ac:dyDescent="0.25">
      <c r="B19" s="29" t="s">
        <v>23</v>
      </c>
      <c r="C19" s="58">
        <f>SUM(N8:N9)</f>
        <v>51600</v>
      </c>
      <c r="D19" s="8"/>
    </row>
    <row r="20" spans="2:4" x14ac:dyDescent="0.25">
      <c r="B20" s="29" t="s">
        <v>24</v>
      </c>
      <c r="C20" s="58">
        <f>SUM(AB8:AB11)</f>
        <v>23580.449999999997</v>
      </c>
      <c r="D20" s="8"/>
    </row>
    <row r="21" spans="2:4" x14ac:dyDescent="0.25">
      <c r="B21" s="30" t="s">
        <v>25</v>
      </c>
      <c r="C21" s="59">
        <f>C20/C26</f>
        <v>2.2849273255813951E-3</v>
      </c>
      <c r="D21" s="8"/>
    </row>
    <row r="22" spans="2:4" x14ac:dyDescent="0.25">
      <c r="D22" s="8"/>
    </row>
    <row r="23" spans="2:4" x14ac:dyDescent="0.25">
      <c r="B23" s="4" t="s">
        <v>26</v>
      </c>
      <c r="D23" s="8"/>
    </row>
    <row r="24" spans="2:4" ht="17.25" x14ac:dyDescent="0.25">
      <c r="B24" s="6" t="s">
        <v>27</v>
      </c>
      <c r="C24" s="51">
        <f>SUMPRODUCT(K8:K9,M8:M9)</f>
        <v>2.0640000000000001</v>
      </c>
      <c r="D24" s="8"/>
    </row>
    <row r="25" spans="2:4" ht="17.25" x14ac:dyDescent="0.25">
      <c r="B25" s="10" t="s">
        <v>28</v>
      </c>
      <c r="C25" s="38">
        <f>SUMPRODUCT(Y8:Y11,AA8:AA11)</f>
        <v>2.0699999999999998</v>
      </c>
      <c r="D25" s="8"/>
    </row>
    <row r="26" spans="2:4" ht="18" x14ac:dyDescent="0.25">
      <c r="B26" s="10" t="s">
        <v>29</v>
      </c>
      <c r="C26" s="32">
        <f>SUMPRODUCT(K8:K9,M8:M9,I8:I9)</f>
        <v>10320000</v>
      </c>
      <c r="D26" s="8"/>
    </row>
    <row r="27" spans="2:4" ht="18" x14ac:dyDescent="0.25">
      <c r="B27" s="26" t="s">
        <v>30</v>
      </c>
      <c r="C27" s="39">
        <f>SUMPRODUCT(Y8:Y11,AA8:AA11,U8:U11)</f>
        <v>10350000</v>
      </c>
      <c r="D27" s="8"/>
    </row>
  </sheetData>
  <dataValidations count="4">
    <dataValidation type="decimal" allowBlank="1" showInputMessage="1" showErrorMessage="1" sqref="C14" xr:uid="{52100E33-23C0-45FA-9E85-B5E88982BB13}">
      <formula1>0</formula1>
      <formula2>20</formula2>
    </dataValidation>
    <dataValidation type="list" allowBlank="1" showInputMessage="1" showErrorMessage="1" sqref="C7" xr:uid="{4A6E9383-522C-49EE-887E-2F8DCDA7B987}">
      <formula1>"PAYER,RECEIVER"</formula1>
    </dataValidation>
    <dataValidation type="list" allowBlank="1" showInputMessage="1" showErrorMessage="1" sqref="C8" xr:uid="{04B700AE-8B9C-4B02-8511-1961CF112955}">
      <formula1>"EUR,USD,GBP,JPY"</formula1>
    </dataValidation>
    <dataValidation type="list" allowBlank="1" showInputMessage="1" showErrorMessage="1" sqref="C11:C12" xr:uid="{3FCD985C-FDAF-4AB6-A78D-56B2857CD61B}">
      <formula1>"ANNUAL,SEMI-ANNUAL,QUARTERLY,MONTHLY"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USD Swap Price</vt:lpstr>
      <vt:lpstr>USD Swap Risk</vt:lpstr>
      <vt:lpstr>EUR Swap 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2022-07-24T14:33:53Z</dcterms:created>
  <dcterms:modified xsi:type="dcterms:W3CDTF">2022-07-31T15:43:23Z</dcterms:modified>
</cp:coreProperties>
</file>