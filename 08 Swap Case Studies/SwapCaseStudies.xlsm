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BOOK\.SWAPS_BOOK\08 Swap Case Studies\"/>
    </mc:Choice>
  </mc:AlternateContent>
  <xr:revisionPtr revIDLastSave="0" documentId="8_{F30FB946-C204-4131-9934-9F8B573C3233}" xr6:coauthVersionLast="47" xr6:coauthVersionMax="47" xr10:uidLastSave="{00000000-0000-0000-0000-000000000000}"/>
  <bookViews>
    <workbookView xWindow="25875" yWindow="2970" windowWidth="24990" windowHeight="15105" activeTab="1" xr2:uid="{85267533-0016-427F-8F6D-9C02F5020E56}"/>
  </bookViews>
  <sheets>
    <sheet name="Template" sheetId="4" r:id="rId1"/>
    <sheet name="USD Swap Case Study" sheetId="2" r:id="rId2"/>
    <sheet name="EUR Swap Case Study" sheetId="5" r:id="rId3"/>
  </sheets>
  <calcPr calcId="191029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8" i="5" l="1"/>
  <c r="X8" i="5"/>
  <c r="A12" i="5"/>
  <c r="Y8" i="5"/>
  <c r="AB8" i="5"/>
  <c r="U9" i="5"/>
  <c r="X9" i="5"/>
  <c r="Y9" i="5"/>
  <c r="AB9" i="5"/>
  <c r="U10" i="5"/>
  <c r="X10" i="5"/>
  <c r="Y10" i="5"/>
  <c r="AB10" i="5"/>
  <c r="U11" i="5"/>
  <c r="X11" i="5"/>
  <c r="Y11" i="5"/>
  <c r="AB11" i="5"/>
  <c r="C20" i="5"/>
  <c r="U8" i="4"/>
  <c r="X8" i="4"/>
  <c r="A12" i="4"/>
  <c r="Y8" i="4"/>
  <c r="AB8" i="4"/>
  <c r="U9" i="4"/>
  <c r="X9" i="4"/>
  <c r="Y9" i="4"/>
  <c r="AB9" i="4"/>
  <c r="U10" i="4"/>
  <c r="X10" i="4"/>
  <c r="Y10" i="4"/>
  <c r="AB10" i="4"/>
  <c r="U11" i="4"/>
  <c r="X11" i="4"/>
  <c r="Y11" i="4"/>
  <c r="AB11" i="4"/>
  <c r="U12" i="4"/>
  <c r="X12" i="4"/>
  <c r="Y12" i="4"/>
  <c r="AB12" i="4"/>
  <c r="U13" i="4"/>
  <c r="X13" i="4"/>
  <c r="Y13" i="4"/>
  <c r="AB13" i="4"/>
  <c r="U14" i="4"/>
  <c r="X14" i="4"/>
  <c r="Y14" i="4"/>
  <c r="AB14" i="4"/>
  <c r="U15" i="4"/>
  <c r="X15" i="4"/>
  <c r="Y15" i="4"/>
  <c r="AB15" i="4"/>
  <c r="U16" i="4"/>
  <c r="X16" i="4"/>
  <c r="Y16" i="4"/>
  <c r="AB16" i="4"/>
  <c r="U17" i="4"/>
  <c r="X17" i="4"/>
  <c r="Y17" i="4"/>
  <c r="AB17" i="4"/>
  <c r="U18" i="4"/>
  <c r="X18" i="4"/>
  <c r="Y18" i="4"/>
  <c r="AB18" i="4"/>
  <c r="U19" i="4"/>
  <c r="X19" i="4"/>
  <c r="Y19" i="4"/>
  <c r="AB19" i="4"/>
  <c r="U20" i="4"/>
  <c r="X20" i="4"/>
  <c r="Y20" i="4"/>
  <c r="AB20" i="4"/>
  <c r="U21" i="4"/>
  <c r="X21" i="4"/>
  <c r="Y21" i="4"/>
  <c r="AB21" i="4"/>
  <c r="U22" i="4"/>
  <c r="X22" i="4"/>
  <c r="Y22" i="4"/>
  <c r="AB22" i="4"/>
  <c r="U23" i="4"/>
  <c r="X23" i="4"/>
  <c r="Y23" i="4"/>
  <c r="AB23" i="4"/>
  <c r="U24" i="4"/>
  <c r="X24" i="4"/>
  <c r="Y24" i="4"/>
  <c r="AB24" i="4"/>
  <c r="U25" i="4"/>
  <c r="X25" i="4"/>
  <c r="Y25" i="4"/>
  <c r="AB25" i="4"/>
  <c r="U26" i="4"/>
  <c r="X26" i="4"/>
  <c r="Y26" i="4"/>
  <c r="AB26" i="4"/>
  <c r="U27" i="4"/>
  <c r="X27" i="4"/>
  <c r="Y27" i="4"/>
  <c r="AB27" i="4"/>
  <c r="C20" i="4"/>
  <c r="U8" i="2"/>
  <c r="X8" i="2"/>
  <c r="A12" i="2"/>
  <c r="Y8" i="2"/>
  <c r="AB8" i="2"/>
  <c r="U9" i="2"/>
  <c r="X9" i="2"/>
  <c r="Y9" i="2"/>
  <c r="AB9" i="2"/>
  <c r="U10" i="2"/>
  <c r="X10" i="2"/>
  <c r="Y10" i="2"/>
  <c r="AB10" i="2"/>
  <c r="U11" i="2"/>
  <c r="X11" i="2"/>
  <c r="Y11" i="2"/>
  <c r="AB11" i="2"/>
  <c r="U12" i="2"/>
  <c r="X12" i="2"/>
  <c r="Y12" i="2"/>
  <c r="AB12" i="2"/>
  <c r="C20" i="2"/>
  <c r="A7" i="2"/>
  <c r="A7" i="5"/>
  <c r="I8" i="5"/>
  <c r="J8" i="5"/>
  <c r="A11" i="5"/>
  <c r="K8" i="5"/>
  <c r="L8" i="5"/>
  <c r="N8" i="5"/>
  <c r="I9" i="5"/>
  <c r="J9" i="5"/>
  <c r="K9" i="5"/>
  <c r="L9" i="5"/>
  <c r="N9" i="5"/>
  <c r="C19" i="5"/>
  <c r="C18" i="5"/>
  <c r="T8" i="5"/>
  <c r="T9" i="5"/>
  <c r="T10" i="5"/>
  <c r="T11" i="5"/>
  <c r="T8" i="2"/>
  <c r="T9" i="2"/>
  <c r="T10" i="2"/>
  <c r="T11" i="2"/>
  <c r="T12" i="2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C25" i="5"/>
  <c r="Z11" i="5"/>
  <c r="C3" i="5"/>
  <c r="Q8" i="5"/>
  <c r="R8" i="5"/>
  <c r="Q9" i="5"/>
  <c r="R9" i="5"/>
  <c r="Q10" i="5"/>
  <c r="R10" i="5"/>
  <c r="Q11" i="5"/>
  <c r="R11" i="5"/>
  <c r="S11" i="5"/>
  <c r="P11" i="5"/>
  <c r="Z10" i="5"/>
  <c r="S10" i="5"/>
  <c r="P10" i="5"/>
  <c r="Z9" i="5"/>
  <c r="S9" i="5"/>
  <c r="P9" i="5"/>
  <c r="H8" i="5"/>
  <c r="H9" i="5"/>
  <c r="E8" i="5"/>
  <c r="F8" i="5"/>
  <c r="E9" i="5"/>
  <c r="F9" i="5"/>
  <c r="G9" i="5"/>
  <c r="Z8" i="5"/>
  <c r="S8" i="5"/>
  <c r="P8" i="5"/>
  <c r="G8" i="5"/>
  <c r="AB6" i="5"/>
  <c r="Z6" i="5"/>
  <c r="N6" i="5"/>
  <c r="L6" i="5"/>
  <c r="Z27" i="4"/>
  <c r="C3" i="4"/>
  <c r="Q8" i="4"/>
  <c r="R8" i="4"/>
  <c r="Q9" i="4"/>
  <c r="R9" i="4"/>
  <c r="Q10" i="4"/>
  <c r="R10" i="4"/>
  <c r="Q11" i="4"/>
  <c r="R11" i="4"/>
  <c r="Q12" i="4"/>
  <c r="R12" i="4"/>
  <c r="Q13" i="4"/>
  <c r="R13" i="4"/>
  <c r="Q14" i="4"/>
  <c r="R14" i="4"/>
  <c r="Q15" i="4"/>
  <c r="R15" i="4"/>
  <c r="Q16" i="4"/>
  <c r="R16" i="4"/>
  <c r="Q17" i="4"/>
  <c r="R17" i="4"/>
  <c r="Q18" i="4"/>
  <c r="R18" i="4"/>
  <c r="Q19" i="4"/>
  <c r="R19" i="4"/>
  <c r="Q20" i="4"/>
  <c r="R20" i="4"/>
  <c r="Q21" i="4"/>
  <c r="R21" i="4"/>
  <c r="Q22" i="4"/>
  <c r="R22" i="4"/>
  <c r="Q23" i="4"/>
  <c r="R23" i="4"/>
  <c r="Q24" i="4"/>
  <c r="R24" i="4"/>
  <c r="Q25" i="4"/>
  <c r="R25" i="4"/>
  <c r="Q26" i="4"/>
  <c r="R26" i="4"/>
  <c r="Q27" i="4"/>
  <c r="R27" i="4"/>
  <c r="S27" i="4"/>
  <c r="P27" i="4"/>
  <c r="Z26" i="4"/>
  <c r="S26" i="4"/>
  <c r="P26" i="4"/>
  <c r="Z25" i="4"/>
  <c r="S25" i="4"/>
  <c r="P25" i="4"/>
  <c r="Z24" i="4"/>
  <c r="S24" i="4"/>
  <c r="P24" i="4"/>
  <c r="Z23" i="4"/>
  <c r="S23" i="4"/>
  <c r="P23" i="4"/>
  <c r="Z22" i="4"/>
  <c r="S22" i="4"/>
  <c r="P22" i="4"/>
  <c r="Z21" i="4"/>
  <c r="S21" i="4"/>
  <c r="P21" i="4"/>
  <c r="Z20" i="4"/>
  <c r="S20" i="4"/>
  <c r="P20" i="4"/>
  <c r="Z19" i="4"/>
  <c r="S19" i="4"/>
  <c r="P19" i="4"/>
  <c r="Z18" i="4"/>
  <c r="S18" i="4"/>
  <c r="P18" i="4"/>
  <c r="Z17" i="4"/>
  <c r="S17" i="4"/>
  <c r="P17" i="4"/>
  <c r="Z16" i="4"/>
  <c r="S16" i="4"/>
  <c r="P16" i="4"/>
  <c r="Z15" i="4"/>
  <c r="S15" i="4"/>
  <c r="P15" i="4"/>
  <c r="Z14" i="4"/>
  <c r="S14" i="4"/>
  <c r="P14" i="4"/>
  <c r="Z13" i="4"/>
  <c r="S13" i="4"/>
  <c r="P13" i="4"/>
  <c r="I27" i="4"/>
  <c r="J27" i="4"/>
  <c r="A11" i="4"/>
  <c r="K27" i="4"/>
  <c r="L27" i="4"/>
  <c r="N27" i="4"/>
  <c r="K8" i="4"/>
  <c r="H8" i="4"/>
  <c r="K9" i="4"/>
  <c r="H9" i="4"/>
  <c r="K10" i="4"/>
  <c r="H10" i="4"/>
  <c r="K11" i="4"/>
  <c r="H11" i="4"/>
  <c r="K12" i="4"/>
  <c r="H12" i="4"/>
  <c r="K13" i="4"/>
  <c r="H13" i="4"/>
  <c r="K14" i="4"/>
  <c r="H14" i="4"/>
  <c r="K15" i="4"/>
  <c r="H15" i="4"/>
  <c r="K16" i="4"/>
  <c r="H16" i="4"/>
  <c r="K17" i="4"/>
  <c r="H17" i="4"/>
  <c r="K18" i="4"/>
  <c r="H18" i="4"/>
  <c r="K19" i="4"/>
  <c r="H19" i="4"/>
  <c r="K20" i="4"/>
  <c r="H20" i="4"/>
  <c r="K21" i="4"/>
  <c r="H21" i="4"/>
  <c r="K22" i="4"/>
  <c r="H22" i="4"/>
  <c r="K23" i="4"/>
  <c r="H23" i="4"/>
  <c r="K24" i="4"/>
  <c r="H24" i="4"/>
  <c r="K25" i="4"/>
  <c r="H25" i="4"/>
  <c r="K26" i="4"/>
  <c r="H26" i="4"/>
  <c r="H27" i="4"/>
  <c r="E8" i="4"/>
  <c r="F8" i="4"/>
  <c r="E9" i="4"/>
  <c r="F9" i="4"/>
  <c r="E10" i="4"/>
  <c r="F10" i="4"/>
  <c r="E11" i="4"/>
  <c r="F11" i="4"/>
  <c r="E12" i="4"/>
  <c r="F12" i="4"/>
  <c r="E13" i="4"/>
  <c r="F13" i="4"/>
  <c r="E14" i="4"/>
  <c r="F14" i="4"/>
  <c r="E15" i="4"/>
  <c r="F15" i="4"/>
  <c r="E16" i="4"/>
  <c r="F16" i="4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G27" i="4"/>
  <c r="I26" i="4"/>
  <c r="J26" i="4"/>
  <c r="L26" i="4"/>
  <c r="N26" i="4"/>
  <c r="G26" i="4"/>
  <c r="I25" i="4"/>
  <c r="J25" i="4"/>
  <c r="L25" i="4"/>
  <c r="N25" i="4"/>
  <c r="G25" i="4"/>
  <c r="I24" i="4"/>
  <c r="J24" i="4"/>
  <c r="L24" i="4"/>
  <c r="N24" i="4"/>
  <c r="G24" i="4"/>
  <c r="I23" i="4"/>
  <c r="J23" i="4"/>
  <c r="L23" i="4"/>
  <c r="N23" i="4"/>
  <c r="G23" i="4"/>
  <c r="I22" i="4"/>
  <c r="J22" i="4"/>
  <c r="L22" i="4"/>
  <c r="N22" i="4"/>
  <c r="G22" i="4"/>
  <c r="I21" i="4"/>
  <c r="J21" i="4"/>
  <c r="L21" i="4"/>
  <c r="N21" i="4"/>
  <c r="G21" i="4"/>
  <c r="I20" i="4"/>
  <c r="J20" i="4"/>
  <c r="L20" i="4"/>
  <c r="N20" i="4"/>
  <c r="G20" i="4"/>
  <c r="I19" i="4"/>
  <c r="J19" i="4"/>
  <c r="L19" i="4"/>
  <c r="N19" i="4"/>
  <c r="G19" i="4"/>
  <c r="I18" i="4"/>
  <c r="J18" i="4"/>
  <c r="L18" i="4"/>
  <c r="N18" i="4"/>
  <c r="G18" i="4"/>
  <c r="I17" i="4"/>
  <c r="J17" i="4"/>
  <c r="L17" i="4"/>
  <c r="N17" i="4"/>
  <c r="G17" i="4"/>
  <c r="I16" i="4"/>
  <c r="J16" i="4"/>
  <c r="L16" i="4"/>
  <c r="N16" i="4"/>
  <c r="G16" i="4"/>
  <c r="I15" i="4"/>
  <c r="J15" i="4"/>
  <c r="L15" i="4"/>
  <c r="N15" i="4"/>
  <c r="G15" i="4"/>
  <c r="I14" i="4"/>
  <c r="J14" i="4"/>
  <c r="L14" i="4"/>
  <c r="N14" i="4"/>
  <c r="G14" i="4"/>
  <c r="I13" i="4"/>
  <c r="J13" i="4"/>
  <c r="L13" i="4"/>
  <c r="N13" i="4"/>
  <c r="G13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C27" i="4"/>
  <c r="I8" i="4"/>
  <c r="I9" i="4"/>
  <c r="I10" i="4"/>
  <c r="I11" i="4"/>
  <c r="I12" i="4"/>
  <c r="C25" i="4"/>
  <c r="C24" i="4"/>
  <c r="A7" i="4"/>
  <c r="J8" i="4"/>
  <c r="L8" i="4"/>
  <c r="N8" i="4"/>
  <c r="J9" i="4"/>
  <c r="L9" i="4"/>
  <c r="N9" i="4"/>
  <c r="J10" i="4"/>
  <c r="L10" i="4"/>
  <c r="N10" i="4"/>
  <c r="J11" i="4"/>
  <c r="L11" i="4"/>
  <c r="N11" i="4"/>
  <c r="J12" i="4"/>
  <c r="L12" i="4"/>
  <c r="N12" i="4"/>
  <c r="C19" i="4"/>
  <c r="C18" i="4"/>
  <c r="Z12" i="4"/>
  <c r="S12" i="4"/>
  <c r="P12" i="4"/>
  <c r="G12" i="4"/>
  <c r="Z11" i="4"/>
  <c r="S11" i="4"/>
  <c r="P11" i="4"/>
  <c r="G11" i="4"/>
  <c r="Z10" i="4"/>
  <c r="S10" i="4"/>
  <c r="P10" i="4"/>
  <c r="G10" i="4"/>
  <c r="Z9" i="4"/>
  <c r="S9" i="4"/>
  <c r="P9" i="4"/>
  <c r="G9" i="4"/>
  <c r="Z8" i="4"/>
  <c r="S8" i="4"/>
  <c r="P8" i="4"/>
  <c r="G8" i="4"/>
  <c r="AB6" i="4"/>
  <c r="Z6" i="4"/>
  <c r="N6" i="4"/>
  <c r="L6" i="4"/>
  <c r="AB6" i="2"/>
  <c r="Z8" i="2"/>
  <c r="Z9" i="2"/>
  <c r="Z10" i="2"/>
  <c r="Z11" i="2"/>
  <c r="Z12" i="2"/>
  <c r="Z6" i="2"/>
  <c r="I8" i="2"/>
  <c r="J8" i="2"/>
  <c r="A11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L6" i="2"/>
  <c r="N8" i="2"/>
  <c r="N9" i="2"/>
  <c r="N10" i="2"/>
  <c r="N11" i="2"/>
  <c r="N12" i="2"/>
  <c r="N6" i="2"/>
  <c r="C19" i="2"/>
  <c r="C18" i="2"/>
  <c r="C3" i="2"/>
  <c r="Q8" i="2"/>
  <c r="R8" i="2"/>
  <c r="Q9" i="2"/>
  <c r="R9" i="2"/>
  <c r="Q10" i="2"/>
  <c r="R10" i="2"/>
  <c r="Q11" i="2"/>
  <c r="R11" i="2"/>
  <c r="Q12" i="2"/>
  <c r="P9" i="2"/>
  <c r="P10" i="2"/>
  <c r="P11" i="2"/>
  <c r="P12" i="2"/>
  <c r="S9" i="2"/>
  <c r="S10" i="2"/>
  <c r="S11" i="2"/>
  <c r="R12" i="2"/>
  <c r="S12" i="2"/>
  <c r="P8" i="2"/>
  <c r="E8" i="2"/>
  <c r="F8" i="2"/>
  <c r="E9" i="2"/>
  <c r="F9" i="2"/>
  <c r="G9" i="2"/>
  <c r="E10" i="2"/>
  <c r="F10" i="2"/>
  <c r="G10" i="2"/>
  <c r="E11" i="2"/>
  <c r="F11" i="2"/>
  <c r="G11" i="2"/>
  <c r="E12" i="2"/>
  <c r="F12" i="2"/>
  <c r="G12" i="2"/>
  <c r="S8" i="2"/>
  <c r="G8" i="2"/>
  <c r="H8" i="2"/>
  <c r="H9" i="2"/>
  <c r="H10" i="2"/>
  <c r="H11" i="2"/>
  <c r="H12" i="2"/>
  <c r="C27" i="2"/>
  <c r="C24" i="2"/>
  <c r="C25" i="2"/>
  <c r="C24" i="5"/>
  <c r="C27" i="5"/>
  <c r="C26" i="5"/>
  <c r="C21" i="5"/>
  <c r="C26" i="2"/>
  <c r="C21" i="2"/>
  <c r="C26" i="4"/>
  <c r="C21" i="4"/>
</calcChain>
</file>

<file path=xl/sharedStrings.xml><?xml version="1.0" encoding="utf-8"?>
<sst xmlns="http://schemas.openxmlformats.org/spreadsheetml/2006/main" count="194" uniqueCount="54">
  <si>
    <t>Refresh</t>
  </si>
  <si>
    <t>Swap Trade Details</t>
  </si>
  <si>
    <t>Fixed Leg</t>
  </si>
  <si>
    <t>Float Leg</t>
  </si>
  <si>
    <t>Payer/Receiver</t>
  </si>
  <si>
    <t>RECEIVER</t>
  </si>
  <si>
    <t>Row</t>
  </si>
  <si>
    <t>Accrual Start</t>
  </si>
  <si>
    <t>Accrual End</t>
  </si>
  <si>
    <t>Pay Date</t>
  </si>
  <si>
    <t>N</t>
  </si>
  <si>
    <t>Fixing Date</t>
  </si>
  <si>
    <t>s</t>
  </si>
  <si>
    <t>Currency</t>
  </si>
  <si>
    <t>EUR</t>
  </si>
  <si>
    <t>Notional, N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</si>
  <si>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</si>
  <si>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Fixed Frequency</t>
  </si>
  <si>
    <t>Float Frequency</t>
  </si>
  <si>
    <t>Libor Spread, s</t>
  </si>
  <si>
    <t>Tenor, T</t>
  </si>
  <si>
    <t>Swap Pricing</t>
  </si>
  <si>
    <t>Swap PV</t>
  </si>
  <si>
    <t>Fixed Leg PV</t>
  </si>
  <si>
    <t>Float Leg PV</t>
  </si>
  <si>
    <t>Par Rate</t>
  </si>
  <si>
    <t>Annuity Factors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</si>
  <si>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</si>
  <si>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</si>
  <si>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</si>
  <si>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</si>
  <si>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AsOfDate</t>
  </si>
  <si>
    <t>Effective Lag</t>
  </si>
  <si>
    <t>ANNUAL</t>
  </si>
  <si>
    <t>2D</t>
  </si>
  <si>
    <t>SEMI-ANNUAL</t>
  </si>
  <si>
    <t>USD</t>
  </si>
  <si>
    <t>Fixing Lag</t>
  </si>
  <si>
    <t>Pay Lag</t>
  </si>
  <si>
    <t>PAYER</t>
  </si>
  <si>
    <t>Total NPV</t>
  </si>
  <si>
    <r>
      <t>t</t>
    </r>
    <r>
      <rPr>
        <vertAlign val="subscript"/>
        <sz val="11"/>
        <color theme="0"/>
        <rFont val="Calibri"/>
        <family val="2"/>
        <scheme val="minor"/>
      </rPr>
      <t>i</t>
    </r>
  </si>
  <si>
    <r>
      <t>r</t>
    </r>
    <r>
      <rPr>
        <vertAlign val="superscript"/>
        <sz val="11"/>
        <color theme="0"/>
        <rFont val="Calibri"/>
        <family val="2"/>
        <scheme val="minor"/>
      </rPr>
      <t>Fixed</t>
    </r>
  </si>
  <si>
    <r>
      <t>PV</t>
    </r>
    <r>
      <rPr>
        <vertAlign val="superscript"/>
        <sz val="11"/>
        <color theme="0"/>
        <rFont val="Calibri"/>
        <family val="2"/>
        <scheme val="minor"/>
      </rPr>
      <t>Fixed</t>
    </r>
  </si>
  <si>
    <r>
      <rPr>
        <sz val="11"/>
        <color theme="0"/>
        <rFont val="Symbol"/>
        <family val="1"/>
        <charset val="2"/>
      </rPr>
      <t>t</t>
    </r>
    <r>
      <rPr>
        <vertAlign val="subscript"/>
        <sz val="11"/>
        <color theme="0"/>
        <rFont val="Calibri"/>
        <family val="2"/>
        <scheme val="minor"/>
      </rPr>
      <t>i</t>
    </r>
  </si>
  <si>
    <r>
      <t>P( t</t>
    </r>
    <r>
      <rPr>
        <vertAlign val="subscript"/>
        <sz val="11"/>
        <color theme="0"/>
        <rFont val="Calibri"/>
        <family val="2"/>
        <scheme val="minor"/>
      </rPr>
      <t>E</t>
    </r>
    <r>
      <rPr>
        <sz val="11"/>
        <color theme="0"/>
        <rFont val="Calibri"/>
        <family val="2"/>
        <scheme val="minor"/>
      </rPr>
      <t>, t</t>
    </r>
    <r>
      <rPr>
        <vertAlign val="subscript"/>
        <sz val="11"/>
        <color theme="0"/>
        <rFont val="Calibri"/>
        <family val="2"/>
        <scheme val="minor"/>
      </rPr>
      <t>i</t>
    </r>
    <r>
      <rPr>
        <sz val="11"/>
        <color theme="0"/>
        <rFont val="Calibri"/>
        <family val="2"/>
        <scheme val="minor"/>
      </rPr>
      <t xml:space="preserve"> )</t>
    </r>
  </si>
  <si>
    <r>
      <t>t</t>
    </r>
    <r>
      <rPr>
        <vertAlign val="subscript"/>
        <sz val="11"/>
        <color theme="0"/>
        <rFont val="Calibri"/>
        <family val="2"/>
        <scheme val="minor"/>
      </rPr>
      <t>j</t>
    </r>
  </si>
  <si>
    <r>
      <t>l</t>
    </r>
    <r>
      <rPr>
        <vertAlign val="subscript"/>
        <sz val="11"/>
        <color theme="0"/>
        <rFont val="Calibri"/>
        <family val="2"/>
        <scheme val="minor"/>
      </rPr>
      <t>j-1</t>
    </r>
  </si>
  <si>
    <r>
      <t>l</t>
    </r>
    <r>
      <rPr>
        <vertAlign val="subscript"/>
        <sz val="11"/>
        <color theme="0"/>
        <rFont val="Calibri"/>
        <family val="2"/>
        <scheme val="minor"/>
      </rPr>
      <t>j-1</t>
    </r>
    <r>
      <rPr>
        <sz val="11"/>
        <color theme="0"/>
        <rFont val="Calibri"/>
        <family val="2"/>
        <scheme val="minor"/>
      </rPr>
      <t xml:space="preserve"> + s</t>
    </r>
  </si>
  <si>
    <r>
      <rPr>
        <sz val="11"/>
        <color theme="0"/>
        <rFont val="Symbol"/>
        <family val="1"/>
        <charset val="2"/>
      </rPr>
      <t>t</t>
    </r>
    <r>
      <rPr>
        <vertAlign val="subscript"/>
        <sz val="11"/>
        <color theme="0"/>
        <rFont val="Calibri"/>
        <family val="2"/>
        <scheme val="minor"/>
      </rPr>
      <t>j</t>
    </r>
  </si>
  <si>
    <r>
      <t>P( t</t>
    </r>
    <r>
      <rPr>
        <vertAlign val="subscript"/>
        <sz val="11"/>
        <color theme="0"/>
        <rFont val="Calibri"/>
        <family val="2"/>
        <scheme val="minor"/>
      </rPr>
      <t>E</t>
    </r>
    <r>
      <rPr>
        <sz val="11"/>
        <color theme="0"/>
        <rFont val="Calibri"/>
        <family val="2"/>
        <scheme val="minor"/>
      </rPr>
      <t>, tj )</t>
    </r>
  </si>
  <si>
    <r>
      <t>PV</t>
    </r>
    <r>
      <rPr>
        <vertAlign val="superscript"/>
        <sz val="11"/>
        <color theme="0"/>
        <rFont val="Calibri"/>
        <family val="2"/>
        <scheme val="minor"/>
      </rPr>
      <t>Float</t>
    </r>
  </si>
  <si>
    <t>Cash Flow</t>
  </si>
  <si>
    <t>Cash Flow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</si>
</sst>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%"/>
    <numFmt numFmtId="166" formatCode="#,##0.0000"/>
    <numFmt numFmtId="171" formatCode="0.000000%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sz val="11"/>
      <color theme="0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0" fontId="0" fillId="3" borderId="6" xfId="0" applyFill="1" applyBorder="1" applyAlignment="1">
      <alignment horizontal="center" vertical="center"/>
    </xf>
    <xf numFmtId="15" fontId="7" fillId="2" borderId="1" xfId="0" applyNumberFormat="1" applyFont="1" applyFill="1" applyBorder="1" applyAlignment="1">
      <alignment horizontal="center" vertical="center"/>
    </xf>
    <xf numFmtId="15" fontId="7" fillId="2" borderId="8" xfId="0" applyNumberFormat="1" applyFont="1" applyFill="1" applyBorder="1" applyAlignment="1">
      <alignment horizontal="center" vertical="center"/>
    </xf>
    <xf numFmtId="4" fontId="7" fillId="2" borderId="8" xfId="0" applyNumberFormat="1" applyFont="1" applyFill="1" applyBorder="1" applyAlignment="1">
      <alignment horizontal="center" vertical="center"/>
    </xf>
    <xf numFmtId="3" fontId="7" fillId="2" borderId="8" xfId="0" applyNumberFormat="1" applyFont="1" applyFill="1" applyBorder="1" applyAlignment="1">
      <alignment horizontal="center" vertical="center"/>
    </xf>
    <xf numFmtId="164" fontId="7" fillId="2" borderId="8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15" fontId="7" fillId="2" borderId="7" xfId="0" applyNumberFormat="1" applyFont="1" applyFill="1" applyBorder="1" applyAlignment="1">
      <alignment horizontal="center" vertical="center"/>
    </xf>
    <xf numFmtId="15" fontId="7" fillId="2" borderId="0" xfId="0" applyNumberFormat="1" applyFont="1" applyFill="1" applyAlignment="1">
      <alignment horizontal="center" vertical="center"/>
    </xf>
    <xf numFmtId="4" fontId="7" fillId="2" borderId="0" xfId="0" applyNumberFormat="1" applyFont="1" applyFill="1" applyAlignment="1">
      <alignment horizontal="center" vertical="center"/>
    </xf>
    <xf numFmtId="3" fontId="7" fillId="2" borderId="0" xfId="0" applyNumberFormat="1" applyFont="1" applyFill="1" applyAlignment="1">
      <alignment horizontal="center" vertical="center"/>
    </xf>
    <xf numFmtId="164" fontId="7" fillId="2" borderId="0" xfId="0" applyNumberFormat="1" applyFont="1" applyFill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4" fontId="0" fillId="4" borderId="1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4" fontId="7" fillId="2" borderId="14" xfId="0" applyNumberFormat="1" applyFont="1" applyFill="1" applyBorder="1" applyAlignment="1">
      <alignment horizontal="center" vertical="center"/>
    </xf>
    <xf numFmtId="3" fontId="7" fillId="2" borderId="10" xfId="0" applyNumberFormat="1" applyFont="1" applyFill="1" applyBorder="1" applyAlignment="1">
      <alignment horizontal="center" vertical="center"/>
    </xf>
    <xf numFmtId="15" fontId="7" fillId="2" borderId="11" xfId="0" applyNumberFormat="1" applyFont="1" applyFill="1" applyBorder="1" applyAlignment="1">
      <alignment horizontal="center" vertical="center"/>
    </xf>
    <xf numFmtId="15" fontId="7" fillId="2" borderId="15" xfId="0" applyNumberFormat="1" applyFont="1" applyFill="1" applyBorder="1" applyAlignment="1">
      <alignment horizontal="center" vertical="center"/>
    </xf>
    <xf numFmtId="4" fontId="7" fillId="2" borderId="15" xfId="0" applyNumberFormat="1" applyFont="1" applyFill="1" applyBorder="1" applyAlignment="1">
      <alignment horizontal="center" vertical="center"/>
    </xf>
    <xf numFmtId="3" fontId="7" fillId="2" borderId="15" xfId="0" applyNumberFormat="1" applyFont="1" applyFill="1" applyBorder="1" applyAlignment="1">
      <alignment horizontal="center" vertical="center"/>
    </xf>
    <xf numFmtId="164" fontId="7" fillId="2" borderId="15" xfId="0" applyNumberFormat="1" applyFont="1" applyFill="1" applyBorder="1" applyAlignment="1">
      <alignment horizontal="center" vertical="center"/>
    </xf>
    <xf numFmtId="166" fontId="7" fillId="2" borderId="10" xfId="0" applyNumberFormat="1" applyFont="1" applyFill="1" applyBorder="1" applyAlignment="1">
      <alignment horizontal="center" vertical="center"/>
    </xf>
    <xf numFmtId="3" fontId="7" fillId="2" borderId="14" xfId="0" applyNumberFormat="1" applyFont="1" applyFill="1" applyBorder="1" applyAlignment="1">
      <alignment horizontal="center" vertical="center"/>
    </xf>
    <xf numFmtId="4" fontId="7" fillId="2" borderId="10" xfId="0" applyNumberFormat="1" applyFont="1" applyFill="1" applyBorder="1" applyAlignment="1">
      <alignment horizontal="center" vertical="center"/>
    </xf>
    <xf numFmtId="15" fontId="0" fillId="4" borderId="13" xfId="0" applyNumberFormat="1" applyFill="1" applyBorder="1" applyAlignment="1">
      <alignment horizontal="center" vertical="center"/>
    </xf>
    <xf numFmtId="3" fontId="0" fillId="2" borderId="13" xfId="0" applyNumberFormat="1" applyFont="1" applyFill="1" applyBorder="1" applyAlignment="1">
      <alignment horizontal="center" vertical="center"/>
    </xf>
    <xf numFmtId="3" fontId="7" fillId="2" borderId="0" xfId="0" applyNumberFormat="1" applyFont="1" applyFill="1" applyBorder="1" applyAlignment="1">
      <alignment horizontal="center" vertical="center"/>
    </xf>
    <xf numFmtId="164" fontId="7" fillId="2" borderId="0" xfId="0" applyNumberFormat="1" applyFont="1" applyFill="1" applyBorder="1" applyAlignment="1">
      <alignment horizontal="center" vertical="center"/>
    </xf>
    <xf numFmtId="166" fontId="7" fillId="2" borderId="0" xfId="0" applyNumberFormat="1" applyFont="1" applyFill="1" applyBorder="1" applyAlignment="1">
      <alignment horizontal="center" vertical="center"/>
    </xf>
    <xf numFmtId="15" fontId="7" fillId="2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 applyAlignment="1">
      <alignment horizontal="right" vertical="center"/>
    </xf>
    <xf numFmtId="3" fontId="8" fillId="0" borderId="0" xfId="0" applyNumberFormat="1" applyFont="1" applyAlignment="1">
      <alignment horizontal="right" vertical="center"/>
    </xf>
    <xf numFmtId="4" fontId="7" fillId="2" borderId="9" xfId="0" applyNumberFormat="1" applyFont="1" applyFill="1" applyBorder="1" applyAlignment="1">
      <alignment horizontal="center" vertical="center"/>
    </xf>
    <xf numFmtId="166" fontId="7" fillId="2" borderId="9" xfId="0" applyNumberFormat="1" applyFont="1" applyFill="1" applyBorder="1" applyAlignment="1">
      <alignment horizontal="center" vertical="center"/>
    </xf>
    <xf numFmtId="0" fontId="4" fillId="0" borderId="10" xfId="0" applyFont="1" applyBorder="1" applyAlignment="1">
      <alignment horizontal="right" vertical="center"/>
    </xf>
    <xf numFmtId="4" fontId="7" fillId="2" borderId="0" xfId="0" applyNumberFormat="1" applyFont="1" applyFill="1" applyBorder="1" applyAlignment="1">
      <alignment horizontal="center" vertical="center"/>
    </xf>
    <xf numFmtId="166" fontId="7" fillId="2" borderId="8" xfId="0" applyNumberFormat="1" applyFont="1" applyFill="1" applyBorder="1" applyAlignment="1">
      <alignment horizontal="center" vertical="center"/>
    </xf>
    <xf numFmtId="3" fontId="0" fillId="2" borderId="3" xfId="0" applyNumberFormat="1" applyFont="1" applyFill="1" applyBorder="1" applyAlignment="1">
      <alignment horizontal="center" vertical="center"/>
    </xf>
    <xf numFmtId="3" fontId="0" fillId="2" borderId="5" xfId="0" applyNumberFormat="1" applyFont="1" applyFill="1" applyBorder="1" applyAlignment="1">
      <alignment horizontal="center" vertical="center"/>
    </xf>
    <xf numFmtId="4" fontId="7" fillId="2" borderId="2" xfId="0" applyNumberFormat="1" applyFont="1" applyFill="1" applyBorder="1" applyAlignment="1">
      <alignment horizontal="center" vertical="center"/>
    </xf>
    <xf numFmtId="4" fontId="7" fillId="2" borderId="6" xfId="0" applyNumberFormat="1" applyFont="1" applyFill="1" applyBorder="1" applyAlignment="1">
      <alignment horizontal="center" vertical="center"/>
    </xf>
    <xf numFmtId="171" fontId="7" fillId="2" borderId="12" xfId="0" applyNumberFormat="1" applyFont="1" applyFill="1" applyBorder="1" applyAlignment="1">
      <alignment horizontal="center" vertical="center"/>
    </xf>
    <xf numFmtId="171" fontId="0" fillId="4" borderId="6" xfId="0" applyNumberFormat="1" applyFill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166" fontId="7" fillId="2" borderId="15" xfId="0" applyNumberFormat="1" applyFont="1" applyFill="1" applyBorder="1" applyAlignment="1">
      <alignment horizontal="center" vertical="center"/>
    </xf>
    <xf numFmtId="15" fontId="9" fillId="2" borderId="1" xfId="0" applyNumberFormat="1" applyFont="1" applyFill="1" applyBorder="1" applyAlignment="1">
      <alignment horizontal="center" vertical="center"/>
    </xf>
    <xf numFmtId="15" fontId="9" fillId="2" borderId="8" xfId="0" applyNumberFormat="1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4" fontId="0" fillId="0" borderId="0" xfId="0" applyNumberFormat="1" applyFont="1" applyAlignment="1">
      <alignment horizontal="center" vertical="center"/>
    </xf>
    <xf numFmtId="166" fontId="7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0</xdr:row>
      <xdr:rowOff>133349</xdr:rowOff>
    </xdr:from>
    <xdr:to>
      <xdr:col>1</xdr:col>
      <xdr:colOff>830438</xdr:colOff>
      <xdr:row>2</xdr:row>
      <xdr:rowOff>57240</xdr:rowOff>
    </xdr:to>
    <xdr:pic macro="[0]!refresh">
      <xdr:nvPicPr>
        <xdr:cNvPr id="2" name="Picture 1">
          <a:extLst>
            <a:ext uri="{FF2B5EF4-FFF2-40B4-BE49-F238E27FC236}">
              <a16:creationId xmlns:a16="http://schemas.microsoft.com/office/drawing/2014/main" id="{0C6EB2B1-7FA4-4708-B57E-2ED32C686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0</xdr:row>
      <xdr:rowOff>133349</xdr:rowOff>
    </xdr:from>
    <xdr:to>
      <xdr:col>1</xdr:col>
      <xdr:colOff>830438</xdr:colOff>
      <xdr:row>2</xdr:row>
      <xdr:rowOff>57240</xdr:rowOff>
    </xdr:to>
    <xdr:pic macro="[0]!refresh">
      <xdr:nvPicPr>
        <xdr:cNvPr id="3" name="Picture 2">
          <a:extLst>
            <a:ext uri="{FF2B5EF4-FFF2-40B4-BE49-F238E27FC236}">
              <a16:creationId xmlns:a16="http://schemas.microsoft.com/office/drawing/2014/main" id="{2F402D38-A08B-4408-BB62-B721B05EF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0</xdr:row>
      <xdr:rowOff>133349</xdr:rowOff>
    </xdr:from>
    <xdr:to>
      <xdr:col>1</xdr:col>
      <xdr:colOff>830438</xdr:colOff>
      <xdr:row>2</xdr:row>
      <xdr:rowOff>57240</xdr:rowOff>
    </xdr:to>
    <xdr:pic macro="[0]!refresh">
      <xdr:nvPicPr>
        <xdr:cNvPr id="2" name="Picture 1">
          <a:extLst>
            <a:ext uri="{FF2B5EF4-FFF2-40B4-BE49-F238E27FC236}">
              <a16:creationId xmlns:a16="http://schemas.microsoft.com/office/drawing/2014/main" id="{BB12DB70-1565-471A-9451-1669B3DD6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54AD-355C-4772-AB84-2E7E1A14A27A}">
  <sheetPr codeName="Sheet5"/>
  <dimension ref="A2:AF27"/>
  <sheetViews>
    <sheetView showGridLines="0" workbookViewId="0"/>
  </sheetViews>
  <sheetFormatPr defaultColWidth="9.140625" defaultRowHeight="15" x14ac:dyDescent="0.25"/>
  <cols>
    <col min="1" max="1" width="6.140625" style="1" bestFit="1" customWidth="1"/>
    <col min="2" max="2" width="17" style="1" bestFit="1" customWidth="1"/>
    <col min="3" max="3" width="15.42578125" style="1" customWidth="1"/>
    <col min="4" max="4" width="4.85546875" style="1" bestFit="1" customWidth="1"/>
    <col min="5" max="14" width="11.7109375" style="1" customWidth="1"/>
    <col min="15" max="15" width="9.140625" style="1"/>
    <col min="16" max="28" width="11.7109375" style="1" customWidth="1"/>
    <col min="29" max="16384" width="9.140625" style="1"/>
  </cols>
  <sheetData>
    <row r="2" spans="1:32" x14ac:dyDescent="0.25">
      <c r="B2" s="2" t="s">
        <v>0</v>
      </c>
      <c r="C2" s="1" t="s">
        <v>31</v>
      </c>
      <c r="E2" s="1" t="s">
        <v>32</v>
      </c>
      <c r="G2" s="1" t="s">
        <v>38</v>
      </c>
      <c r="P2" s="1" t="s">
        <v>37</v>
      </c>
      <c r="Q2" s="1" t="s">
        <v>32</v>
      </c>
      <c r="S2" s="1" t="s">
        <v>38</v>
      </c>
    </row>
    <row r="3" spans="1:32" x14ac:dyDescent="0.25">
      <c r="C3" s="41">
        <f ca="1">TODAY()</f>
        <v>44766</v>
      </c>
      <c r="E3" s="42" t="s">
        <v>34</v>
      </c>
      <c r="G3" s="42" t="s">
        <v>34</v>
      </c>
      <c r="P3" s="55" t="s">
        <v>34</v>
      </c>
      <c r="Q3" s="56" t="s">
        <v>34</v>
      </c>
      <c r="S3" s="42" t="s">
        <v>34</v>
      </c>
    </row>
    <row r="5" spans="1:32" x14ac:dyDescent="0.25">
      <c r="L5" s="61" t="s">
        <v>53</v>
      </c>
      <c r="N5" s="61" t="s">
        <v>40</v>
      </c>
      <c r="Z5" s="61" t="s">
        <v>53</v>
      </c>
      <c r="AB5" s="61" t="s">
        <v>40</v>
      </c>
    </row>
    <row r="6" spans="1:32" x14ac:dyDescent="0.25">
      <c r="B6" s="3" t="s">
        <v>1</v>
      </c>
      <c r="E6" s="4" t="s">
        <v>2</v>
      </c>
      <c r="K6" s="5"/>
      <c r="L6" s="68">
        <f ca="1">SUM(L8:L27)</f>
        <v>200000</v>
      </c>
      <c r="N6" s="68">
        <f ca="1">SUM(N8:N27)</f>
        <v>200000</v>
      </c>
      <c r="P6" s="4" t="s">
        <v>3</v>
      </c>
      <c r="Z6" s="68">
        <f ca="1">SUM(Z8:Z27)</f>
        <v>219800</v>
      </c>
      <c r="AA6" s="61"/>
      <c r="AB6" s="68">
        <f ca="1">SUM(AB8:AB27)</f>
        <v>209655.12000000005</v>
      </c>
    </row>
    <row r="7" spans="1:32" ht="18" x14ac:dyDescent="0.25">
      <c r="A7" s="48">
        <f ca="1">IF(C7="RECEIVER",1,-1)</f>
        <v>1</v>
      </c>
      <c r="B7" s="6" t="s">
        <v>4</v>
      </c>
      <c r="C7" s="7" t="s">
        <v>5</v>
      </c>
      <c r="D7" s="8" t="s">
        <v>6</v>
      </c>
      <c r="E7" s="65" t="s">
        <v>7</v>
      </c>
      <c r="F7" s="66" t="s">
        <v>8</v>
      </c>
      <c r="G7" s="66" t="s">
        <v>9</v>
      </c>
      <c r="H7" s="66" t="s">
        <v>41</v>
      </c>
      <c r="I7" s="66" t="s">
        <v>10</v>
      </c>
      <c r="J7" s="66" t="s">
        <v>42</v>
      </c>
      <c r="K7" s="66" t="s">
        <v>44</v>
      </c>
      <c r="L7" s="66" t="s">
        <v>52</v>
      </c>
      <c r="M7" s="66" t="s">
        <v>45</v>
      </c>
      <c r="N7" s="67" t="s">
        <v>43</v>
      </c>
      <c r="O7" s="52" t="s">
        <v>6</v>
      </c>
      <c r="P7" s="65" t="s">
        <v>11</v>
      </c>
      <c r="Q7" s="66" t="s">
        <v>7</v>
      </c>
      <c r="R7" s="66" t="s">
        <v>8</v>
      </c>
      <c r="S7" s="66" t="s">
        <v>9</v>
      </c>
      <c r="T7" s="66" t="s">
        <v>46</v>
      </c>
      <c r="U7" s="66" t="s">
        <v>10</v>
      </c>
      <c r="V7" s="66" t="s">
        <v>47</v>
      </c>
      <c r="W7" s="66" t="s">
        <v>12</v>
      </c>
      <c r="X7" s="66" t="s">
        <v>48</v>
      </c>
      <c r="Y7" s="66" t="s">
        <v>49</v>
      </c>
      <c r="Z7" s="66" t="s">
        <v>52</v>
      </c>
      <c r="AA7" s="66" t="s">
        <v>50</v>
      </c>
      <c r="AB7" s="66" t="s">
        <v>51</v>
      </c>
      <c r="AC7" s="9"/>
    </row>
    <row r="8" spans="1:32" x14ac:dyDescent="0.25">
      <c r="A8" s="47"/>
      <c r="B8" s="10" t="s">
        <v>13</v>
      </c>
      <c r="C8" s="11" t="s">
        <v>36</v>
      </c>
      <c r="D8" s="8">
        <v>1</v>
      </c>
      <c r="E8" s="63">
        <f ca="1">$C$3+LEFT($E$3,LEN($E$3)-1)</f>
        <v>44768</v>
      </c>
      <c r="F8" s="13">
        <f ca="1">EDATE(E8,$A$11)</f>
        <v>45133</v>
      </c>
      <c r="G8" s="13">
        <f ca="1">F8+LEFT($G$3,LEN($G$3)-1)</f>
        <v>45135</v>
      </c>
      <c r="H8" s="14">
        <f ca="1">K8</f>
        <v>1</v>
      </c>
      <c r="I8" s="15">
        <f t="shared" ref="I8:I27" ca="1" si="0">$C$9</f>
        <v>1000000</v>
      </c>
      <c r="J8" s="16">
        <f t="shared" ref="J8:J27" ca="1" si="1">$C$10</f>
        <v>0.01</v>
      </c>
      <c r="K8" s="14">
        <f t="shared" ref="K8:K27" ca="1" si="2">$A$11/12</f>
        <v>1</v>
      </c>
      <c r="L8" s="14">
        <f t="shared" ref="L8:L12" ca="1" si="3">I8*J8*K8</f>
        <v>10000</v>
      </c>
      <c r="M8" s="54">
        <v>1</v>
      </c>
      <c r="N8" s="50">
        <f t="shared" ref="N8:N12" ca="1" si="4">L8*M8</f>
        <v>10000</v>
      </c>
      <c r="O8" s="52">
        <v>1</v>
      </c>
      <c r="P8" s="12">
        <f ca="1">Q8-LEFT($P$3,LEN($P$3)-1)</f>
        <v>44766</v>
      </c>
      <c r="Q8" s="64">
        <f ca="1">$C$3+LEFT($Q$3,LEN($E$3)-1)</f>
        <v>44768</v>
      </c>
      <c r="R8" s="13">
        <f ca="1">EDATE(Q8,$A$12)</f>
        <v>45133</v>
      </c>
      <c r="S8" s="13">
        <f ca="1">R8+LEFT($S$3,LEN($S$3)-1)</f>
        <v>45135</v>
      </c>
      <c r="T8" s="14">
        <f ca="1">Y8</f>
        <v>1</v>
      </c>
      <c r="U8" s="15">
        <f t="shared" ref="U8:U27" ca="1" si="5">$C$9</f>
        <v>1000000</v>
      </c>
      <c r="V8" s="16">
        <v>2.8E-3</v>
      </c>
      <c r="W8" s="14">
        <v>0</v>
      </c>
      <c r="X8" s="16">
        <f t="shared" ref="X8:X12" ca="1" si="6">V8+W8</f>
        <v>2.8E-3</v>
      </c>
      <c r="Y8" s="14">
        <f t="shared" ref="Y8:Y27" ca="1" si="7">$A$12/12</f>
        <v>1</v>
      </c>
      <c r="Z8" s="14">
        <f ca="1">U8*X8*Y8</f>
        <v>2800</v>
      </c>
      <c r="AA8" s="54">
        <v>0.99</v>
      </c>
      <c r="AB8" s="50">
        <f ca="1">U8*X8*Y8*AA8</f>
        <v>2772</v>
      </c>
      <c r="AC8" s="9"/>
      <c r="AF8" s="17"/>
    </row>
    <row r="9" spans="1:32" x14ac:dyDescent="0.25">
      <c r="A9" s="47"/>
      <c r="B9" s="10" t="s">
        <v>15</v>
      </c>
      <c r="C9" s="18">
        <v>1000000</v>
      </c>
      <c r="D9" s="8">
        <f ca="1">D8+1</f>
        <v>2</v>
      </c>
      <c r="E9" s="19">
        <f ca="1">F8</f>
        <v>45133</v>
      </c>
      <c r="F9" s="46">
        <f ca="1">EDATE(E9,$A$11)</f>
        <v>45499</v>
      </c>
      <c r="G9" s="46">
        <f t="shared" ref="G9:G27" ca="1" si="8">F9+LEFT($G$3,LEN($G$3)-1)</f>
        <v>45501</v>
      </c>
      <c r="H9" s="53">
        <f ca="1">H8+K9</f>
        <v>2</v>
      </c>
      <c r="I9" s="43">
        <f t="shared" ca="1" si="0"/>
        <v>1000000</v>
      </c>
      <c r="J9" s="44">
        <f t="shared" ca="1" si="1"/>
        <v>0.01</v>
      </c>
      <c r="K9" s="53">
        <f t="shared" ca="1" si="2"/>
        <v>1</v>
      </c>
      <c r="L9" s="53">
        <f t="shared" ca="1" si="3"/>
        <v>10000</v>
      </c>
      <c r="M9" s="45">
        <v>1</v>
      </c>
      <c r="N9" s="40">
        <f t="shared" ca="1" si="4"/>
        <v>10000</v>
      </c>
      <c r="O9" s="52">
        <f ca="1">O8+1</f>
        <v>2</v>
      </c>
      <c r="P9" s="19">
        <f ca="1">Q9-LEFT($P$3,LEN($P$3)-1)</f>
        <v>45131</v>
      </c>
      <c r="Q9" s="46">
        <f ca="1">R8</f>
        <v>45133</v>
      </c>
      <c r="R9" s="46">
        <f t="shared" ref="R9:R27" ca="1" si="9">EDATE(Q9,$A$12)</f>
        <v>45499</v>
      </c>
      <c r="S9" s="46">
        <f t="shared" ref="S9:S27" ca="1" si="10">R9+LEFT($S$3,LEN($S$3)-1)</f>
        <v>45501</v>
      </c>
      <c r="T9" s="53">
        <f t="shared" ref="T9:T27" ca="1" si="11">T8+Y9</f>
        <v>2</v>
      </c>
      <c r="U9" s="43">
        <f t="shared" ca="1" si="5"/>
        <v>1000000</v>
      </c>
      <c r="V9" s="44">
        <v>5.1399999999999996E-3</v>
      </c>
      <c r="W9" s="53">
        <v>0</v>
      </c>
      <c r="X9" s="44">
        <f t="shared" ca="1" si="6"/>
        <v>5.1399999999999996E-3</v>
      </c>
      <c r="Y9" s="53">
        <f t="shared" ca="1" si="7"/>
        <v>1</v>
      </c>
      <c r="Z9" s="53">
        <f ca="1">U9*X9*Y9</f>
        <v>5140</v>
      </c>
      <c r="AA9" s="45">
        <v>0.98040000000000005</v>
      </c>
      <c r="AB9" s="40">
        <f ca="1">U9*X9*Y9*AA9</f>
        <v>5039.2560000000003</v>
      </c>
      <c r="AC9" s="9"/>
      <c r="AF9" s="17"/>
    </row>
    <row r="10" spans="1:32" ht="17.25" x14ac:dyDescent="0.25">
      <c r="A10" s="47"/>
      <c r="B10" s="10" t="s">
        <v>16</v>
      </c>
      <c r="C10" s="60">
        <v>0.01</v>
      </c>
      <c r="D10" s="8">
        <f t="shared" ref="D10:D27" ca="1" si="12">D9+1</f>
        <v>3</v>
      </c>
      <c r="E10" s="19">
        <f ca="1">F9</f>
        <v>45499</v>
      </c>
      <c r="F10" s="46">
        <f ca="1">EDATE(E10,$A$11)</f>
        <v>45864</v>
      </c>
      <c r="G10" s="46">
        <f t="shared" ca="1" si="8"/>
        <v>45866</v>
      </c>
      <c r="H10" s="53">
        <f ca="1">H9+K10</f>
        <v>3</v>
      </c>
      <c r="I10" s="43">
        <f t="shared" ca="1" si="0"/>
        <v>1000000</v>
      </c>
      <c r="J10" s="44">
        <f t="shared" ca="1" si="1"/>
        <v>0.01</v>
      </c>
      <c r="K10" s="53">
        <f t="shared" ca="1" si="2"/>
        <v>1</v>
      </c>
      <c r="L10" s="53">
        <f t="shared" ca="1" si="3"/>
        <v>10000</v>
      </c>
      <c r="M10" s="45">
        <v>1</v>
      </c>
      <c r="N10" s="40">
        <f t="shared" ca="1" si="4"/>
        <v>10000</v>
      </c>
      <c r="O10" s="52">
        <f t="shared" ref="O10:O27" ca="1" si="13">O9+1</f>
        <v>3</v>
      </c>
      <c r="P10" s="19">
        <f t="shared" ref="P10:P27" ca="1" si="14">Q10-LEFT($P$3,LEN($P$3)-1)</f>
        <v>45497</v>
      </c>
      <c r="Q10" s="46">
        <f ca="1">R9</f>
        <v>45499</v>
      </c>
      <c r="R10" s="46">
        <f t="shared" ca="1" si="9"/>
        <v>45864</v>
      </c>
      <c r="S10" s="46">
        <f t="shared" ca="1" si="10"/>
        <v>45866</v>
      </c>
      <c r="T10" s="53">
        <f t="shared" ca="1" si="11"/>
        <v>3</v>
      </c>
      <c r="U10" s="43">
        <f t="shared" ca="1" si="5"/>
        <v>1000000</v>
      </c>
      <c r="V10" s="44">
        <v>7.4799999999999997E-3</v>
      </c>
      <c r="W10" s="53">
        <v>0</v>
      </c>
      <c r="X10" s="44">
        <f t="shared" ca="1" si="6"/>
        <v>7.4799999999999997E-3</v>
      </c>
      <c r="Y10" s="53">
        <f t="shared" ca="1" si="7"/>
        <v>1</v>
      </c>
      <c r="Z10" s="53">
        <f ca="1">U10*X10*Y10</f>
        <v>7480</v>
      </c>
      <c r="AA10" s="45">
        <v>0.9708</v>
      </c>
      <c r="AB10" s="40">
        <f ca="1">U10*X10*Y10*AA10</f>
        <v>7261.5839999999998</v>
      </c>
      <c r="AC10" s="9"/>
      <c r="AF10" s="17"/>
    </row>
    <row r="11" spans="1:32" x14ac:dyDescent="0.25">
      <c r="A11" s="49">
        <f ca="1">IF(C11="ANNUAL",12,IF(C11="SEMI-ANNUAL",6,IF(C11="QUARTERLY",3,IF(C11="MONTHLY",1,0))))</f>
        <v>12</v>
      </c>
      <c r="B11" s="10" t="s">
        <v>17</v>
      </c>
      <c r="C11" s="24" t="s">
        <v>33</v>
      </c>
      <c r="D11" s="8">
        <f t="shared" ca="1" si="12"/>
        <v>4</v>
      </c>
      <c r="E11" s="19">
        <f ca="1">F10</f>
        <v>45864</v>
      </c>
      <c r="F11" s="46">
        <f ca="1">EDATE(E11,$A$11)</f>
        <v>46229</v>
      </c>
      <c r="G11" s="46">
        <f t="shared" ca="1" si="8"/>
        <v>46231</v>
      </c>
      <c r="H11" s="53">
        <f ca="1">H10+K11</f>
        <v>4</v>
      </c>
      <c r="I11" s="43">
        <f t="shared" ca="1" si="0"/>
        <v>1000000</v>
      </c>
      <c r="J11" s="44">
        <f t="shared" ca="1" si="1"/>
        <v>0.01</v>
      </c>
      <c r="K11" s="53">
        <f t="shared" ca="1" si="2"/>
        <v>1</v>
      </c>
      <c r="L11" s="53">
        <f t="shared" ca="1" si="3"/>
        <v>10000</v>
      </c>
      <c r="M11" s="45">
        <v>1</v>
      </c>
      <c r="N11" s="40">
        <f t="shared" ca="1" si="4"/>
        <v>10000</v>
      </c>
      <c r="O11" s="52">
        <f t="shared" ca="1" si="13"/>
        <v>4</v>
      </c>
      <c r="P11" s="19">
        <f t="shared" ca="1" si="14"/>
        <v>45862</v>
      </c>
      <c r="Q11" s="46">
        <f ca="1">R10</f>
        <v>45864</v>
      </c>
      <c r="R11" s="46">
        <f t="shared" ca="1" si="9"/>
        <v>46229</v>
      </c>
      <c r="S11" s="46">
        <f t="shared" ca="1" si="10"/>
        <v>46231</v>
      </c>
      <c r="T11" s="53">
        <f t="shared" ca="1" si="11"/>
        <v>4</v>
      </c>
      <c r="U11" s="43">
        <f t="shared" ca="1" si="5"/>
        <v>1000000</v>
      </c>
      <c r="V11" s="44">
        <v>9.8200000000000006E-3</v>
      </c>
      <c r="W11" s="53">
        <v>0</v>
      </c>
      <c r="X11" s="44">
        <f t="shared" ca="1" si="6"/>
        <v>9.8200000000000006E-3</v>
      </c>
      <c r="Y11" s="53">
        <f t="shared" ca="1" si="7"/>
        <v>1</v>
      </c>
      <c r="Z11" s="53">
        <f ca="1">U11*X11*Y11</f>
        <v>9820</v>
      </c>
      <c r="AA11" s="45">
        <v>0.96120000000000005</v>
      </c>
      <c r="AB11" s="40">
        <f ca="1">U11*X11*Y11*AA11</f>
        <v>9438.9840000000004</v>
      </c>
      <c r="AC11" s="9"/>
      <c r="AF11" s="17"/>
    </row>
    <row r="12" spans="1:32" x14ac:dyDescent="0.25">
      <c r="A12" s="49">
        <f ca="1">IF(C12="ANNUAL",12,IF(C12="SEMI-ANNUAL",6,IF(C12="QUARTERLY",3,IF(C12="MONTHLY",1,0))))</f>
        <v>12</v>
      </c>
      <c r="B12" s="10" t="s">
        <v>18</v>
      </c>
      <c r="C12" s="24" t="s">
        <v>33</v>
      </c>
      <c r="D12" s="8">
        <f t="shared" ca="1" si="12"/>
        <v>5</v>
      </c>
      <c r="E12" s="19">
        <f ca="1">F11</f>
        <v>46229</v>
      </c>
      <c r="F12" s="46">
        <f ca="1">EDATE(E12,$A$11)</f>
        <v>46594</v>
      </c>
      <c r="G12" s="46">
        <f t="shared" ca="1" si="8"/>
        <v>46596</v>
      </c>
      <c r="H12" s="53">
        <f ca="1">H11+K12</f>
        <v>5</v>
      </c>
      <c r="I12" s="43">
        <f t="shared" ca="1" si="0"/>
        <v>1000000</v>
      </c>
      <c r="J12" s="44">
        <f t="shared" ca="1" si="1"/>
        <v>0.01</v>
      </c>
      <c r="K12" s="53">
        <f t="shared" ca="1" si="2"/>
        <v>1</v>
      </c>
      <c r="L12" s="53">
        <f t="shared" ca="1" si="3"/>
        <v>10000</v>
      </c>
      <c r="M12" s="45">
        <v>1</v>
      </c>
      <c r="N12" s="40">
        <f t="shared" ca="1" si="4"/>
        <v>10000</v>
      </c>
      <c r="O12" s="52">
        <f t="shared" ca="1" si="13"/>
        <v>5</v>
      </c>
      <c r="P12" s="19">
        <f t="shared" ca="1" si="14"/>
        <v>46227</v>
      </c>
      <c r="Q12" s="46">
        <f ca="1">R11</f>
        <v>46229</v>
      </c>
      <c r="R12" s="46">
        <f t="shared" ca="1" si="9"/>
        <v>46594</v>
      </c>
      <c r="S12" s="46">
        <f t="shared" ca="1" si="10"/>
        <v>46596</v>
      </c>
      <c r="T12" s="53">
        <f t="shared" ca="1" si="11"/>
        <v>5</v>
      </c>
      <c r="U12" s="43">
        <f t="shared" ca="1" si="5"/>
        <v>1000000</v>
      </c>
      <c r="V12" s="44">
        <v>1.2160000000000001E-2</v>
      </c>
      <c r="W12" s="53">
        <v>0</v>
      </c>
      <c r="X12" s="44">
        <f t="shared" ca="1" si="6"/>
        <v>1.2160000000000001E-2</v>
      </c>
      <c r="Y12" s="53">
        <f t="shared" ca="1" si="7"/>
        <v>1</v>
      </c>
      <c r="Z12" s="53">
        <f ca="1">U12*X12*Y12</f>
        <v>12160</v>
      </c>
      <c r="AA12" s="45">
        <v>0.9516</v>
      </c>
      <c r="AB12" s="40">
        <f ca="1">U12*X12*Y12*AA12</f>
        <v>11571.456</v>
      </c>
      <c r="AC12" s="9"/>
      <c r="AF12" s="17"/>
    </row>
    <row r="13" spans="1:32" x14ac:dyDescent="0.25">
      <c r="A13" s="47"/>
      <c r="B13" s="10" t="s">
        <v>19</v>
      </c>
      <c r="C13" s="25">
        <v>0</v>
      </c>
      <c r="D13" s="8">
        <f t="shared" ca="1" si="12"/>
        <v>6</v>
      </c>
      <c r="E13" s="19">
        <f t="shared" ref="E13:E27" ca="1" si="15">F12</f>
        <v>46594</v>
      </c>
      <c r="F13" s="46">
        <f t="shared" ref="F13:F27" ca="1" si="16">EDATE(E13,$A$11)</f>
        <v>46960</v>
      </c>
      <c r="G13" s="46">
        <f t="shared" ca="1" si="8"/>
        <v>46962</v>
      </c>
      <c r="H13" s="53">
        <f t="shared" ref="H13:H27" ca="1" si="17">H12+K13</f>
        <v>6</v>
      </c>
      <c r="I13" s="43">
        <f t="shared" ca="1" si="0"/>
        <v>1000000</v>
      </c>
      <c r="J13" s="44">
        <f t="shared" ca="1" si="1"/>
        <v>0.01</v>
      </c>
      <c r="K13" s="53">
        <f t="shared" ca="1" si="2"/>
        <v>1</v>
      </c>
      <c r="L13" s="53">
        <f t="shared" ref="L13:L27" ca="1" si="18">I13*J13*K13</f>
        <v>10000</v>
      </c>
      <c r="M13" s="45">
        <v>1</v>
      </c>
      <c r="N13" s="40">
        <f t="shared" ref="N13:N27" ca="1" si="19">L13*M13</f>
        <v>10000</v>
      </c>
      <c r="O13" s="52">
        <f t="shared" ca="1" si="13"/>
        <v>6</v>
      </c>
      <c r="P13" s="19">
        <f t="shared" ca="1" si="14"/>
        <v>46592</v>
      </c>
      <c r="Q13" s="46">
        <f t="shared" ref="Q13:Q27" ca="1" si="20">R12</f>
        <v>46594</v>
      </c>
      <c r="R13" s="46">
        <f t="shared" ca="1" si="9"/>
        <v>46960</v>
      </c>
      <c r="S13" s="46">
        <f t="shared" ca="1" si="10"/>
        <v>46962</v>
      </c>
      <c r="T13" s="53">
        <f t="shared" ca="1" si="11"/>
        <v>6</v>
      </c>
      <c r="U13" s="43">
        <f t="shared" ca="1" si="5"/>
        <v>1000000</v>
      </c>
      <c r="V13" s="44">
        <v>1.2160000000000001E-2</v>
      </c>
      <c r="W13" s="53">
        <v>0</v>
      </c>
      <c r="X13" s="44">
        <f t="shared" ref="X13:X27" ca="1" si="21">V13+W13</f>
        <v>1.2160000000000001E-2</v>
      </c>
      <c r="Y13" s="53">
        <f t="shared" ca="1" si="7"/>
        <v>1</v>
      </c>
      <c r="Z13" s="53">
        <f ca="1">U13*X13*Y13</f>
        <v>12160</v>
      </c>
      <c r="AA13" s="45">
        <v>0.9516</v>
      </c>
      <c r="AB13" s="40">
        <f ca="1">U13*X13*Y13*AA13</f>
        <v>11571.456</v>
      </c>
      <c r="AC13" s="9"/>
      <c r="AF13" s="17"/>
    </row>
    <row r="14" spans="1:32" x14ac:dyDescent="0.25">
      <c r="A14" s="47"/>
      <c r="B14" s="26" t="s">
        <v>20</v>
      </c>
      <c r="C14" s="27">
        <v>20</v>
      </c>
      <c r="D14" s="8">
        <f t="shared" ca="1" si="12"/>
        <v>7</v>
      </c>
      <c r="E14" s="19">
        <f t="shared" ca="1" si="15"/>
        <v>46960</v>
      </c>
      <c r="F14" s="46">
        <f t="shared" ca="1" si="16"/>
        <v>47325</v>
      </c>
      <c r="G14" s="46">
        <f t="shared" ca="1" si="8"/>
        <v>47327</v>
      </c>
      <c r="H14" s="53">
        <f t="shared" ca="1" si="17"/>
        <v>7</v>
      </c>
      <c r="I14" s="43">
        <f t="shared" ca="1" si="0"/>
        <v>1000000</v>
      </c>
      <c r="J14" s="44">
        <f t="shared" ca="1" si="1"/>
        <v>0.01</v>
      </c>
      <c r="K14" s="53">
        <f t="shared" ca="1" si="2"/>
        <v>1</v>
      </c>
      <c r="L14" s="53">
        <f t="shared" ca="1" si="18"/>
        <v>10000</v>
      </c>
      <c r="M14" s="45">
        <v>1</v>
      </c>
      <c r="N14" s="40">
        <f t="shared" ca="1" si="19"/>
        <v>10000</v>
      </c>
      <c r="O14" s="52">
        <f t="shared" ca="1" si="13"/>
        <v>7</v>
      </c>
      <c r="P14" s="19">
        <f t="shared" ca="1" si="14"/>
        <v>46958</v>
      </c>
      <c r="Q14" s="20">
        <f t="shared" ca="1" si="20"/>
        <v>46960</v>
      </c>
      <c r="R14" s="20">
        <f t="shared" ca="1" si="9"/>
        <v>47325</v>
      </c>
      <c r="S14" s="20">
        <f t="shared" ca="1" si="10"/>
        <v>47327</v>
      </c>
      <c r="T14" s="21">
        <f t="shared" ca="1" si="11"/>
        <v>7</v>
      </c>
      <c r="U14" s="22">
        <f t="shared" ca="1" si="5"/>
        <v>1000000</v>
      </c>
      <c r="V14" s="23">
        <v>1.2160000000000001E-2</v>
      </c>
      <c r="W14" s="21">
        <v>0</v>
      </c>
      <c r="X14" s="23">
        <f t="shared" ca="1" si="21"/>
        <v>1.2160000000000001E-2</v>
      </c>
      <c r="Y14" s="21">
        <f t="shared" ca="1" si="7"/>
        <v>1</v>
      </c>
      <c r="Z14" s="21">
        <f ca="1">U14*X14*Y14</f>
        <v>12160</v>
      </c>
      <c r="AA14" s="69">
        <v>0.9516</v>
      </c>
      <c r="AB14" s="21">
        <f ca="1">U14*X14*Y14*AA14</f>
        <v>11571.456</v>
      </c>
      <c r="AC14" s="9"/>
    </row>
    <row r="15" spans="1:32" x14ac:dyDescent="0.25">
      <c r="D15" s="8">
        <f t="shared" ca="1" si="12"/>
        <v>8</v>
      </c>
      <c r="E15" s="19">
        <f t="shared" ca="1" si="15"/>
        <v>47325</v>
      </c>
      <c r="F15" s="46">
        <f t="shared" ca="1" si="16"/>
        <v>47690</v>
      </c>
      <c r="G15" s="46">
        <f t="shared" ca="1" si="8"/>
        <v>47692</v>
      </c>
      <c r="H15" s="53">
        <f t="shared" ca="1" si="17"/>
        <v>8</v>
      </c>
      <c r="I15" s="43">
        <f t="shared" ca="1" si="0"/>
        <v>1000000</v>
      </c>
      <c r="J15" s="44">
        <f t="shared" ca="1" si="1"/>
        <v>0.01</v>
      </c>
      <c r="K15" s="53">
        <f t="shared" ca="1" si="2"/>
        <v>1</v>
      </c>
      <c r="L15" s="53">
        <f t="shared" ca="1" si="18"/>
        <v>10000</v>
      </c>
      <c r="M15" s="45">
        <v>1</v>
      </c>
      <c r="N15" s="40">
        <f t="shared" ca="1" si="19"/>
        <v>10000</v>
      </c>
      <c r="O15" s="52">
        <f t="shared" ca="1" si="13"/>
        <v>8</v>
      </c>
      <c r="P15" s="19">
        <f t="shared" ca="1" si="14"/>
        <v>47323</v>
      </c>
      <c r="Q15" s="20">
        <f t="shared" ca="1" si="20"/>
        <v>47325</v>
      </c>
      <c r="R15" s="20">
        <f t="shared" ca="1" si="9"/>
        <v>47690</v>
      </c>
      <c r="S15" s="20">
        <f t="shared" ca="1" si="10"/>
        <v>47692</v>
      </c>
      <c r="T15" s="21">
        <f t="shared" ca="1" si="11"/>
        <v>8</v>
      </c>
      <c r="U15" s="22">
        <f t="shared" ca="1" si="5"/>
        <v>1000000</v>
      </c>
      <c r="V15" s="23">
        <v>1.2160000000000001E-2</v>
      </c>
      <c r="W15" s="21">
        <v>0</v>
      </c>
      <c r="X15" s="23">
        <f t="shared" ca="1" si="21"/>
        <v>1.2160000000000001E-2</v>
      </c>
      <c r="Y15" s="21">
        <f t="shared" ca="1" si="7"/>
        <v>1</v>
      </c>
      <c r="Z15" s="21">
        <f ca="1">U15*X15*Y15</f>
        <v>12160</v>
      </c>
      <c r="AA15" s="69">
        <v>0.9516</v>
      </c>
      <c r="AB15" s="21">
        <f ca="1">U15*X15*Y15*AA15</f>
        <v>11571.456</v>
      </c>
      <c r="AC15" s="9"/>
    </row>
    <row r="16" spans="1:32" x14ac:dyDescent="0.25">
      <c r="D16" s="8">
        <f t="shared" ca="1" si="12"/>
        <v>9</v>
      </c>
      <c r="E16" s="19">
        <f t="shared" ca="1" si="15"/>
        <v>47690</v>
      </c>
      <c r="F16" s="46">
        <f t="shared" ca="1" si="16"/>
        <v>48055</v>
      </c>
      <c r="G16" s="46">
        <f t="shared" ca="1" si="8"/>
        <v>48057</v>
      </c>
      <c r="H16" s="53">
        <f t="shared" ca="1" si="17"/>
        <v>9</v>
      </c>
      <c r="I16" s="43">
        <f t="shared" ca="1" si="0"/>
        <v>1000000</v>
      </c>
      <c r="J16" s="44">
        <f t="shared" ca="1" si="1"/>
        <v>0.01</v>
      </c>
      <c r="K16" s="53">
        <f t="shared" ca="1" si="2"/>
        <v>1</v>
      </c>
      <c r="L16" s="53">
        <f t="shared" ca="1" si="18"/>
        <v>10000</v>
      </c>
      <c r="M16" s="45">
        <v>1</v>
      </c>
      <c r="N16" s="40">
        <f t="shared" ca="1" si="19"/>
        <v>10000</v>
      </c>
      <c r="O16" s="52">
        <f t="shared" ca="1" si="13"/>
        <v>9</v>
      </c>
      <c r="P16" s="19">
        <f t="shared" ca="1" si="14"/>
        <v>47688</v>
      </c>
      <c r="Q16" s="20">
        <f t="shared" ca="1" si="20"/>
        <v>47690</v>
      </c>
      <c r="R16" s="20">
        <f t="shared" ca="1" si="9"/>
        <v>48055</v>
      </c>
      <c r="S16" s="20">
        <f t="shared" ca="1" si="10"/>
        <v>48057</v>
      </c>
      <c r="T16" s="21">
        <f t="shared" ca="1" si="11"/>
        <v>9</v>
      </c>
      <c r="U16" s="22">
        <f t="shared" ca="1" si="5"/>
        <v>1000000</v>
      </c>
      <c r="V16" s="23">
        <v>1.2160000000000001E-2</v>
      </c>
      <c r="W16" s="21">
        <v>0</v>
      </c>
      <c r="X16" s="23">
        <f t="shared" ca="1" si="21"/>
        <v>1.2160000000000001E-2</v>
      </c>
      <c r="Y16" s="21">
        <f t="shared" ca="1" si="7"/>
        <v>1</v>
      </c>
      <c r="Z16" s="21">
        <f ca="1">U16*X16*Y16</f>
        <v>12160</v>
      </c>
      <c r="AA16" s="69">
        <v>0.9516</v>
      </c>
      <c r="AB16" s="21">
        <f ca="1">U16*X16*Y16*AA16</f>
        <v>11571.456</v>
      </c>
      <c r="AC16" s="9"/>
    </row>
    <row r="17" spans="2:29" x14ac:dyDescent="0.25">
      <c r="B17" s="4" t="s">
        <v>21</v>
      </c>
      <c r="D17" s="8">
        <f t="shared" ca="1" si="12"/>
        <v>10</v>
      </c>
      <c r="E17" s="19">
        <f t="shared" ca="1" si="15"/>
        <v>48055</v>
      </c>
      <c r="F17" s="46">
        <f t="shared" ca="1" si="16"/>
        <v>48421</v>
      </c>
      <c r="G17" s="46">
        <f t="shared" ca="1" si="8"/>
        <v>48423</v>
      </c>
      <c r="H17" s="53">
        <f t="shared" ca="1" si="17"/>
        <v>10</v>
      </c>
      <c r="I17" s="43">
        <f t="shared" ca="1" si="0"/>
        <v>1000000</v>
      </c>
      <c r="J17" s="44">
        <f t="shared" ca="1" si="1"/>
        <v>0.01</v>
      </c>
      <c r="K17" s="53">
        <f t="shared" ca="1" si="2"/>
        <v>1</v>
      </c>
      <c r="L17" s="53">
        <f t="shared" ca="1" si="18"/>
        <v>10000</v>
      </c>
      <c r="M17" s="45">
        <v>1</v>
      </c>
      <c r="N17" s="40">
        <f t="shared" ca="1" si="19"/>
        <v>10000</v>
      </c>
      <c r="O17" s="52">
        <f t="shared" ca="1" si="13"/>
        <v>10</v>
      </c>
      <c r="P17" s="19">
        <f t="shared" ca="1" si="14"/>
        <v>48053</v>
      </c>
      <c r="Q17" s="20">
        <f t="shared" ca="1" si="20"/>
        <v>48055</v>
      </c>
      <c r="R17" s="20">
        <f t="shared" ca="1" si="9"/>
        <v>48421</v>
      </c>
      <c r="S17" s="20">
        <f t="shared" ca="1" si="10"/>
        <v>48423</v>
      </c>
      <c r="T17" s="21">
        <f t="shared" ca="1" si="11"/>
        <v>10</v>
      </c>
      <c r="U17" s="22">
        <f t="shared" ca="1" si="5"/>
        <v>1000000</v>
      </c>
      <c r="V17" s="23">
        <v>1.2160000000000001E-2</v>
      </c>
      <c r="W17" s="21">
        <v>0</v>
      </c>
      <c r="X17" s="23">
        <f t="shared" ca="1" si="21"/>
        <v>1.2160000000000001E-2</v>
      </c>
      <c r="Y17" s="21">
        <f t="shared" ca="1" si="7"/>
        <v>1</v>
      </c>
      <c r="Z17" s="21">
        <f ca="1">U17*X17*Y17</f>
        <v>12160</v>
      </c>
      <c r="AA17" s="69">
        <v>0.9516</v>
      </c>
      <c r="AB17" s="21">
        <f ca="1">U17*X17*Y17*AA17</f>
        <v>11571.456</v>
      </c>
      <c r="AC17" s="9"/>
    </row>
    <row r="18" spans="2:29" x14ac:dyDescent="0.25">
      <c r="B18" s="28" t="s">
        <v>22</v>
      </c>
      <c r="C18" s="57">
        <f ca="1">$A$7*(C19-C20)</f>
        <v>-9655.1200000000536</v>
      </c>
      <c r="D18" s="8">
        <f t="shared" ca="1" si="12"/>
        <v>11</v>
      </c>
      <c r="E18" s="19">
        <f t="shared" ca="1" si="15"/>
        <v>48421</v>
      </c>
      <c r="F18" s="46">
        <f t="shared" ca="1" si="16"/>
        <v>48786</v>
      </c>
      <c r="G18" s="46">
        <f t="shared" ca="1" si="8"/>
        <v>48788</v>
      </c>
      <c r="H18" s="53">
        <f t="shared" ca="1" si="17"/>
        <v>11</v>
      </c>
      <c r="I18" s="43">
        <f t="shared" ca="1" si="0"/>
        <v>1000000</v>
      </c>
      <c r="J18" s="44">
        <f t="shared" ca="1" si="1"/>
        <v>0.01</v>
      </c>
      <c r="K18" s="53">
        <f t="shared" ca="1" si="2"/>
        <v>1</v>
      </c>
      <c r="L18" s="53">
        <f t="shared" ca="1" si="18"/>
        <v>10000</v>
      </c>
      <c r="M18" s="45">
        <v>1</v>
      </c>
      <c r="N18" s="40">
        <f t="shared" ca="1" si="19"/>
        <v>10000</v>
      </c>
      <c r="O18" s="52">
        <f t="shared" ca="1" si="13"/>
        <v>11</v>
      </c>
      <c r="P18" s="19">
        <f t="shared" ca="1" si="14"/>
        <v>48419</v>
      </c>
      <c r="Q18" s="20">
        <f t="shared" ca="1" si="20"/>
        <v>48421</v>
      </c>
      <c r="R18" s="20">
        <f t="shared" ca="1" si="9"/>
        <v>48786</v>
      </c>
      <c r="S18" s="20">
        <f t="shared" ca="1" si="10"/>
        <v>48788</v>
      </c>
      <c r="T18" s="21">
        <f t="shared" ca="1" si="11"/>
        <v>11</v>
      </c>
      <c r="U18" s="22">
        <f t="shared" ca="1" si="5"/>
        <v>1000000</v>
      </c>
      <c r="V18" s="23">
        <v>1.2160000000000001E-2</v>
      </c>
      <c r="W18" s="21">
        <v>0</v>
      </c>
      <c r="X18" s="23">
        <f t="shared" ca="1" si="21"/>
        <v>1.2160000000000001E-2</v>
      </c>
      <c r="Y18" s="21">
        <f t="shared" ca="1" si="7"/>
        <v>1</v>
      </c>
      <c r="Z18" s="21">
        <f ca="1">U18*X18*Y18</f>
        <v>12160</v>
      </c>
      <c r="AA18" s="69">
        <v>0.9516</v>
      </c>
      <c r="AB18" s="21">
        <f ca="1">U18*X18*Y18*AA18</f>
        <v>11571.456</v>
      </c>
      <c r="AC18" s="9"/>
    </row>
    <row r="19" spans="2:29" x14ac:dyDescent="0.25">
      <c r="B19" s="29" t="s">
        <v>23</v>
      </c>
      <c r="C19" s="58">
        <f ca="1">SUM(N8:N27)</f>
        <v>200000</v>
      </c>
      <c r="D19" s="8">
        <f t="shared" ca="1" si="12"/>
        <v>12</v>
      </c>
      <c r="E19" s="19">
        <f t="shared" ca="1" si="15"/>
        <v>48786</v>
      </c>
      <c r="F19" s="46">
        <f t="shared" ca="1" si="16"/>
        <v>49151</v>
      </c>
      <c r="G19" s="46">
        <f t="shared" ca="1" si="8"/>
        <v>49153</v>
      </c>
      <c r="H19" s="53">
        <f t="shared" ca="1" si="17"/>
        <v>12</v>
      </c>
      <c r="I19" s="43">
        <f t="shared" ca="1" si="0"/>
        <v>1000000</v>
      </c>
      <c r="J19" s="44">
        <f t="shared" ca="1" si="1"/>
        <v>0.01</v>
      </c>
      <c r="K19" s="53">
        <f t="shared" ca="1" si="2"/>
        <v>1</v>
      </c>
      <c r="L19" s="53">
        <f t="shared" ca="1" si="18"/>
        <v>10000</v>
      </c>
      <c r="M19" s="45">
        <v>1</v>
      </c>
      <c r="N19" s="40">
        <f t="shared" ca="1" si="19"/>
        <v>10000</v>
      </c>
      <c r="O19" s="52">
        <f t="shared" ca="1" si="13"/>
        <v>12</v>
      </c>
      <c r="P19" s="19">
        <f t="shared" ca="1" si="14"/>
        <v>48784</v>
      </c>
      <c r="Q19" s="20">
        <f t="shared" ca="1" si="20"/>
        <v>48786</v>
      </c>
      <c r="R19" s="20">
        <f t="shared" ca="1" si="9"/>
        <v>49151</v>
      </c>
      <c r="S19" s="20">
        <f t="shared" ca="1" si="10"/>
        <v>49153</v>
      </c>
      <c r="T19" s="21">
        <f t="shared" ca="1" si="11"/>
        <v>12</v>
      </c>
      <c r="U19" s="22">
        <f t="shared" ca="1" si="5"/>
        <v>1000000</v>
      </c>
      <c r="V19" s="23">
        <v>1.2160000000000001E-2</v>
      </c>
      <c r="W19" s="21">
        <v>0</v>
      </c>
      <c r="X19" s="23">
        <f t="shared" ca="1" si="21"/>
        <v>1.2160000000000001E-2</v>
      </c>
      <c r="Y19" s="21">
        <f t="shared" ca="1" si="7"/>
        <v>1</v>
      </c>
      <c r="Z19" s="21">
        <f ca="1">U19*X19*Y19</f>
        <v>12160</v>
      </c>
      <c r="AA19" s="69">
        <v>0.9516</v>
      </c>
      <c r="AB19" s="21">
        <f ca="1">U19*X19*Y19*AA19</f>
        <v>11571.456</v>
      </c>
      <c r="AC19" s="9"/>
    </row>
    <row r="20" spans="2:29" x14ac:dyDescent="0.25">
      <c r="B20" s="29" t="s">
        <v>24</v>
      </c>
      <c r="C20" s="58">
        <f ca="1">SUM(AB8:AB27)</f>
        <v>209655.12000000005</v>
      </c>
      <c r="D20" s="8">
        <f t="shared" ca="1" si="12"/>
        <v>13</v>
      </c>
      <c r="E20" s="19">
        <f t="shared" ca="1" si="15"/>
        <v>49151</v>
      </c>
      <c r="F20" s="46">
        <f t="shared" ca="1" si="16"/>
        <v>49516</v>
      </c>
      <c r="G20" s="46">
        <f t="shared" ca="1" si="8"/>
        <v>49518</v>
      </c>
      <c r="H20" s="53">
        <f t="shared" ca="1" si="17"/>
        <v>13</v>
      </c>
      <c r="I20" s="43">
        <f t="shared" ca="1" si="0"/>
        <v>1000000</v>
      </c>
      <c r="J20" s="44">
        <f t="shared" ca="1" si="1"/>
        <v>0.01</v>
      </c>
      <c r="K20" s="53">
        <f t="shared" ca="1" si="2"/>
        <v>1</v>
      </c>
      <c r="L20" s="53">
        <f t="shared" ca="1" si="18"/>
        <v>10000</v>
      </c>
      <c r="M20" s="45">
        <v>1</v>
      </c>
      <c r="N20" s="40">
        <f t="shared" ca="1" si="19"/>
        <v>10000</v>
      </c>
      <c r="O20" s="52">
        <f t="shared" ca="1" si="13"/>
        <v>13</v>
      </c>
      <c r="P20" s="19">
        <f t="shared" ca="1" si="14"/>
        <v>49149</v>
      </c>
      <c r="Q20" s="20">
        <f t="shared" ca="1" si="20"/>
        <v>49151</v>
      </c>
      <c r="R20" s="20">
        <f t="shared" ca="1" si="9"/>
        <v>49516</v>
      </c>
      <c r="S20" s="20">
        <f t="shared" ca="1" si="10"/>
        <v>49518</v>
      </c>
      <c r="T20" s="21">
        <f t="shared" ca="1" si="11"/>
        <v>13</v>
      </c>
      <c r="U20" s="22">
        <f t="shared" ca="1" si="5"/>
        <v>1000000</v>
      </c>
      <c r="V20" s="23">
        <v>1.2160000000000001E-2</v>
      </c>
      <c r="W20" s="21">
        <v>0</v>
      </c>
      <c r="X20" s="23">
        <f t="shared" ca="1" si="21"/>
        <v>1.2160000000000001E-2</v>
      </c>
      <c r="Y20" s="21">
        <f t="shared" ca="1" si="7"/>
        <v>1</v>
      </c>
      <c r="Z20" s="21">
        <f ca="1">U20*X20*Y20</f>
        <v>12160</v>
      </c>
      <c r="AA20" s="69">
        <v>0.9516</v>
      </c>
      <c r="AB20" s="21">
        <f ca="1">U20*X20*Y20*AA20</f>
        <v>11571.456</v>
      </c>
      <c r="AC20" s="9"/>
    </row>
    <row r="21" spans="2:29" x14ac:dyDescent="0.25">
      <c r="B21" s="30" t="s">
        <v>25</v>
      </c>
      <c r="C21" s="59">
        <f ca="1">C20/C26</f>
        <v>1.0482756000000003E-2</v>
      </c>
      <c r="D21" s="8">
        <f t="shared" ca="1" si="12"/>
        <v>14</v>
      </c>
      <c r="E21" s="19">
        <f t="shared" ca="1" si="15"/>
        <v>49516</v>
      </c>
      <c r="F21" s="46">
        <f t="shared" ca="1" si="16"/>
        <v>49882</v>
      </c>
      <c r="G21" s="46">
        <f t="shared" ca="1" si="8"/>
        <v>49884</v>
      </c>
      <c r="H21" s="53">
        <f t="shared" ca="1" si="17"/>
        <v>14</v>
      </c>
      <c r="I21" s="43">
        <f t="shared" ca="1" si="0"/>
        <v>1000000</v>
      </c>
      <c r="J21" s="44">
        <f t="shared" ca="1" si="1"/>
        <v>0.01</v>
      </c>
      <c r="K21" s="53">
        <f t="shared" ca="1" si="2"/>
        <v>1</v>
      </c>
      <c r="L21" s="53">
        <f t="shared" ca="1" si="18"/>
        <v>10000</v>
      </c>
      <c r="M21" s="45">
        <v>1</v>
      </c>
      <c r="N21" s="40">
        <f t="shared" ca="1" si="19"/>
        <v>10000</v>
      </c>
      <c r="O21" s="52">
        <f t="shared" ca="1" si="13"/>
        <v>14</v>
      </c>
      <c r="P21" s="19">
        <f t="shared" ca="1" si="14"/>
        <v>49514</v>
      </c>
      <c r="Q21" s="20">
        <f t="shared" ca="1" si="20"/>
        <v>49516</v>
      </c>
      <c r="R21" s="20">
        <f t="shared" ca="1" si="9"/>
        <v>49882</v>
      </c>
      <c r="S21" s="20">
        <f t="shared" ca="1" si="10"/>
        <v>49884</v>
      </c>
      <c r="T21" s="21">
        <f t="shared" ca="1" si="11"/>
        <v>14</v>
      </c>
      <c r="U21" s="22">
        <f t="shared" ca="1" si="5"/>
        <v>1000000</v>
      </c>
      <c r="V21" s="23">
        <v>1.2160000000000001E-2</v>
      </c>
      <c r="W21" s="21">
        <v>0</v>
      </c>
      <c r="X21" s="23">
        <f t="shared" ca="1" si="21"/>
        <v>1.2160000000000001E-2</v>
      </c>
      <c r="Y21" s="21">
        <f t="shared" ca="1" si="7"/>
        <v>1</v>
      </c>
      <c r="Z21" s="21">
        <f ca="1">U21*X21*Y21</f>
        <v>12160</v>
      </c>
      <c r="AA21" s="69">
        <v>0.9516</v>
      </c>
      <c r="AB21" s="21">
        <f ca="1">U21*X21*Y21*AA21</f>
        <v>11571.456</v>
      </c>
      <c r="AC21" s="9"/>
    </row>
    <row r="22" spans="2:29" x14ac:dyDescent="0.25">
      <c r="D22" s="8">
        <f t="shared" ca="1" si="12"/>
        <v>15</v>
      </c>
      <c r="E22" s="19">
        <f t="shared" ca="1" si="15"/>
        <v>49882</v>
      </c>
      <c r="F22" s="46">
        <f t="shared" ca="1" si="16"/>
        <v>50247</v>
      </c>
      <c r="G22" s="46">
        <f t="shared" ca="1" si="8"/>
        <v>50249</v>
      </c>
      <c r="H22" s="53">
        <f t="shared" ca="1" si="17"/>
        <v>15</v>
      </c>
      <c r="I22" s="43">
        <f t="shared" ca="1" si="0"/>
        <v>1000000</v>
      </c>
      <c r="J22" s="44">
        <f t="shared" ca="1" si="1"/>
        <v>0.01</v>
      </c>
      <c r="K22" s="53">
        <f t="shared" ca="1" si="2"/>
        <v>1</v>
      </c>
      <c r="L22" s="53">
        <f t="shared" ca="1" si="18"/>
        <v>10000</v>
      </c>
      <c r="M22" s="45">
        <v>1</v>
      </c>
      <c r="N22" s="40">
        <f t="shared" ca="1" si="19"/>
        <v>10000</v>
      </c>
      <c r="O22" s="52">
        <f t="shared" ca="1" si="13"/>
        <v>15</v>
      </c>
      <c r="P22" s="19">
        <f t="shared" ca="1" si="14"/>
        <v>49880</v>
      </c>
      <c r="Q22" s="20">
        <f t="shared" ca="1" si="20"/>
        <v>49882</v>
      </c>
      <c r="R22" s="20">
        <f t="shared" ca="1" si="9"/>
        <v>50247</v>
      </c>
      <c r="S22" s="20">
        <f t="shared" ca="1" si="10"/>
        <v>50249</v>
      </c>
      <c r="T22" s="21">
        <f t="shared" ca="1" si="11"/>
        <v>15</v>
      </c>
      <c r="U22" s="22">
        <f t="shared" ca="1" si="5"/>
        <v>1000000</v>
      </c>
      <c r="V22" s="23">
        <v>1.2160000000000001E-2</v>
      </c>
      <c r="W22" s="21">
        <v>0</v>
      </c>
      <c r="X22" s="23">
        <f t="shared" ca="1" si="21"/>
        <v>1.2160000000000001E-2</v>
      </c>
      <c r="Y22" s="21">
        <f t="shared" ca="1" si="7"/>
        <v>1</v>
      </c>
      <c r="Z22" s="21">
        <f ca="1">U22*X22*Y22</f>
        <v>12160</v>
      </c>
      <c r="AA22" s="69">
        <v>0.9516</v>
      </c>
      <c r="AB22" s="21">
        <f ca="1">U22*X22*Y22*AA22</f>
        <v>11571.456</v>
      </c>
      <c r="AC22" s="9"/>
    </row>
    <row r="23" spans="2:29" x14ac:dyDescent="0.25">
      <c r="B23" s="4" t="s">
        <v>26</v>
      </c>
      <c r="D23" s="8">
        <f t="shared" ca="1" si="12"/>
        <v>16</v>
      </c>
      <c r="E23" s="19">
        <f t="shared" ca="1" si="15"/>
        <v>50247</v>
      </c>
      <c r="F23" s="46">
        <f t="shared" ca="1" si="16"/>
        <v>50612</v>
      </c>
      <c r="G23" s="46">
        <f t="shared" ca="1" si="8"/>
        <v>50614</v>
      </c>
      <c r="H23" s="53">
        <f t="shared" ca="1" si="17"/>
        <v>16</v>
      </c>
      <c r="I23" s="43">
        <f t="shared" ca="1" si="0"/>
        <v>1000000</v>
      </c>
      <c r="J23" s="44">
        <f t="shared" ca="1" si="1"/>
        <v>0.01</v>
      </c>
      <c r="K23" s="53">
        <f t="shared" ca="1" si="2"/>
        <v>1</v>
      </c>
      <c r="L23" s="53">
        <f t="shared" ca="1" si="18"/>
        <v>10000</v>
      </c>
      <c r="M23" s="45">
        <v>1</v>
      </c>
      <c r="N23" s="40">
        <f t="shared" ca="1" si="19"/>
        <v>10000</v>
      </c>
      <c r="O23" s="52">
        <f t="shared" ca="1" si="13"/>
        <v>16</v>
      </c>
      <c r="P23" s="19">
        <f t="shared" ca="1" si="14"/>
        <v>50245</v>
      </c>
      <c r="Q23" s="20">
        <f t="shared" ca="1" si="20"/>
        <v>50247</v>
      </c>
      <c r="R23" s="20">
        <f t="shared" ca="1" si="9"/>
        <v>50612</v>
      </c>
      <c r="S23" s="20">
        <f t="shared" ca="1" si="10"/>
        <v>50614</v>
      </c>
      <c r="T23" s="21">
        <f t="shared" ca="1" si="11"/>
        <v>16</v>
      </c>
      <c r="U23" s="22">
        <f t="shared" ca="1" si="5"/>
        <v>1000000</v>
      </c>
      <c r="V23" s="23">
        <v>1.2160000000000001E-2</v>
      </c>
      <c r="W23" s="21">
        <v>0</v>
      </c>
      <c r="X23" s="23">
        <f t="shared" ca="1" si="21"/>
        <v>1.2160000000000001E-2</v>
      </c>
      <c r="Y23" s="21">
        <f t="shared" ca="1" si="7"/>
        <v>1</v>
      </c>
      <c r="Z23" s="21">
        <f ca="1">U23*X23*Y23</f>
        <v>12160</v>
      </c>
      <c r="AA23" s="69">
        <v>0.9516</v>
      </c>
      <c r="AB23" s="21">
        <f ca="1">U23*X23*Y23*AA23</f>
        <v>11571.456</v>
      </c>
      <c r="AC23" s="9"/>
    </row>
    <row r="24" spans="2:29" ht="17.25" x14ac:dyDescent="0.25">
      <c r="B24" s="6" t="s">
        <v>27</v>
      </c>
      <c r="C24" s="51">
        <f ca="1">SUMPRODUCT(K8:K27,M8:M27)</f>
        <v>20</v>
      </c>
      <c r="D24" s="8">
        <f t="shared" ca="1" si="12"/>
        <v>17</v>
      </c>
      <c r="E24" s="19">
        <f t="shared" ca="1" si="15"/>
        <v>50612</v>
      </c>
      <c r="F24" s="46">
        <f t="shared" ca="1" si="16"/>
        <v>50977</v>
      </c>
      <c r="G24" s="46">
        <f t="shared" ca="1" si="8"/>
        <v>50979</v>
      </c>
      <c r="H24" s="53">
        <f t="shared" ca="1" si="17"/>
        <v>17</v>
      </c>
      <c r="I24" s="43">
        <f t="shared" ca="1" si="0"/>
        <v>1000000</v>
      </c>
      <c r="J24" s="44">
        <f t="shared" ca="1" si="1"/>
        <v>0.01</v>
      </c>
      <c r="K24" s="53">
        <f t="shared" ca="1" si="2"/>
        <v>1</v>
      </c>
      <c r="L24" s="53">
        <f t="shared" ca="1" si="18"/>
        <v>10000</v>
      </c>
      <c r="M24" s="45">
        <v>1</v>
      </c>
      <c r="N24" s="40">
        <f t="shared" ca="1" si="19"/>
        <v>10000</v>
      </c>
      <c r="O24" s="52">
        <f t="shared" ca="1" si="13"/>
        <v>17</v>
      </c>
      <c r="P24" s="19">
        <f t="shared" ca="1" si="14"/>
        <v>50610</v>
      </c>
      <c r="Q24" s="20">
        <f t="shared" ca="1" si="20"/>
        <v>50612</v>
      </c>
      <c r="R24" s="20">
        <f t="shared" ca="1" si="9"/>
        <v>50977</v>
      </c>
      <c r="S24" s="20">
        <f t="shared" ca="1" si="10"/>
        <v>50979</v>
      </c>
      <c r="T24" s="21">
        <f t="shared" ca="1" si="11"/>
        <v>17</v>
      </c>
      <c r="U24" s="22">
        <f t="shared" ca="1" si="5"/>
        <v>1000000</v>
      </c>
      <c r="V24" s="23">
        <v>1.2160000000000001E-2</v>
      </c>
      <c r="W24" s="21">
        <v>0</v>
      </c>
      <c r="X24" s="23">
        <f t="shared" ca="1" si="21"/>
        <v>1.2160000000000001E-2</v>
      </c>
      <c r="Y24" s="21">
        <f t="shared" ca="1" si="7"/>
        <v>1</v>
      </c>
      <c r="Z24" s="21">
        <f ca="1">U24*X24*Y24</f>
        <v>12160</v>
      </c>
      <c r="AA24" s="69">
        <v>0.9516</v>
      </c>
      <c r="AB24" s="21">
        <f ca="1">U24*X24*Y24*AA24</f>
        <v>11571.456</v>
      </c>
      <c r="AC24" s="9"/>
    </row>
    <row r="25" spans="2:29" ht="17.25" x14ac:dyDescent="0.25">
      <c r="B25" s="10" t="s">
        <v>28</v>
      </c>
      <c r="C25" s="38">
        <f ca="1">SUMPRODUCT(Y8:Y27,AA8:AA27)</f>
        <v>19.127999999999989</v>
      </c>
      <c r="D25" s="8">
        <f t="shared" ca="1" si="12"/>
        <v>18</v>
      </c>
      <c r="E25" s="19">
        <f t="shared" ca="1" si="15"/>
        <v>50977</v>
      </c>
      <c r="F25" s="46">
        <f t="shared" ca="1" si="16"/>
        <v>51343</v>
      </c>
      <c r="G25" s="46">
        <f t="shared" ca="1" si="8"/>
        <v>51345</v>
      </c>
      <c r="H25" s="53">
        <f t="shared" ca="1" si="17"/>
        <v>18</v>
      </c>
      <c r="I25" s="43">
        <f t="shared" ca="1" si="0"/>
        <v>1000000</v>
      </c>
      <c r="J25" s="44">
        <f t="shared" ca="1" si="1"/>
        <v>0.01</v>
      </c>
      <c r="K25" s="53">
        <f t="shared" ca="1" si="2"/>
        <v>1</v>
      </c>
      <c r="L25" s="53">
        <f t="shared" ca="1" si="18"/>
        <v>10000</v>
      </c>
      <c r="M25" s="45">
        <v>1</v>
      </c>
      <c r="N25" s="40">
        <f t="shared" ca="1" si="19"/>
        <v>10000</v>
      </c>
      <c r="O25" s="52">
        <f t="shared" ca="1" si="13"/>
        <v>18</v>
      </c>
      <c r="P25" s="19">
        <f t="shared" ca="1" si="14"/>
        <v>50975</v>
      </c>
      <c r="Q25" s="20">
        <f t="shared" ca="1" si="20"/>
        <v>50977</v>
      </c>
      <c r="R25" s="20">
        <f t="shared" ca="1" si="9"/>
        <v>51343</v>
      </c>
      <c r="S25" s="20">
        <f t="shared" ca="1" si="10"/>
        <v>51345</v>
      </c>
      <c r="T25" s="21">
        <f t="shared" ca="1" si="11"/>
        <v>18</v>
      </c>
      <c r="U25" s="22">
        <f t="shared" ca="1" si="5"/>
        <v>1000000</v>
      </c>
      <c r="V25" s="23">
        <v>1.2160000000000001E-2</v>
      </c>
      <c r="W25" s="21">
        <v>0</v>
      </c>
      <c r="X25" s="23">
        <f t="shared" ca="1" si="21"/>
        <v>1.2160000000000001E-2</v>
      </c>
      <c r="Y25" s="21">
        <f t="shared" ca="1" si="7"/>
        <v>1</v>
      </c>
      <c r="Z25" s="21">
        <f ca="1">U25*X25*Y25</f>
        <v>12160</v>
      </c>
      <c r="AA25" s="69">
        <v>0.9516</v>
      </c>
      <c r="AB25" s="21">
        <f ca="1">U25*X25*Y25*AA25</f>
        <v>11571.456</v>
      </c>
      <c r="AC25" s="9"/>
    </row>
    <row r="26" spans="2:29" ht="18" x14ac:dyDescent="0.25">
      <c r="B26" s="10" t="s">
        <v>29</v>
      </c>
      <c r="C26" s="32">
        <f ca="1">SUMPRODUCT(K8:K27,M8:M27,I8:I27)</f>
        <v>20000000</v>
      </c>
      <c r="D26" s="8">
        <f t="shared" ca="1" si="12"/>
        <v>19</v>
      </c>
      <c r="E26" s="19">
        <f t="shared" ca="1" si="15"/>
        <v>51343</v>
      </c>
      <c r="F26" s="46">
        <f t="shared" ca="1" si="16"/>
        <v>51708</v>
      </c>
      <c r="G26" s="46">
        <f t="shared" ca="1" si="8"/>
        <v>51710</v>
      </c>
      <c r="H26" s="53">
        <f t="shared" ca="1" si="17"/>
        <v>19</v>
      </c>
      <c r="I26" s="43">
        <f t="shared" ca="1" si="0"/>
        <v>1000000</v>
      </c>
      <c r="J26" s="44">
        <f t="shared" ca="1" si="1"/>
        <v>0.01</v>
      </c>
      <c r="K26" s="53">
        <f t="shared" ca="1" si="2"/>
        <v>1</v>
      </c>
      <c r="L26" s="53">
        <f t="shared" ca="1" si="18"/>
        <v>10000</v>
      </c>
      <c r="M26" s="45">
        <v>1</v>
      </c>
      <c r="N26" s="40">
        <f t="shared" ca="1" si="19"/>
        <v>10000</v>
      </c>
      <c r="O26" s="52">
        <f t="shared" ca="1" si="13"/>
        <v>19</v>
      </c>
      <c r="P26" s="19">
        <f t="shared" ca="1" si="14"/>
        <v>51341</v>
      </c>
      <c r="Q26" s="20">
        <f t="shared" ca="1" si="20"/>
        <v>51343</v>
      </c>
      <c r="R26" s="20">
        <f t="shared" ca="1" si="9"/>
        <v>51708</v>
      </c>
      <c r="S26" s="20">
        <f t="shared" ca="1" si="10"/>
        <v>51710</v>
      </c>
      <c r="T26" s="21">
        <f t="shared" ca="1" si="11"/>
        <v>19</v>
      </c>
      <c r="U26" s="22">
        <f t="shared" ca="1" si="5"/>
        <v>1000000</v>
      </c>
      <c r="V26" s="23">
        <v>1.2160000000000001E-2</v>
      </c>
      <c r="W26" s="21">
        <v>0</v>
      </c>
      <c r="X26" s="23">
        <f t="shared" ca="1" si="21"/>
        <v>1.2160000000000001E-2</v>
      </c>
      <c r="Y26" s="21">
        <f t="shared" ca="1" si="7"/>
        <v>1</v>
      </c>
      <c r="Z26" s="21">
        <f ca="1">U26*X26*Y26</f>
        <v>12160</v>
      </c>
      <c r="AA26" s="69">
        <v>0.9516</v>
      </c>
      <c r="AB26" s="21">
        <f ca="1">U26*X26*Y26*AA26</f>
        <v>11571.456</v>
      </c>
      <c r="AC26" s="9"/>
    </row>
    <row r="27" spans="2:29" ht="18" x14ac:dyDescent="0.25">
      <c r="B27" s="26" t="s">
        <v>30</v>
      </c>
      <c r="C27" s="39">
        <f ca="1">SUMPRODUCT(Y8:Y27,AA8:AA27,U8:U27)</f>
        <v>19128000</v>
      </c>
      <c r="D27" s="8">
        <f t="shared" ca="1" si="12"/>
        <v>20</v>
      </c>
      <c r="E27" s="33">
        <f t="shared" ca="1" si="15"/>
        <v>51708</v>
      </c>
      <c r="F27" s="34">
        <f t="shared" ca="1" si="16"/>
        <v>52073</v>
      </c>
      <c r="G27" s="34">
        <f t="shared" ca="1" si="8"/>
        <v>52075</v>
      </c>
      <c r="H27" s="35">
        <f t="shared" ca="1" si="17"/>
        <v>20</v>
      </c>
      <c r="I27" s="36">
        <f t="shared" ca="1" si="0"/>
        <v>1000000</v>
      </c>
      <c r="J27" s="37">
        <f t="shared" ca="1" si="1"/>
        <v>0.01</v>
      </c>
      <c r="K27" s="35">
        <f t="shared" ca="1" si="2"/>
        <v>1</v>
      </c>
      <c r="L27" s="35">
        <f t="shared" ca="1" si="18"/>
        <v>10000</v>
      </c>
      <c r="M27" s="62">
        <v>1</v>
      </c>
      <c r="N27" s="31">
        <f t="shared" ca="1" si="19"/>
        <v>10000</v>
      </c>
      <c r="O27" s="52">
        <f t="shared" ca="1" si="13"/>
        <v>20</v>
      </c>
      <c r="P27" s="33">
        <f t="shared" ca="1" si="14"/>
        <v>51706</v>
      </c>
      <c r="Q27" s="34">
        <f t="shared" ca="1" si="20"/>
        <v>51708</v>
      </c>
      <c r="R27" s="34">
        <f t="shared" ca="1" si="9"/>
        <v>52073</v>
      </c>
      <c r="S27" s="34">
        <f t="shared" ca="1" si="10"/>
        <v>52075</v>
      </c>
      <c r="T27" s="35">
        <f t="shared" ca="1" si="11"/>
        <v>20</v>
      </c>
      <c r="U27" s="36">
        <f t="shared" ca="1" si="5"/>
        <v>1000000</v>
      </c>
      <c r="V27" s="37">
        <v>1.2160000000000001E-2</v>
      </c>
      <c r="W27" s="35">
        <v>0</v>
      </c>
      <c r="X27" s="37">
        <f t="shared" ca="1" si="21"/>
        <v>1.2160000000000001E-2</v>
      </c>
      <c r="Y27" s="35">
        <f t="shared" ca="1" si="7"/>
        <v>1</v>
      </c>
      <c r="Z27" s="35">
        <f ca="1">U27*X27*Y27</f>
        <v>12160</v>
      </c>
      <c r="AA27" s="62">
        <v>0.9516</v>
      </c>
      <c r="AB27" s="31">
        <f ca="1">U27*X27*Y27*AA27</f>
        <v>11571.456</v>
      </c>
      <c r="AC27" s="9"/>
    </row>
  </sheetData>
  <dataValidations count="4">
    <dataValidation type="list" allowBlank="1" showInputMessage="1" showErrorMessage="1" sqref="C11:C12" xr:uid="{2537E4C1-6B7E-4617-AF4E-A9D93BE6D96C}">
      <formula1>"ANNUAL,SEMI-ANNUAL,QUARTERLY,MONTHLY"</formula1>
    </dataValidation>
    <dataValidation type="list" allowBlank="1" showInputMessage="1" showErrorMessage="1" sqref="C8" xr:uid="{33B10CE7-CA43-43B4-9B6A-BF9C7967F4C4}">
      <formula1>"EUR,USD,GBP,JPY"</formula1>
    </dataValidation>
    <dataValidation type="list" allowBlank="1" showInputMessage="1" showErrorMessage="1" sqref="C7" xr:uid="{13EB9DF6-2B09-4B1A-A204-8F921B01F108}">
      <formula1>"PAYER,RECEIVER"</formula1>
    </dataValidation>
    <dataValidation type="decimal" allowBlank="1" showInputMessage="1" showErrorMessage="1" sqref="C14" xr:uid="{C11032DC-FC83-421B-AFC1-EC46D4906861}">
      <formula1>0</formula1>
      <formula2>20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5B0B3-6AD0-49BC-B8B0-6EF893990AF6}">
  <sheetPr codeName="Sheet4"/>
  <dimension ref="A2:AF27"/>
  <sheetViews>
    <sheetView showGridLines="0" tabSelected="1" workbookViewId="0"/>
  </sheetViews>
  <sheetFormatPr defaultColWidth="9.140625" defaultRowHeight="15" x14ac:dyDescent="0.25"/>
  <cols>
    <col min="1" max="1" width="6.140625" style="1" bestFit="1" customWidth="1"/>
    <col min="2" max="2" width="17" style="1" bestFit="1" customWidth="1"/>
    <col min="3" max="3" width="15.42578125" style="1" customWidth="1"/>
    <col min="4" max="4" width="4.85546875" style="1" bestFit="1" customWidth="1"/>
    <col min="5" max="14" width="11.7109375" style="1" customWidth="1"/>
    <col min="15" max="15" width="9.140625" style="1"/>
    <col min="16" max="28" width="11.7109375" style="1" customWidth="1"/>
    <col min="29" max="16384" width="9.140625" style="1"/>
  </cols>
  <sheetData>
    <row r="2" spans="1:32" x14ac:dyDescent="0.25">
      <c r="B2" s="2" t="s">
        <v>0</v>
      </c>
      <c r="C2" s="1" t="s">
        <v>31</v>
      </c>
      <c r="E2" s="1" t="s">
        <v>32</v>
      </c>
      <c r="G2" s="1" t="s">
        <v>38</v>
      </c>
      <c r="P2" s="1" t="s">
        <v>37</v>
      </c>
      <c r="Q2" s="1" t="s">
        <v>32</v>
      </c>
      <c r="S2" s="1" t="s">
        <v>38</v>
      </c>
    </row>
    <row r="3" spans="1:32" x14ac:dyDescent="0.25">
      <c r="C3" s="41">
        <f ca="1">TODAY()</f>
        <v>44766</v>
      </c>
      <c r="E3" s="42" t="s">
        <v>34</v>
      </c>
      <c r="G3" s="42" t="s">
        <v>34</v>
      </c>
      <c r="P3" s="55" t="s">
        <v>34</v>
      </c>
      <c r="Q3" s="56" t="s">
        <v>34</v>
      </c>
      <c r="S3" s="42" t="s">
        <v>34</v>
      </c>
    </row>
    <row r="5" spans="1:32" x14ac:dyDescent="0.25">
      <c r="L5" s="61" t="s">
        <v>53</v>
      </c>
      <c r="N5" s="61" t="s">
        <v>40</v>
      </c>
      <c r="Z5" s="61" t="s">
        <v>53</v>
      </c>
      <c r="AB5" s="61" t="s">
        <v>40</v>
      </c>
    </row>
    <row r="6" spans="1:32" x14ac:dyDescent="0.25">
      <c r="B6" s="3" t="s">
        <v>1</v>
      </c>
      <c r="E6" s="4" t="s">
        <v>2</v>
      </c>
      <c r="K6" s="5"/>
      <c r="L6" s="68">
        <f ca="1">SUM(L8:L12)</f>
        <v>50000</v>
      </c>
      <c r="N6" s="68">
        <f ca="1">SUM(N8:N12)</f>
        <v>48540</v>
      </c>
      <c r="P6" s="4" t="s">
        <v>3</v>
      </c>
      <c r="Z6" s="68">
        <f ca="1">SUM(Z8:Z12)</f>
        <v>37400</v>
      </c>
      <c r="AA6" s="61"/>
      <c r="AB6" s="68">
        <f ca="1">SUM(AB8:AB12)</f>
        <v>36083.279999999999</v>
      </c>
    </row>
    <row r="7" spans="1:32" ht="18" x14ac:dyDescent="0.25">
      <c r="A7" s="48">
        <f ca="1">IF(C7="RECEIVER",1,-1)</f>
        <v>1</v>
      </c>
      <c r="B7" s="6" t="s">
        <v>4</v>
      </c>
      <c r="C7" s="7" t="s">
        <v>5</v>
      </c>
      <c r="D7" s="8"/>
      <c r="E7" s="65" t="s">
        <v>7</v>
      </c>
      <c r="F7" s="66" t="s">
        <v>8</v>
      </c>
      <c r="G7" s="66" t="s">
        <v>9</v>
      </c>
      <c r="H7" s="66" t="s">
        <v>41</v>
      </c>
      <c r="I7" s="66" t="s">
        <v>10</v>
      </c>
      <c r="J7" s="66" t="s">
        <v>42</v>
      </c>
      <c r="K7" s="66" t="s">
        <v>44</v>
      </c>
      <c r="L7" s="66" t="s">
        <v>52</v>
      </c>
      <c r="M7" s="66" t="s">
        <v>45</v>
      </c>
      <c r="N7" s="67" t="s">
        <v>43</v>
      </c>
      <c r="O7" s="52"/>
      <c r="P7" s="65" t="s">
        <v>11</v>
      </c>
      <c r="Q7" s="66" t="s">
        <v>7</v>
      </c>
      <c r="R7" s="66" t="s">
        <v>8</v>
      </c>
      <c r="S7" s="66" t="s">
        <v>9</v>
      </c>
      <c r="T7" s="66" t="s">
        <v>46</v>
      </c>
      <c r="U7" s="66" t="s">
        <v>10</v>
      </c>
      <c r="V7" s="66" t="s">
        <v>47</v>
      </c>
      <c r="W7" s="66" t="s">
        <v>12</v>
      </c>
      <c r="X7" s="66" t="s">
        <v>48</v>
      </c>
      <c r="Y7" s="66" t="s">
        <v>49</v>
      </c>
      <c r="Z7" s="66" t="s">
        <v>52</v>
      </c>
      <c r="AA7" s="66" t="s">
        <v>50</v>
      </c>
      <c r="AB7" s="66" t="s">
        <v>51</v>
      </c>
      <c r="AC7" s="9"/>
    </row>
    <row r="8" spans="1:32" x14ac:dyDescent="0.25">
      <c r="A8" s="47"/>
      <c r="B8" s="10" t="s">
        <v>13</v>
      </c>
      <c r="C8" s="11" t="s">
        <v>36</v>
      </c>
      <c r="D8" s="8"/>
      <c r="E8" s="63">
        <f ca="1">$C$3+LEFT($E$3,LEN($E$3)-1)</f>
        <v>44768</v>
      </c>
      <c r="F8" s="13">
        <f ca="1">EDATE(E8,$A$11)</f>
        <v>45133</v>
      </c>
      <c r="G8" s="13">
        <f ca="1">F8+LEFT($G$3,LEN($G$3)-1)</f>
        <v>45135</v>
      </c>
      <c r="H8" s="14">
        <f ca="1">K8</f>
        <v>1</v>
      </c>
      <c r="I8" s="15">
        <f t="shared" ref="I8:I12" ca="1" si="0">$C$9</f>
        <v>1000000</v>
      </c>
      <c r="J8" s="16">
        <f t="shared" ref="J8:J12" ca="1" si="1">$C$10</f>
        <v>0.01</v>
      </c>
      <c r="K8" s="14">
        <f t="shared" ref="K8:K12" ca="1" si="2">$A$11/12</f>
        <v>1</v>
      </c>
      <c r="L8" s="14">
        <f t="shared" ref="L8:L12" ca="1" si="3">I8*J8*K8</f>
        <v>10000</v>
      </c>
      <c r="M8" s="54">
        <v>0.99</v>
      </c>
      <c r="N8" s="50">
        <f t="shared" ref="N8:N12" ca="1" si="4">L8*M8</f>
        <v>9900</v>
      </c>
      <c r="O8" s="52"/>
      <c r="P8" s="12">
        <f ca="1">Q8-LEFT($P$3,LEN($P$3)-1)</f>
        <v>44766</v>
      </c>
      <c r="Q8" s="64">
        <f ca="1">$C$3+LEFT($Q$3,LEN($E$3)-1)</f>
        <v>44768</v>
      </c>
      <c r="R8" s="13">
        <f ca="1">EDATE(Q8,$A$12)</f>
        <v>45133</v>
      </c>
      <c r="S8" s="13">
        <f ca="1">R8+LEFT($S$3,LEN($S$3)-1)</f>
        <v>45135</v>
      </c>
      <c r="T8" s="14">
        <f ca="1">Y8</f>
        <v>1</v>
      </c>
      <c r="U8" s="15">
        <f t="shared" ref="U8:U12" ca="1" si="5">$C$9</f>
        <v>1000000</v>
      </c>
      <c r="V8" s="16">
        <v>2.8E-3</v>
      </c>
      <c r="W8" s="14">
        <v>0</v>
      </c>
      <c r="X8" s="16">
        <f t="shared" ref="X8:X12" ca="1" si="6">V8+W8</f>
        <v>2.8E-3</v>
      </c>
      <c r="Y8" s="14">
        <f t="shared" ref="Y8:Y12" ca="1" si="7">$A$12/12</f>
        <v>1</v>
      </c>
      <c r="Z8" s="14">
        <f ca="1">U8*X8*Y8</f>
        <v>2800</v>
      </c>
      <c r="AA8" s="54">
        <v>0.99</v>
      </c>
      <c r="AB8" s="50">
        <f t="shared" ref="AB8:AB12" ca="1" si="8">U8*X8*Y8*AA8</f>
        <v>2772</v>
      </c>
      <c r="AC8" s="9"/>
      <c r="AF8" s="17"/>
    </row>
    <row r="9" spans="1:32" x14ac:dyDescent="0.25">
      <c r="A9" s="47"/>
      <c r="B9" s="10" t="s">
        <v>15</v>
      </c>
      <c r="C9" s="18">
        <v>1000000</v>
      </c>
      <c r="D9" s="8"/>
      <c r="E9" s="19">
        <f ca="1">F8</f>
        <v>45133</v>
      </c>
      <c r="F9" s="46">
        <f ca="1">EDATE(E9,$A$11)</f>
        <v>45499</v>
      </c>
      <c r="G9" s="46">
        <f t="shared" ref="G9:G12" ca="1" si="9">F9+LEFT($G$3,LEN($G$3)-1)</f>
        <v>45501</v>
      </c>
      <c r="H9" s="53">
        <f ca="1">H8+K9</f>
        <v>2</v>
      </c>
      <c r="I9" s="43">
        <f t="shared" ca="1" si="0"/>
        <v>1000000</v>
      </c>
      <c r="J9" s="44">
        <f t="shared" ca="1" si="1"/>
        <v>0.01</v>
      </c>
      <c r="K9" s="53">
        <f t="shared" ca="1" si="2"/>
        <v>1</v>
      </c>
      <c r="L9" s="53">
        <f t="shared" ca="1" si="3"/>
        <v>10000</v>
      </c>
      <c r="M9" s="45">
        <v>0.98040000000000005</v>
      </c>
      <c r="N9" s="40">
        <f t="shared" ca="1" si="4"/>
        <v>9804</v>
      </c>
      <c r="O9" s="52"/>
      <c r="P9" s="19">
        <f ca="1">Q9-LEFT($P$3,LEN($P$3)-1)</f>
        <v>45131</v>
      </c>
      <c r="Q9" s="46">
        <f ca="1">R8</f>
        <v>45133</v>
      </c>
      <c r="R9" s="46">
        <f t="shared" ref="R9:R12" ca="1" si="10">EDATE(Q9,$A$12)</f>
        <v>45499</v>
      </c>
      <c r="S9" s="46">
        <f t="shared" ref="S9:S12" ca="1" si="11">R9+LEFT($S$3,LEN($S$3)-1)</f>
        <v>45501</v>
      </c>
      <c r="T9" s="53">
        <f t="shared" ref="T9:T12" ca="1" si="12">T8+Y9</f>
        <v>2</v>
      </c>
      <c r="U9" s="43">
        <f t="shared" ca="1" si="5"/>
        <v>1000000</v>
      </c>
      <c r="V9" s="44">
        <v>5.1399999999999996E-3</v>
      </c>
      <c r="W9" s="53">
        <v>0</v>
      </c>
      <c r="X9" s="44">
        <f t="shared" ca="1" si="6"/>
        <v>5.1399999999999996E-3</v>
      </c>
      <c r="Y9" s="53">
        <f t="shared" ca="1" si="7"/>
        <v>1</v>
      </c>
      <c r="Z9" s="53">
        <f ca="1">U9*X9*Y9</f>
        <v>5140</v>
      </c>
      <c r="AA9" s="45">
        <v>0.98040000000000005</v>
      </c>
      <c r="AB9" s="40">
        <f t="shared" ca="1" si="8"/>
        <v>5039.2560000000003</v>
      </c>
      <c r="AC9" s="9"/>
      <c r="AF9" s="17"/>
    </row>
    <row r="10" spans="1:32" ht="17.25" x14ac:dyDescent="0.25">
      <c r="A10" s="47"/>
      <c r="B10" s="10" t="s">
        <v>16</v>
      </c>
      <c r="C10" s="60">
        <v>0.01</v>
      </c>
      <c r="D10" s="8"/>
      <c r="E10" s="19">
        <f ca="1">F9</f>
        <v>45499</v>
      </c>
      <c r="F10" s="46">
        <f ca="1">EDATE(E10,$A$11)</f>
        <v>45864</v>
      </c>
      <c r="G10" s="46">
        <f t="shared" ca="1" si="9"/>
        <v>45866</v>
      </c>
      <c r="H10" s="53">
        <f ca="1">H9+K10</f>
        <v>3</v>
      </c>
      <c r="I10" s="43">
        <f t="shared" ca="1" si="0"/>
        <v>1000000</v>
      </c>
      <c r="J10" s="44">
        <f t="shared" ca="1" si="1"/>
        <v>0.01</v>
      </c>
      <c r="K10" s="53">
        <f t="shared" ca="1" si="2"/>
        <v>1</v>
      </c>
      <c r="L10" s="53">
        <f t="shared" ca="1" si="3"/>
        <v>10000</v>
      </c>
      <c r="M10" s="45">
        <v>0.9708</v>
      </c>
      <c r="N10" s="40">
        <f t="shared" ca="1" si="4"/>
        <v>9708</v>
      </c>
      <c r="O10" s="52"/>
      <c r="P10" s="19">
        <f t="shared" ref="P10:P12" ca="1" si="13">Q10-LEFT($P$3,LEN($P$3)-1)</f>
        <v>45497</v>
      </c>
      <c r="Q10" s="46">
        <f ca="1">R9</f>
        <v>45499</v>
      </c>
      <c r="R10" s="46">
        <f t="shared" ca="1" si="10"/>
        <v>45864</v>
      </c>
      <c r="S10" s="46">
        <f t="shared" ca="1" si="11"/>
        <v>45866</v>
      </c>
      <c r="T10" s="53">
        <f t="shared" ca="1" si="12"/>
        <v>3</v>
      </c>
      <c r="U10" s="43">
        <f t="shared" ca="1" si="5"/>
        <v>1000000</v>
      </c>
      <c r="V10" s="44">
        <v>7.4799999999999997E-3</v>
      </c>
      <c r="W10" s="53">
        <v>0</v>
      </c>
      <c r="X10" s="44">
        <f t="shared" ca="1" si="6"/>
        <v>7.4799999999999997E-3</v>
      </c>
      <c r="Y10" s="53">
        <f t="shared" ca="1" si="7"/>
        <v>1</v>
      </c>
      <c r="Z10" s="53">
        <f ca="1">U10*X10*Y10</f>
        <v>7480</v>
      </c>
      <c r="AA10" s="45">
        <v>0.9708</v>
      </c>
      <c r="AB10" s="40">
        <f t="shared" ca="1" si="8"/>
        <v>7261.5839999999998</v>
      </c>
      <c r="AC10" s="9"/>
      <c r="AF10" s="17"/>
    </row>
    <row r="11" spans="1:32" x14ac:dyDescent="0.25">
      <c r="A11" s="49">
        <f ca="1">IF(C11="ANNUAL",12,IF(C11="SEMI-ANNUAL",6,IF(C11="QUARTERLY",3,IF(C11="MONTHLY",1,0))))</f>
        <v>12</v>
      </c>
      <c r="B11" s="10" t="s">
        <v>17</v>
      </c>
      <c r="C11" s="24" t="s">
        <v>33</v>
      </c>
      <c r="D11" s="8"/>
      <c r="E11" s="19">
        <f ca="1">F10</f>
        <v>45864</v>
      </c>
      <c r="F11" s="46">
        <f ca="1">EDATE(E11,$A$11)</f>
        <v>46229</v>
      </c>
      <c r="G11" s="46">
        <f t="shared" ca="1" si="9"/>
        <v>46231</v>
      </c>
      <c r="H11" s="53">
        <f ca="1">H10+K11</f>
        <v>4</v>
      </c>
      <c r="I11" s="43">
        <f t="shared" ca="1" si="0"/>
        <v>1000000</v>
      </c>
      <c r="J11" s="44">
        <f t="shared" ca="1" si="1"/>
        <v>0.01</v>
      </c>
      <c r="K11" s="53">
        <f t="shared" ca="1" si="2"/>
        <v>1</v>
      </c>
      <c r="L11" s="53">
        <f t="shared" ca="1" si="3"/>
        <v>10000</v>
      </c>
      <c r="M11" s="45">
        <v>0.96120000000000005</v>
      </c>
      <c r="N11" s="40">
        <f t="shared" ca="1" si="4"/>
        <v>9612</v>
      </c>
      <c r="O11" s="52"/>
      <c r="P11" s="19">
        <f t="shared" ca="1" si="13"/>
        <v>45862</v>
      </c>
      <c r="Q11" s="46">
        <f ca="1">R10</f>
        <v>45864</v>
      </c>
      <c r="R11" s="46">
        <f t="shared" ca="1" si="10"/>
        <v>46229</v>
      </c>
      <c r="S11" s="46">
        <f t="shared" ca="1" si="11"/>
        <v>46231</v>
      </c>
      <c r="T11" s="53">
        <f t="shared" ca="1" si="12"/>
        <v>4</v>
      </c>
      <c r="U11" s="43">
        <f t="shared" ca="1" si="5"/>
        <v>1000000</v>
      </c>
      <c r="V11" s="44">
        <v>9.8200000000000006E-3</v>
      </c>
      <c r="W11" s="53">
        <v>0</v>
      </c>
      <c r="X11" s="44">
        <f t="shared" ca="1" si="6"/>
        <v>9.8200000000000006E-3</v>
      </c>
      <c r="Y11" s="53">
        <f t="shared" ca="1" si="7"/>
        <v>1</v>
      </c>
      <c r="Z11" s="53">
        <f ca="1">U11*X11*Y11</f>
        <v>9820</v>
      </c>
      <c r="AA11" s="45">
        <v>0.96120000000000005</v>
      </c>
      <c r="AB11" s="40">
        <f t="shared" ca="1" si="8"/>
        <v>9438.9840000000004</v>
      </c>
      <c r="AC11" s="9"/>
      <c r="AF11" s="17"/>
    </row>
    <row r="12" spans="1:32" x14ac:dyDescent="0.25">
      <c r="A12" s="49">
        <f ca="1">IF(C12="ANNUAL",12,IF(C12="SEMI-ANNUAL",6,IF(C12="QUARTERLY",3,IF(C12="MONTHLY",1,0))))</f>
        <v>12</v>
      </c>
      <c r="B12" s="10" t="s">
        <v>18</v>
      </c>
      <c r="C12" s="24" t="s">
        <v>33</v>
      </c>
      <c r="D12" s="8"/>
      <c r="E12" s="33">
        <f ca="1">F11</f>
        <v>46229</v>
      </c>
      <c r="F12" s="34">
        <f ca="1">EDATE(E12,$A$11)</f>
        <v>46594</v>
      </c>
      <c r="G12" s="34">
        <f t="shared" ca="1" si="9"/>
        <v>46596</v>
      </c>
      <c r="H12" s="35">
        <f ca="1">H11+K12</f>
        <v>5</v>
      </c>
      <c r="I12" s="36">
        <f t="shared" ca="1" si="0"/>
        <v>1000000</v>
      </c>
      <c r="J12" s="37">
        <f t="shared" ca="1" si="1"/>
        <v>0.01</v>
      </c>
      <c r="K12" s="35">
        <f t="shared" ca="1" si="2"/>
        <v>1</v>
      </c>
      <c r="L12" s="35">
        <f t="shared" ca="1" si="3"/>
        <v>10000</v>
      </c>
      <c r="M12" s="62">
        <v>0.9516</v>
      </c>
      <c r="N12" s="31">
        <f t="shared" ca="1" si="4"/>
        <v>9516</v>
      </c>
      <c r="O12" s="52"/>
      <c r="P12" s="33">
        <f t="shared" ca="1" si="13"/>
        <v>46227</v>
      </c>
      <c r="Q12" s="34">
        <f ca="1">R11</f>
        <v>46229</v>
      </c>
      <c r="R12" s="34">
        <f t="shared" ca="1" si="10"/>
        <v>46594</v>
      </c>
      <c r="S12" s="34">
        <f t="shared" ca="1" si="11"/>
        <v>46596</v>
      </c>
      <c r="T12" s="35">
        <f t="shared" ca="1" si="12"/>
        <v>5</v>
      </c>
      <c r="U12" s="36">
        <f t="shared" ca="1" si="5"/>
        <v>1000000</v>
      </c>
      <c r="V12" s="37">
        <v>1.2160000000000001E-2</v>
      </c>
      <c r="W12" s="35">
        <v>0</v>
      </c>
      <c r="X12" s="37">
        <f t="shared" ca="1" si="6"/>
        <v>1.2160000000000001E-2</v>
      </c>
      <c r="Y12" s="35">
        <f t="shared" ca="1" si="7"/>
        <v>1</v>
      </c>
      <c r="Z12" s="35">
        <f ca="1">U12*X12*Y12</f>
        <v>12160</v>
      </c>
      <c r="AA12" s="62">
        <v>0.9516</v>
      </c>
      <c r="AB12" s="31">
        <f t="shared" ca="1" si="8"/>
        <v>11571.456</v>
      </c>
      <c r="AC12" s="9"/>
      <c r="AF12" s="17"/>
    </row>
    <row r="13" spans="1:32" x14ac:dyDescent="0.25">
      <c r="A13" s="47"/>
      <c r="B13" s="10" t="s">
        <v>19</v>
      </c>
      <c r="C13" s="25">
        <v>0</v>
      </c>
      <c r="AF13" s="17"/>
    </row>
    <row r="14" spans="1:32" x14ac:dyDescent="0.25">
      <c r="A14" s="47"/>
      <c r="B14" s="26" t="s">
        <v>20</v>
      </c>
      <c r="C14" s="27">
        <v>5</v>
      </c>
    </row>
    <row r="17" spans="2:3" x14ac:dyDescent="0.25">
      <c r="B17" s="4" t="s">
        <v>21</v>
      </c>
    </row>
    <row r="18" spans="2:3" x14ac:dyDescent="0.25">
      <c r="B18" s="28" t="s">
        <v>22</v>
      </c>
      <c r="C18" s="57">
        <f ca="1">$A$7*(C19-C20)</f>
        <v>12456.720000000001</v>
      </c>
    </row>
    <row r="19" spans="2:3" x14ac:dyDescent="0.25">
      <c r="B19" s="29" t="s">
        <v>23</v>
      </c>
      <c r="C19" s="58">
        <f ca="1">SUM(N8:N12)</f>
        <v>48540</v>
      </c>
    </row>
    <row r="20" spans="2:3" x14ac:dyDescent="0.25">
      <c r="B20" s="29" t="s">
        <v>24</v>
      </c>
      <c r="C20" s="58">
        <f ca="1">SUM(AB8:AB12)</f>
        <v>36083.279999999999</v>
      </c>
    </row>
    <row r="21" spans="2:3" x14ac:dyDescent="0.25">
      <c r="B21" s="30" t="s">
        <v>25</v>
      </c>
      <c r="C21" s="59">
        <f ca="1">C20/C26</f>
        <v>7.4337206427688499E-3</v>
      </c>
    </row>
    <row r="23" spans="2:3" x14ac:dyDescent="0.25">
      <c r="B23" s="4" t="s">
        <v>26</v>
      </c>
    </row>
    <row r="24" spans="2:3" ht="17.25" x14ac:dyDescent="0.25">
      <c r="B24" s="6" t="s">
        <v>27</v>
      </c>
      <c r="C24" s="51">
        <f ca="1">SUMPRODUCT(K8:K12,M8:M12)</f>
        <v>4.8540000000000001</v>
      </c>
    </row>
    <row r="25" spans="2:3" ht="17.25" x14ac:dyDescent="0.25">
      <c r="B25" s="10" t="s">
        <v>28</v>
      </c>
      <c r="C25" s="38">
        <f ca="1">SUMPRODUCT(Y8:Y12,AA8:AA12)</f>
        <v>4.8540000000000001</v>
      </c>
    </row>
    <row r="26" spans="2:3" ht="18" x14ac:dyDescent="0.25">
      <c r="B26" s="10" t="s">
        <v>29</v>
      </c>
      <c r="C26" s="32">
        <f ca="1">SUMPRODUCT(K8:K12,M8:M12,I8:I12)</f>
        <v>4854000</v>
      </c>
    </row>
    <row r="27" spans="2:3" ht="18" x14ac:dyDescent="0.25">
      <c r="B27" s="26" t="s">
        <v>30</v>
      </c>
      <c r="C27" s="39">
        <f ca="1">SUMPRODUCT(Y8:Y12,AA8:AA12,U8:U12)</f>
        <v>4854000</v>
      </c>
    </row>
  </sheetData>
  <dataValidations count="4">
    <dataValidation type="decimal" allowBlank="1" showInputMessage="1" showErrorMessage="1" sqref="C14" xr:uid="{73B1F99F-0133-44F4-925A-886126103BDD}">
      <formula1>0</formula1>
      <formula2>20</formula2>
    </dataValidation>
    <dataValidation type="list" allowBlank="1" showInputMessage="1" showErrorMessage="1" sqref="C7" xr:uid="{25430CD3-5CCF-4E0D-94CA-D13A601B016B}">
      <formula1>"PAYER,RECEIVER"</formula1>
    </dataValidation>
    <dataValidation type="list" allowBlank="1" showInputMessage="1" showErrorMessage="1" sqref="C8" xr:uid="{D9722142-A910-4336-9D87-CC68AE10C95E}">
      <formula1>"EUR,USD,GBP,JPY"</formula1>
    </dataValidation>
    <dataValidation type="list" allowBlank="1" showInputMessage="1" showErrorMessage="1" sqref="C11:C12" xr:uid="{2E0DE01E-931F-40B9-A19A-02EBB870387C}">
      <formula1>"ANNUAL,SEMI-ANNUAL,QUARTERLY,MONTHLY"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838E7-D386-4B77-A9E4-0EBF1EC8158F}">
  <sheetPr codeName="Sheet6"/>
  <dimension ref="A2:AF27"/>
  <sheetViews>
    <sheetView showGridLines="0" workbookViewId="0"/>
  </sheetViews>
  <sheetFormatPr defaultColWidth="9.140625" defaultRowHeight="15" x14ac:dyDescent="0.25"/>
  <cols>
    <col min="1" max="1" width="6.140625" style="1" bestFit="1" customWidth="1"/>
    <col min="2" max="2" width="17" style="1" bestFit="1" customWidth="1"/>
    <col min="3" max="3" width="15.42578125" style="1" customWidth="1"/>
    <col min="4" max="4" width="4.85546875" style="1" bestFit="1" customWidth="1"/>
    <col min="5" max="14" width="11.7109375" style="1" customWidth="1"/>
    <col min="15" max="15" width="9.140625" style="1"/>
    <col min="16" max="23" width="11.7109375" style="1" customWidth="1"/>
    <col min="24" max="24" width="11.7109375" style="1" hidden="1" customWidth="1"/>
    <col min="25" max="28" width="11.7109375" style="1" customWidth="1"/>
    <col min="29" max="16384" width="9.140625" style="1"/>
  </cols>
  <sheetData>
    <row r="2" spans="1:32" x14ac:dyDescent="0.25">
      <c r="B2" s="2" t="s">
        <v>0</v>
      </c>
      <c r="C2" s="1" t="s">
        <v>31</v>
      </c>
      <c r="E2" s="1" t="s">
        <v>32</v>
      </c>
      <c r="G2" s="1" t="s">
        <v>38</v>
      </c>
      <c r="P2" s="1" t="s">
        <v>37</v>
      </c>
      <c r="Q2" s="1" t="s">
        <v>32</v>
      </c>
      <c r="S2" s="1" t="s">
        <v>38</v>
      </c>
    </row>
    <row r="3" spans="1:32" x14ac:dyDescent="0.25">
      <c r="C3" s="41">
        <f ca="1">TODAY()</f>
        <v>44766</v>
      </c>
      <c r="E3" s="42" t="s">
        <v>34</v>
      </c>
      <c r="G3" s="42" t="s">
        <v>34</v>
      </c>
      <c r="P3" s="55" t="s">
        <v>34</v>
      </c>
      <c r="Q3" s="56" t="s">
        <v>34</v>
      </c>
      <c r="S3" s="42" t="s">
        <v>34</v>
      </c>
    </row>
    <row r="5" spans="1:32" x14ac:dyDescent="0.25">
      <c r="L5" s="61" t="s">
        <v>53</v>
      </c>
      <c r="N5" s="61" t="s">
        <v>40</v>
      </c>
      <c r="Z5" s="61" t="s">
        <v>53</v>
      </c>
      <c r="AB5" s="61" t="s">
        <v>40</v>
      </c>
    </row>
    <row r="6" spans="1:32" x14ac:dyDescent="0.25">
      <c r="B6" s="3" t="s">
        <v>1</v>
      </c>
      <c r="E6" s="4" t="s">
        <v>2</v>
      </c>
      <c r="K6" s="5"/>
      <c r="L6" s="68">
        <f ca="1">SUM(L8:L9)</f>
        <v>50000</v>
      </c>
      <c r="N6" s="68">
        <f ca="1">SUM(N8:N9)</f>
        <v>51600</v>
      </c>
      <c r="P6" s="4" t="s">
        <v>3</v>
      </c>
      <c r="Z6" s="68">
        <f ca="1">SUM(Z8:Z11)</f>
        <v>22870</v>
      </c>
      <c r="AA6" s="61"/>
      <c r="AB6" s="68">
        <f ca="1">SUM(AB8:AB11)</f>
        <v>23580.449999999997</v>
      </c>
    </row>
    <row r="7" spans="1:32" ht="18" x14ac:dyDescent="0.25">
      <c r="A7" s="48">
        <f ca="1">IF(C7="RECEIVER",1,-1)</f>
        <v>-1</v>
      </c>
      <c r="B7" s="6" t="s">
        <v>4</v>
      </c>
      <c r="C7" s="7" t="s">
        <v>39</v>
      </c>
      <c r="D7" s="8"/>
      <c r="E7" s="65" t="s">
        <v>7</v>
      </c>
      <c r="F7" s="66" t="s">
        <v>8</v>
      </c>
      <c r="G7" s="66" t="s">
        <v>9</v>
      </c>
      <c r="H7" s="66" t="s">
        <v>41</v>
      </c>
      <c r="I7" s="66" t="s">
        <v>10</v>
      </c>
      <c r="J7" s="66" t="s">
        <v>42</v>
      </c>
      <c r="K7" s="66" t="s">
        <v>44</v>
      </c>
      <c r="L7" s="66" t="s">
        <v>52</v>
      </c>
      <c r="M7" s="66" t="s">
        <v>45</v>
      </c>
      <c r="N7" s="67" t="s">
        <v>43</v>
      </c>
      <c r="O7" s="52"/>
      <c r="P7" s="65" t="s">
        <v>11</v>
      </c>
      <c r="Q7" s="66" t="s">
        <v>7</v>
      </c>
      <c r="R7" s="66" t="s">
        <v>8</v>
      </c>
      <c r="S7" s="66" t="s">
        <v>9</v>
      </c>
      <c r="T7" s="66" t="s">
        <v>46</v>
      </c>
      <c r="U7" s="66" t="s">
        <v>10</v>
      </c>
      <c r="V7" s="66" t="s">
        <v>47</v>
      </c>
      <c r="W7" s="66" t="s">
        <v>12</v>
      </c>
      <c r="X7" s="66" t="s">
        <v>48</v>
      </c>
      <c r="Y7" s="66" t="s">
        <v>49</v>
      </c>
      <c r="Z7" s="66" t="s">
        <v>52</v>
      </c>
      <c r="AA7" s="66" t="s">
        <v>50</v>
      </c>
      <c r="AB7" s="67" t="s">
        <v>51</v>
      </c>
      <c r="AC7" s="9"/>
    </row>
    <row r="8" spans="1:32" x14ac:dyDescent="0.25">
      <c r="A8" s="47"/>
      <c r="B8" s="10" t="s">
        <v>13</v>
      </c>
      <c r="C8" s="11" t="s">
        <v>14</v>
      </c>
      <c r="D8" s="8"/>
      <c r="E8" s="63">
        <f ca="1">$C$3+LEFT($E$3,LEN($E$3)-1)</f>
        <v>44768</v>
      </c>
      <c r="F8" s="13">
        <f ca="1">EDATE(E8,$A$11)</f>
        <v>45133</v>
      </c>
      <c r="G8" s="13">
        <f ca="1">F8+LEFT($G$3,LEN($G$3)-1)</f>
        <v>45135</v>
      </c>
      <c r="H8" s="14">
        <f ca="1">K8</f>
        <v>1</v>
      </c>
      <c r="I8" s="15">
        <f t="shared" ref="I8:I9" ca="1" si="0">$C$9</f>
        <v>5000000</v>
      </c>
      <c r="J8" s="16">
        <f t="shared" ref="J8:J9" ca="1" si="1">$C$10</f>
        <v>5.0000000000000001E-3</v>
      </c>
      <c r="K8" s="14">
        <f t="shared" ref="K8:K9" ca="1" si="2">$A$11/12</f>
        <v>1</v>
      </c>
      <c r="L8" s="14">
        <f t="shared" ref="L8:L9" ca="1" si="3">I8*J8*K8</f>
        <v>25000</v>
      </c>
      <c r="M8" s="54">
        <v>1.038</v>
      </c>
      <c r="N8" s="50">
        <f t="shared" ref="N8:N9" ca="1" si="4">L8*M8</f>
        <v>25950</v>
      </c>
      <c r="O8" s="52"/>
      <c r="P8" s="12">
        <f ca="1">Q8-LEFT($P$3,LEN($P$3)-1)</f>
        <v>44766</v>
      </c>
      <c r="Q8" s="64">
        <f ca="1">$C$3+LEFT($Q$3,LEN($E$3)-1)</f>
        <v>44768</v>
      </c>
      <c r="R8" s="13">
        <f ca="1">EDATE(Q8,$A$12)</f>
        <v>44952</v>
      </c>
      <c r="S8" s="13">
        <f ca="1">R8+LEFT($S$3,LEN($S$3)-1)</f>
        <v>44954</v>
      </c>
      <c r="T8" s="14">
        <f ca="1">Y8</f>
        <v>0.5</v>
      </c>
      <c r="U8" s="15">
        <f t="shared" ref="U8:U11" ca="1" si="5">$C$9</f>
        <v>5000000</v>
      </c>
      <c r="V8" s="16">
        <v>4.8700000000000002E-4</v>
      </c>
      <c r="W8" s="14">
        <v>0</v>
      </c>
      <c r="X8" s="16">
        <f t="shared" ref="X8:X11" ca="1" si="6">V8+W8</f>
        <v>4.8700000000000002E-4</v>
      </c>
      <c r="Y8" s="14">
        <f t="shared" ref="Y8:Y11" ca="1" si="7">$A$12/12</f>
        <v>0.5</v>
      </c>
      <c r="Z8" s="14">
        <f ca="1">U8*X8*Y8</f>
        <v>1217.5</v>
      </c>
      <c r="AA8" s="54">
        <v>1.044</v>
      </c>
      <c r="AB8" s="50">
        <f ca="1">U8*X8*Y8*AA8</f>
        <v>1271.07</v>
      </c>
      <c r="AC8" s="9"/>
      <c r="AF8" s="17"/>
    </row>
    <row r="9" spans="1:32" x14ac:dyDescent="0.25">
      <c r="A9" s="47"/>
      <c r="B9" s="10" t="s">
        <v>15</v>
      </c>
      <c r="C9" s="18">
        <v>5000000</v>
      </c>
      <c r="D9" s="8"/>
      <c r="E9" s="33">
        <f ca="1">F8</f>
        <v>45133</v>
      </c>
      <c r="F9" s="34">
        <f ca="1">EDATE(E9,$A$11)</f>
        <v>45499</v>
      </c>
      <c r="G9" s="34">
        <f t="shared" ref="G9" ca="1" si="8">F9+LEFT($G$3,LEN($G$3)-1)</f>
        <v>45501</v>
      </c>
      <c r="H9" s="35">
        <f ca="1">H8+K9</f>
        <v>2</v>
      </c>
      <c r="I9" s="36">
        <f t="shared" ca="1" si="0"/>
        <v>5000000</v>
      </c>
      <c r="J9" s="37">
        <f t="shared" ca="1" si="1"/>
        <v>5.0000000000000001E-3</v>
      </c>
      <c r="K9" s="35">
        <f t="shared" ca="1" si="2"/>
        <v>1</v>
      </c>
      <c r="L9" s="35">
        <f t="shared" ca="1" si="3"/>
        <v>25000</v>
      </c>
      <c r="M9" s="62">
        <v>1.026</v>
      </c>
      <c r="N9" s="31">
        <f t="shared" ca="1" si="4"/>
        <v>25650</v>
      </c>
      <c r="O9" s="52"/>
      <c r="P9" s="19">
        <f ca="1">Q9-LEFT($P$3,LEN($P$3)-1)</f>
        <v>44950</v>
      </c>
      <c r="Q9" s="46">
        <f ca="1">R8</f>
        <v>44952</v>
      </c>
      <c r="R9" s="46">
        <f t="shared" ref="R9:R11" ca="1" si="9">EDATE(Q9,$A$12)</f>
        <v>45133</v>
      </c>
      <c r="S9" s="46">
        <f t="shared" ref="S9:S11" ca="1" si="10">R9+LEFT($S$3,LEN($S$3)-1)</f>
        <v>45135</v>
      </c>
      <c r="T9" s="53">
        <f t="shared" ref="T9:T11" ca="1" si="11">T8+Y9</f>
        <v>1</v>
      </c>
      <c r="U9" s="43">
        <f t="shared" ca="1" si="5"/>
        <v>5000000</v>
      </c>
      <c r="V9" s="44">
        <v>1.6869999999999999E-3</v>
      </c>
      <c r="W9" s="53">
        <v>0</v>
      </c>
      <c r="X9" s="44">
        <f t="shared" ca="1" si="6"/>
        <v>1.6869999999999999E-3</v>
      </c>
      <c r="Y9" s="53">
        <f t="shared" ca="1" si="7"/>
        <v>0.5</v>
      </c>
      <c r="Z9" s="53">
        <f ca="1">U9*X9*Y9</f>
        <v>4217.5</v>
      </c>
      <c r="AA9" s="45">
        <v>1.038</v>
      </c>
      <c r="AB9" s="40">
        <f ca="1">U9*X9*Y9*AA9</f>
        <v>4377.7650000000003</v>
      </c>
      <c r="AC9" s="9"/>
      <c r="AF9" s="17"/>
    </row>
    <row r="10" spans="1:32" ht="17.25" x14ac:dyDescent="0.25">
      <c r="A10" s="47"/>
      <c r="B10" s="10" t="s">
        <v>16</v>
      </c>
      <c r="C10" s="60">
        <v>5.0000000000000001E-3</v>
      </c>
      <c r="D10" s="8"/>
      <c r="O10" s="52"/>
      <c r="P10" s="19">
        <f t="shared" ref="P10:P11" ca="1" si="12">Q10-LEFT($P$3,LEN($P$3)-1)</f>
        <v>45131</v>
      </c>
      <c r="Q10" s="46">
        <f ca="1">R9</f>
        <v>45133</v>
      </c>
      <c r="R10" s="46">
        <f t="shared" ca="1" si="9"/>
        <v>45317</v>
      </c>
      <c r="S10" s="46">
        <f t="shared" ca="1" si="10"/>
        <v>45319</v>
      </c>
      <c r="T10" s="53">
        <f t="shared" ca="1" si="11"/>
        <v>1.5</v>
      </c>
      <c r="U10" s="43">
        <f t="shared" ca="1" si="5"/>
        <v>5000000</v>
      </c>
      <c r="V10" s="44">
        <v>2.8869999999999998E-3</v>
      </c>
      <c r="W10" s="53">
        <v>0</v>
      </c>
      <c r="X10" s="44">
        <f t="shared" ca="1" si="6"/>
        <v>2.8869999999999998E-3</v>
      </c>
      <c r="Y10" s="53">
        <f t="shared" ca="1" si="7"/>
        <v>0.5</v>
      </c>
      <c r="Z10" s="53">
        <f ca="1">U10*X10*Y10</f>
        <v>7217.4999999999991</v>
      </c>
      <c r="AA10" s="45">
        <v>1.032</v>
      </c>
      <c r="AB10" s="40">
        <f ca="1">U10*X10*Y10*AA10</f>
        <v>7448.4599999999991</v>
      </c>
      <c r="AC10" s="9"/>
      <c r="AF10" s="17"/>
    </row>
    <row r="11" spans="1:32" x14ac:dyDescent="0.25">
      <c r="A11" s="49">
        <f ca="1">IF(C11="ANNUAL",12,IF(C11="SEMI-ANNUAL",6,IF(C11="QUARTERLY",3,IF(C11="MONTHLY",1,0))))</f>
        <v>12</v>
      </c>
      <c r="B11" s="10" t="s">
        <v>17</v>
      </c>
      <c r="C11" s="24" t="s">
        <v>33</v>
      </c>
      <c r="D11" s="8"/>
      <c r="O11" s="52"/>
      <c r="P11" s="33">
        <f t="shared" ca="1" si="12"/>
        <v>45315</v>
      </c>
      <c r="Q11" s="34">
        <f ca="1">R10</f>
        <v>45317</v>
      </c>
      <c r="R11" s="34">
        <f t="shared" ca="1" si="9"/>
        <v>45499</v>
      </c>
      <c r="S11" s="34">
        <f t="shared" ca="1" si="10"/>
        <v>45501</v>
      </c>
      <c r="T11" s="35">
        <f t="shared" ca="1" si="11"/>
        <v>2</v>
      </c>
      <c r="U11" s="36">
        <f t="shared" ca="1" si="5"/>
        <v>5000000</v>
      </c>
      <c r="V11" s="37">
        <v>4.0870000000000004E-3</v>
      </c>
      <c r="W11" s="35">
        <v>0</v>
      </c>
      <c r="X11" s="37">
        <f t="shared" ca="1" si="6"/>
        <v>4.0870000000000004E-3</v>
      </c>
      <c r="Y11" s="35">
        <f t="shared" ca="1" si="7"/>
        <v>0.5</v>
      </c>
      <c r="Z11" s="35">
        <f ca="1">U11*X11*Y11</f>
        <v>10217.5</v>
      </c>
      <c r="AA11" s="62">
        <v>1.026</v>
      </c>
      <c r="AB11" s="31">
        <f ca="1">U11*X11*Y11*AA11</f>
        <v>10483.155000000001</v>
      </c>
      <c r="AC11" s="9"/>
      <c r="AF11" s="17"/>
    </row>
    <row r="12" spans="1:32" x14ac:dyDescent="0.25">
      <c r="A12" s="49">
        <f ca="1">IF(C12="ANNUAL",12,IF(C12="SEMI-ANNUAL",6,IF(C12="QUARTERLY",3,IF(C12="MONTHLY",1,0))))</f>
        <v>6</v>
      </c>
      <c r="B12" s="10" t="s">
        <v>18</v>
      </c>
      <c r="C12" s="24" t="s">
        <v>35</v>
      </c>
      <c r="D12" s="8"/>
      <c r="AF12" s="17"/>
    </row>
    <row r="13" spans="1:32" x14ac:dyDescent="0.25">
      <c r="A13" s="47"/>
      <c r="B13" s="10" t="s">
        <v>19</v>
      </c>
      <c r="C13" s="25">
        <v>0</v>
      </c>
      <c r="D13" s="8"/>
      <c r="AF13" s="17"/>
    </row>
    <row r="14" spans="1:32" x14ac:dyDescent="0.25">
      <c r="A14" s="47"/>
      <c r="B14" s="26" t="s">
        <v>20</v>
      </c>
      <c r="C14" s="27">
        <v>2</v>
      </c>
      <c r="D14" s="8"/>
    </row>
    <row r="15" spans="1:32" x14ac:dyDescent="0.25">
      <c r="D15" s="8"/>
    </row>
    <row r="16" spans="1:32" x14ac:dyDescent="0.25">
      <c r="D16" s="8"/>
    </row>
    <row r="17" spans="2:4" x14ac:dyDescent="0.25">
      <c r="B17" s="4" t="s">
        <v>21</v>
      </c>
      <c r="D17" s="8"/>
    </row>
    <row r="18" spans="2:4" x14ac:dyDescent="0.25">
      <c r="B18" s="28" t="s">
        <v>22</v>
      </c>
      <c r="C18" s="57">
        <f ca="1">$A$7*(C19-C20)</f>
        <v>-28019.550000000003</v>
      </c>
      <c r="D18" s="8"/>
    </row>
    <row r="19" spans="2:4" x14ac:dyDescent="0.25">
      <c r="B19" s="29" t="s">
        <v>23</v>
      </c>
      <c r="C19" s="58">
        <f ca="1">SUM(N8:N9)</f>
        <v>51600</v>
      </c>
      <c r="D19" s="8"/>
    </row>
    <row r="20" spans="2:4" x14ac:dyDescent="0.25">
      <c r="B20" s="29" t="s">
        <v>24</v>
      </c>
      <c r="C20" s="58">
        <f ca="1">SUM(AB8:AB11)</f>
        <v>23580.449999999997</v>
      </c>
      <c r="D20" s="8"/>
    </row>
    <row r="21" spans="2:4" x14ac:dyDescent="0.25">
      <c r="B21" s="30" t="s">
        <v>25</v>
      </c>
      <c r="C21" s="59">
        <f ca="1">C20/C26</f>
        <v>2.2849273255813951E-3</v>
      </c>
      <c r="D21" s="8"/>
    </row>
    <row r="22" spans="2:4" x14ac:dyDescent="0.25">
      <c r="D22" s="8"/>
    </row>
    <row r="23" spans="2:4" x14ac:dyDescent="0.25">
      <c r="B23" s="4" t="s">
        <v>26</v>
      </c>
      <c r="D23" s="8"/>
    </row>
    <row r="24" spans="2:4" ht="17.25" x14ac:dyDescent="0.25">
      <c r="B24" s="6" t="s">
        <v>27</v>
      </c>
      <c r="C24" s="51">
        <f ca="1">SUMPRODUCT(K8:K9,M8:M9)</f>
        <v>2.0640000000000001</v>
      </c>
      <c r="D24" s="8"/>
    </row>
    <row r="25" spans="2:4" ht="17.25" x14ac:dyDescent="0.25">
      <c r="B25" s="10" t="s">
        <v>28</v>
      </c>
      <c r="C25" s="38">
        <f ca="1">SUMPRODUCT(Y8:Y11,AA8:AA11)</f>
        <v>2.0699999999999998</v>
      </c>
      <c r="D25" s="8"/>
    </row>
    <row r="26" spans="2:4" ht="18" x14ac:dyDescent="0.25">
      <c r="B26" s="10" t="s">
        <v>29</v>
      </c>
      <c r="C26" s="32">
        <f ca="1">SUMPRODUCT(K8:K9,M8:M9,I8:I9)</f>
        <v>10320000</v>
      </c>
      <c r="D26" s="8"/>
    </row>
    <row r="27" spans="2:4" ht="18" x14ac:dyDescent="0.25">
      <c r="B27" s="26" t="s">
        <v>30</v>
      </c>
      <c r="C27" s="39">
        <f ca="1">SUMPRODUCT(Y8:Y11,AA8:AA11,U8:U11)</f>
        <v>10350000</v>
      </c>
      <c r="D27" s="8"/>
    </row>
  </sheetData>
  <dataValidations count="4">
    <dataValidation type="decimal" allowBlank="1" showInputMessage="1" showErrorMessage="1" sqref="C14" xr:uid="{52100E33-23C0-45FA-9E85-B5E88982BB13}">
      <formula1>0</formula1>
      <formula2>20</formula2>
    </dataValidation>
    <dataValidation type="list" allowBlank="1" showInputMessage="1" showErrorMessage="1" sqref="C7" xr:uid="{4A6E9383-522C-49EE-887E-2F8DCDA7B987}">
      <formula1>"PAYER,RECEIVER"</formula1>
    </dataValidation>
    <dataValidation type="list" allowBlank="1" showInputMessage="1" showErrorMessage="1" sqref="C8" xr:uid="{04B700AE-8B9C-4B02-8511-1961CF112955}">
      <formula1>"EUR,USD,GBP,JPY"</formula1>
    </dataValidation>
    <dataValidation type="list" allowBlank="1" showInputMessage="1" showErrorMessage="1" sqref="C11:C12" xr:uid="{3FCD985C-FDAF-4AB6-A78D-56B2857CD61B}">
      <formula1>"ANNUAL,SEMI-ANNUAL,QUARTERLY,MONTHLY"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USD Swap Case Study</vt:lpstr>
      <vt:lpstr>EUR Swap Case Study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2022-07-24T14:33:53Z</dcterms:created>
  <dcterms:modified xsi:type="dcterms:W3CDTF">2022-07-24T16:36:37Z</dcterms:modified>
</cp:coreProperties>
</file>