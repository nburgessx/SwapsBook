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.SWAPS_BOOK\04 Yield Curves\06 Advanced Curve Features\"/>
    </mc:Choice>
  </mc:AlternateContent>
  <xr:revisionPtr revIDLastSave="0" documentId="13_ncr:1_{EE1CBC07-DBED-4AEC-8AA2-72FDF9DB304D}" xr6:coauthVersionLast="47" xr6:coauthVersionMax="47" xr10:uidLastSave="{00000000-0000-0000-0000-000000000000}"/>
  <bookViews>
    <workbookView xWindow="-120" yWindow="-120" windowWidth="51840" windowHeight="21120" activeTab="4" xr2:uid="{00000000-000D-0000-FFFF-FFFF00000000}"/>
  </bookViews>
  <sheets>
    <sheet name="Settings" sheetId="9" r:id="rId1"/>
    <sheet name="USD Curve" sheetId="7" r:id="rId2"/>
    <sheet name="Swaps" sheetId="12" r:id="rId3"/>
    <sheet name="PV01 Risk" sheetId="13" r:id="rId4"/>
    <sheet name="DV01 Risk" sheetId="14" r:id="rId5"/>
    <sheet name="Jacobian Transforms" sheetId="16" r:id="rId6"/>
    <sheet name="Jacobian" sheetId="1" state="hidden" r:id="rId7"/>
  </sheets>
  <functionGroups builtInGroupCount="19"/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Currency">Swaps!$C$6</definedName>
    <definedName name="CurveResults.DF.Bumped">'USD Curve'!$BI$23:$BI$33</definedName>
    <definedName name="CurveResults.DFs">'USD Curve'!$BF$23:$BF$33</definedName>
    <definedName name="CurveResults.Time">'USD Curve'!$AS$23:$AS$33</definedName>
    <definedName name="CurveResults.USD3ML">'USD Curve'!$AY$23:$AY$33</definedName>
    <definedName name="CurveResults.USDOIS">'USD Curve'!$AT$23:$AT$33</definedName>
    <definedName name="DiscountCurve">Swaps!$C$30</definedName>
    <definedName name="DurationFixed">Swaps!$C$65</definedName>
    <definedName name="DurationFloat">Swaps!$C$66</definedName>
    <definedName name="Epsilon">'USD Curve'!$Z$4</definedName>
    <definedName name="EUR.Fixed.Period">Settings!#REF!</definedName>
    <definedName name="EUR.Float.Period">Settings!#REF!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Settings!#REF!</definedName>
    <definedName name="GBP.Float.Period">Settings!#REF!</definedName>
    <definedName name="InterationResults">'USD Curve'!$O$23:$Y$32</definedName>
    <definedName name="InterationResults1">'USD Curve'!$O$23:$O$32</definedName>
    <definedName name="IterationCount">'USD Curve'!$S$6</definedName>
    <definedName name="JPY.Fixed.Period">Settings!#REF!</definedName>
    <definedName name="JPY.Float.Period">Settings!#REF!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ShowIterations">'USD Curve'!$AB$20</definedName>
    <definedName name="T">Swaps!$C$12</definedName>
    <definedName name="t_i">Swaps!$C$43</definedName>
    <definedName name="t_j">Swaps!$C$48</definedName>
    <definedName name="Tolerance">'USD Curve'!$X$4</definedName>
    <definedName name="USD.Fixed.Period">Settings!$D$8</definedName>
    <definedName name="USD.Float.Period">Settings!$D$10</definedName>
    <definedName name="X0">'USD Curve'!$X$8:$X$17</definedName>
    <definedName name="Xn">'USD Curve'!$W$8:$W$17</definedName>
    <definedName name="XnPlus1">'USD Curve'!$V$8:$V$17</definedName>
  </definedNames>
  <calcPr calcId="19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14" l="1" a="1"/>
  <c r="P23" i="14"/>
  <c r="E28" i="16"/>
  <c r="D28" i="16"/>
  <c r="F28" i="16"/>
  <c r="Z15" i="16"/>
  <c r="Z14" i="16"/>
  <c r="Z13" i="16"/>
  <c r="Z12" i="16"/>
  <c r="Z11" i="16"/>
  <c r="K46" i="14"/>
  <c r="L46" i="14"/>
  <c r="Q8" i="14"/>
  <c r="Q9" i="14"/>
  <c r="Q10" i="14"/>
  <c r="Q11" i="14"/>
  <c r="Q12" i="14"/>
  <c r="Q17" i="14"/>
  <c r="Q16" i="14"/>
  <c r="Q15" i="14"/>
  <c r="Q14" i="14"/>
  <c r="Q13" i="14"/>
  <c r="I18" i="16"/>
  <c r="I19" i="16"/>
  <c r="H18" i="16"/>
  <c r="H19" i="16"/>
  <c r="I14" i="16"/>
  <c r="I15" i="16"/>
  <c r="I16" i="16"/>
  <c r="I17" i="16"/>
  <c r="H14" i="16"/>
  <c r="H15" i="16"/>
  <c r="H16" i="16"/>
  <c r="H17" i="16"/>
  <c r="E19" i="16"/>
  <c r="E18" i="16"/>
  <c r="D18" i="16"/>
  <c r="D19" i="16"/>
  <c r="E14" i="16"/>
  <c r="E15" i="16"/>
  <c r="E16" i="16"/>
  <c r="E17" i="16"/>
  <c r="D14" i="16"/>
  <c r="D15" i="16"/>
  <c r="D16" i="16"/>
  <c r="D17" i="16"/>
  <c r="I12" i="16"/>
  <c r="I13" i="16"/>
  <c r="H12" i="16"/>
  <c r="H13" i="16"/>
  <c r="E13" i="16"/>
  <c r="E12" i="16"/>
  <c r="D12" i="16"/>
  <c r="D13" i="16"/>
  <c r="I28" i="16"/>
  <c r="I29" i="16"/>
  <c r="I33" i="16"/>
  <c r="H28" i="16"/>
  <c r="H33" i="16"/>
  <c r="J28" i="16"/>
  <c r="J29" i="16"/>
  <c r="J30" i="16"/>
  <c r="J31" i="16"/>
  <c r="G33" i="16"/>
  <c r="Z19" i="16"/>
  <c r="Z18" i="16"/>
  <c r="Z17" i="16"/>
  <c r="Z16" i="16"/>
  <c r="O12" i="16" a="1"/>
  <c r="O12" i="16"/>
  <c r="K6" i="13"/>
  <c r="K9" i="13"/>
  <c r="K10" i="13"/>
  <c r="K8" i="13"/>
  <c r="K7" i="13"/>
  <c r="C38" i="12"/>
  <c r="C47" i="12"/>
  <c r="C10" i="12"/>
  <c r="C35" i="12"/>
  <c r="K16" i="1"/>
  <c r="S16" i="1" a="1"/>
  <c r="AG47" i="7"/>
  <c r="AK47" i="7"/>
  <c r="AG48" i="7"/>
  <c r="AK48" i="7"/>
  <c r="AL48" i="7"/>
  <c r="AM48" i="7"/>
  <c r="AN48" i="7"/>
  <c r="AG49" i="7"/>
  <c r="AK49" i="7"/>
  <c r="AG50" i="7"/>
  <c r="AK50" i="7"/>
  <c r="AL50" i="7"/>
  <c r="AM50" i="7"/>
  <c r="AN50" i="7"/>
  <c r="AL49" i="7"/>
  <c r="AM49" i="7"/>
  <c r="AN49" i="7"/>
  <c r="AG51" i="7"/>
  <c r="AK51" i="7"/>
  <c r="AL51" i="7"/>
  <c r="AM51" i="7"/>
  <c r="AN51" i="7"/>
  <c r="AH47" i="7"/>
  <c r="AH48" i="7"/>
  <c r="AH49" i="7"/>
  <c r="AH50" i="7"/>
  <c r="AH51" i="7"/>
  <c r="BD23" i="7"/>
  <c r="BI23" i="7"/>
  <c r="BD24" i="7"/>
  <c r="AS25" i="7"/>
  <c r="BD25" i="7"/>
  <c r="AS26" i="7"/>
  <c r="BD26" i="7"/>
  <c r="AG55" i="7"/>
  <c r="AK55" i="7"/>
  <c r="AG56" i="7"/>
  <c r="AK56" i="7"/>
  <c r="AL56" i="7"/>
  <c r="AM56" i="7"/>
  <c r="AN56" i="7"/>
  <c r="AG57" i="7"/>
  <c r="AK57" i="7"/>
  <c r="AL57" i="7"/>
  <c r="AM57" i="7"/>
  <c r="AN57" i="7"/>
  <c r="AG58" i="7"/>
  <c r="AK58" i="7"/>
  <c r="AL58" i="7"/>
  <c r="AM58" i="7"/>
  <c r="AN58" i="7"/>
  <c r="AG59" i="7"/>
  <c r="AK59" i="7"/>
  <c r="AL59" i="7"/>
  <c r="AM59" i="7"/>
  <c r="AN59" i="7"/>
  <c r="AH55" i="7"/>
  <c r="AH56" i="7"/>
  <c r="AH57" i="7"/>
  <c r="AH58" i="7"/>
  <c r="AH59" i="7"/>
  <c r="AX25" i="7"/>
  <c r="AX26" i="7"/>
  <c r="AX27" i="7"/>
  <c r="AX28" i="7"/>
  <c r="AX29" i="7"/>
  <c r="AX30" i="7"/>
  <c r="AX31" i="7"/>
  <c r="AX32" i="7"/>
  <c r="AX33" i="7"/>
  <c r="C3" i="9"/>
  <c r="C29" i="12"/>
  <c r="C30" i="12"/>
  <c r="C74" i="12"/>
  <c r="C24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F17" i="1"/>
  <c r="G21" i="1"/>
  <c r="S28" i="1"/>
  <c r="S29" i="1"/>
  <c r="S30" i="1"/>
  <c r="S31" i="1"/>
  <c r="K17" i="1"/>
  <c r="L17" i="1"/>
  <c r="K27" i="1" a="1"/>
  <c r="K18" i="1"/>
  <c r="L18" i="1"/>
  <c r="M18" i="1"/>
  <c r="K19" i="1"/>
  <c r="L19" i="1"/>
  <c r="M19" i="1"/>
  <c r="N19" i="1"/>
  <c r="K20" i="1"/>
  <c r="L20" i="1"/>
  <c r="M20" i="1"/>
  <c r="N20" i="1"/>
  <c r="O20" i="1"/>
  <c r="F18" i="1"/>
  <c r="F19" i="1"/>
  <c r="F20" i="1"/>
  <c r="F21" i="1"/>
  <c r="T20" i="1"/>
  <c r="T19" i="1"/>
  <c r="T18" i="1"/>
  <c r="T17" i="1"/>
  <c r="T16" i="1"/>
  <c r="C41" i="12"/>
  <c r="C46" i="12"/>
  <c r="C48" i="12"/>
  <c r="AF6" i="12"/>
  <c r="C42" i="12"/>
  <c r="C9" i="12"/>
  <c r="AS27" i="7"/>
  <c r="AL55" i="7"/>
  <c r="AM55" i="7"/>
  <c r="AN55" i="7"/>
  <c r="AL47" i="7"/>
  <c r="AM47" i="7"/>
  <c r="AN47" i="7"/>
  <c r="S18" i="1"/>
  <c r="U18" i="1"/>
  <c r="S16" i="1"/>
  <c r="U16" i="1"/>
  <c r="S20" i="1"/>
  <c r="U20" i="1"/>
  <c r="S17" i="1"/>
  <c r="U17" i="1"/>
  <c r="S19" i="1"/>
  <c r="U19" i="1"/>
  <c r="L29" i="1"/>
  <c r="M29" i="1"/>
  <c r="M30" i="1"/>
  <c r="N30" i="1"/>
  <c r="N29" i="1"/>
  <c r="O29" i="1"/>
  <c r="K30" i="1"/>
  <c r="K27" i="1"/>
  <c r="K31" i="1"/>
  <c r="L27" i="1"/>
  <c r="L31" i="1"/>
  <c r="M27" i="1"/>
  <c r="M31" i="1"/>
  <c r="N28" i="1"/>
  <c r="L30" i="1"/>
  <c r="N27" i="1"/>
  <c r="N31" i="1"/>
  <c r="K28" i="1"/>
  <c r="L28" i="1"/>
  <c r="O28" i="1"/>
  <c r="O30" i="1"/>
  <c r="O27" i="1"/>
  <c r="O31" i="1"/>
  <c r="M28" i="1"/>
  <c r="K29" i="1"/>
  <c r="G19" i="1"/>
  <c r="G20" i="1"/>
  <c r="G18" i="1"/>
  <c r="G17" i="1"/>
  <c r="C43" i="12"/>
  <c r="AE6" i="12"/>
  <c r="U6" i="12"/>
  <c r="BD27" i="7"/>
  <c r="AS28" i="7"/>
  <c r="E17" i="1" a="1"/>
  <c r="AP55" i="7" a="1"/>
  <c r="Q6" i="12"/>
  <c r="W6" i="12"/>
  <c r="T6" i="12"/>
  <c r="Y6" i="12"/>
  <c r="AS29" i="7"/>
  <c r="BD28" i="7"/>
  <c r="AP55" i="7"/>
  <c r="AP58" i="7"/>
  <c r="AT58" i="7"/>
  <c r="AP56" i="7"/>
  <c r="AT56" i="7"/>
  <c r="AP59" i="7"/>
  <c r="AT59" i="7"/>
  <c r="AP57" i="7"/>
  <c r="AT57" i="7"/>
  <c r="E21" i="1"/>
  <c r="E18" i="1"/>
  <c r="E17" i="1"/>
  <c r="E19" i="1"/>
  <c r="E20" i="1"/>
  <c r="J6" i="12"/>
  <c r="K6" i="12"/>
  <c r="H6" i="12"/>
  <c r="E6" i="12"/>
  <c r="I6" i="12"/>
  <c r="AF7" i="12"/>
  <c r="AE7" i="12"/>
  <c r="P6" i="12"/>
  <c r="R6" i="12"/>
  <c r="S6" i="12"/>
  <c r="AS30" i="7"/>
  <c r="BD29" i="7"/>
  <c r="AT55" i="7"/>
  <c r="AY32" i="7"/>
  <c r="AY26" i="7"/>
  <c r="AY30" i="7"/>
  <c r="AY27" i="7"/>
  <c r="AY31" i="7"/>
  <c r="AY29" i="7"/>
  <c r="AY28" i="7"/>
  <c r="AY25" i="7"/>
  <c r="AY23" i="7"/>
  <c r="AY33" i="7"/>
  <c r="AY24" i="7"/>
  <c r="H20" i="1"/>
  <c r="F25" i="1"/>
  <c r="H19" i="1"/>
  <c r="F24" i="1"/>
  <c r="H17" i="1"/>
  <c r="F22" i="1"/>
  <c r="H18" i="1"/>
  <c r="F23" i="1"/>
  <c r="F26" i="1"/>
  <c r="H21" i="1"/>
  <c r="F6" i="12"/>
  <c r="G6" i="12"/>
  <c r="W7" i="12"/>
  <c r="T7" i="12"/>
  <c r="Y7" i="12"/>
  <c r="U7" i="12"/>
  <c r="Q7" i="12"/>
  <c r="BD30" i="7"/>
  <c r="AS31" i="7"/>
  <c r="G23" i="1"/>
  <c r="G25" i="1"/>
  <c r="G22" i="1"/>
  <c r="G24" i="1"/>
  <c r="G26" i="1"/>
  <c r="E22" i="1" a="1"/>
  <c r="K7" i="12"/>
  <c r="J7" i="12"/>
  <c r="H7" i="12"/>
  <c r="E7" i="12"/>
  <c r="F7" i="12"/>
  <c r="G7" i="12"/>
  <c r="I7" i="12"/>
  <c r="AF8" i="12"/>
  <c r="AE8" i="12"/>
  <c r="R7" i="12"/>
  <c r="S7" i="12"/>
  <c r="P7" i="12"/>
  <c r="AS32" i="7"/>
  <c r="BD31" i="7"/>
  <c r="E24" i="1"/>
  <c r="E26" i="1"/>
  <c r="E25" i="1"/>
  <c r="E22" i="1"/>
  <c r="E23" i="1"/>
  <c r="U8" i="12"/>
  <c r="Y8" i="12"/>
  <c r="W8" i="12"/>
  <c r="T8" i="12"/>
  <c r="Q8" i="12"/>
  <c r="AS33" i="7"/>
  <c r="BD32" i="7"/>
  <c r="H23" i="1"/>
  <c r="F28" i="1"/>
  <c r="F31" i="1"/>
  <c r="H26" i="1"/>
  <c r="F27" i="1"/>
  <c r="H22" i="1"/>
  <c r="H25" i="1"/>
  <c r="F30" i="1"/>
  <c r="H24" i="1"/>
  <c r="F29" i="1"/>
  <c r="H8" i="12"/>
  <c r="J8" i="12"/>
  <c r="K8" i="12"/>
  <c r="E8" i="12"/>
  <c r="I8" i="12"/>
  <c r="V8" i="12"/>
  <c r="V7" i="12"/>
  <c r="V6" i="12"/>
  <c r="AF9" i="12"/>
  <c r="AE9" i="12"/>
  <c r="P8" i="12"/>
  <c r="R8" i="12"/>
  <c r="S8" i="12"/>
  <c r="X6" i="12"/>
  <c r="X7" i="12"/>
  <c r="X8" i="12"/>
  <c r="BD33" i="7"/>
  <c r="G27" i="1"/>
  <c r="E27" i="1" a="1"/>
  <c r="G28" i="1"/>
  <c r="G31" i="1"/>
  <c r="G29" i="1"/>
  <c r="G30" i="1"/>
  <c r="F8" i="12"/>
  <c r="G8" i="12"/>
  <c r="T9" i="12"/>
  <c r="U9" i="12"/>
  <c r="W9" i="12"/>
  <c r="Y9" i="12"/>
  <c r="Q9" i="12"/>
  <c r="P9" i="12"/>
  <c r="E29" i="1"/>
  <c r="E27" i="1"/>
  <c r="E30" i="1"/>
  <c r="E31" i="1"/>
  <c r="E28" i="1"/>
  <c r="J9" i="12"/>
  <c r="H9" i="12"/>
  <c r="K9" i="12"/>
  <c r="E9" i="12"/>
  <c r="I9" i="12"/>
  <c r="V9" i="12"/>
  <c r="R9" i="12"/>
  <c r="S9" i="12"/>
  <c r="AE10" i="12"/>
  <c r="AF10" i="12"/>
  <c r="X9" i="12"/>
  <c r="R30" i="1"/>
  <c r="F35" i="1"/>
  <c r="H30" i="1"/>
  <c r="R27" i="1"/>
  <c r="H27" i="1"/>
  <c r="F32" i="1"/>
  <c r="F33" i="1"/>
  <c r="H28" i="1"/>
  <c r="R28" i="1"/>
  <c r="H31" i="1"/>
  <c r="R31" i="1"/>
  <c r="F36" i="1"/>
  <c r="F9" i="12"/>
  <c r="G9" i="12"/>
  <c r="F34" i="1"/>
  <c r="H29" i="1"/>
  <c r="R29" i="1"/>
  <c r="Y10" i="12"/>
  <c r="T10" i="12"/>
  <c r="W10" i="12"/>
  <c r="U10" i="12"/>
  <c r="Q10" i="12"/>
  <c r="T27" i="1" a="1"/>
  <c r="G32" i="1"/>
  <c r="G34" i="1"/>
  <c r="G35" i="1"/>
  <c r="G36" i="1"/>
  <c r="G33" i="1"/>
  <c r="E32" i="1" a="1"/>
  <c r="J10" i="12"/>
  <c r="K10" i="12"/>
  <c r="H10" i="12"/>
  <c r="E10" i="12"/>
  <c r="F10" i="12"/>
  <c r="G10" i="12"/>
  <c r="I10" i="12"/>
  <c r="V10" i="12"/>
  <c r="AF11" i="12"/>
  <c r="AE11" i="12"/>
  <c r="X10" i="12"/>
  <c r="S11" i="12"/>
  <c r="P11" i="12"/>
  <c r="W11" i="12"/>
  <c r="AA11" i="12"/>
  <c r="U11" i="12"/>
  <c r="T11" i="12"/>
  <c r="R11" i="12"/>
  <c r="X11" i="12"/>
  <c r="Z11" i="12"/>
  <c r="Q11" i="12"/>
  <c r="V11" i="12"/>
  <c r="Y11" i="12"/>
  <c r="AF12" i="12"/>
  <c r="P10" i="12"/>
  <c r="R10" i="12"/>
  <c r="S10" i="12"/>
  <c r="E35" i="1"/>
  <c r="E36" i="1"/>
  <c r="E32" i="1"/>
  <c r="E33" i="1"/>
  <c r="E34" i="1"/>
  <c r="T27" i="1"/>
  <c r="U27" i="1"/>
  <c r="T31" i="1"/>
  <c r="U31" i="1"/>
  <c r="T29" i="1"/>
  <c r="U29" i="1"/>
  <c r="T30" i="1"/>
  <c r="U30" i="1"/>
  <c r="T28" i="1"/>
  <c r="U28" i="1"/>
  <c r="AA12" i="12"/>
  <c r="P12" i="12"/>
  <c r="Q12" i="12"/>
  <c r="U12" i="12"/>
  <c r="S12" i="12"/>
  <c r="Y12" i="12"/>
  <c r="AF13" i="12"/>
  <c r="T12" i="12"/>
  <c r="Z12" i="12"/>
  <c r="R12" i="12"/>
  <c r="X12" i="12"/>
  <c r="V12" i="12"/>
  <c r="W12" i="12"/>
  <c r="H34" i="1"/>
  <c r="F39" i="1"/>
  <c r="F38" i="1"/>
  <c r="H33" i="1"/>
  <c r="F37" i="1"/>
  <c r="H32" i="1"/>
  <c r="H36" i="1"/>
  <c r="F41" i="1"/>
  <c r="H35" i="1"/>
  <c r="F40" i="1"/>
  <c r="J11" i="12"/>
  <c r="L11" i="12"/>
  <c r="K11" i="12"/>
  <c r="AE12" i="12"/>
  <c r="M11" i="12"/>
  <c r="I11" i="12"/>
  <c r="H11" i="12"/>
  <c r="E11" i="12"/>
  <c r="F11" i="12"/>
  <c r="G11" i="12"/>
  <c r="R13" i="12"/>
  <c r="Z13" i="12"/>
  <c r="P13" i="12"/>
  <c r="U13" i="12"/>
  <c r="AA13" i="12"/>
  <c r="Q13" i="12"/>
  <c r="W13" i="12"/>
  <c r="X13" i="12"/>
  <c r="S13" i="12"/>
  <c r="Y13" i="12"/>
  <c r="AF14" i="12"/>
  <c r="T13" i="12"/>
  <c r="V13" i="12"/>
  <c r="G39" i="1"/>
  <c r="G38" i="1"/>
  <c r="G40" i="1"/>
  <c r="G37" i="1"/>
  <c r="E37" i="1" a="1"/>
  <c r="G41" i="1"/>
  <c r="J12" i="12"/>
  <c r="M12" i="12"/>
  <c r="K12" i="12"/>
  <c r="AE13" i="12"/>
  <c r="I12" i="12"/>
  <c r="H12" i="12"/>
  <c r="L12" i="12"/>
  <c r="E12" i="12"/>
  <c r="F12" i="12"/>
  <c r="G12" i="12"/>
  <c r="Y14" i="12"/>
  <c r="AF15" i="12"/>
  <c r="T14" i="12"/>
  <c r="Z14" i="12"/>
  <c r="V14" i="12"/>
  <c r="Q14" i="12"/>
  <c r="R14" i="12"/>
  <c r="P14" i="12"/>
  <c r="U14" i="12"/>
  <c r="X14" i="12"/>
  <c r="S14" i="12"/>
  <c r="AA14" i="12"/>
  <c r="W14" i="12"/>
  <c r="E39" i="1"/>
  <c r="H39" i="1"/>
  <c r="E40" i="1"/>
  <c r="H40" i="1"/>
  <c r="E41" i="1"/>
  <c r="H41" i="1"/>
  <c r="E37" i="1"/>
  <c r="H37" i="1"/>
  <c r="E38" i="1"/>
  <c r="H38" i="1"/>
  <c r="K13" i="12"/>
  <c r="AE14" i="12"/>
  <c r="H13" i="12"/>
  <c r="I13" i="12"/>
  <c r="J13" i="12"/>
  <c r="L13" i="12"/>
  <c r="M13" i="12"/>
  <c r="E13" i="12"/>
  <c r="F13" i="12"/>
  <c r="G13" i="12"/>
  <c r="P15" i="12"/>
  <c r="W15" i="12"/>
  <c r="AA15" i="12"/>
  <c r="Q15" i="12"/>
  <c r="Y15" i="12"/>
  <c r="AF16" i="12"/>
  <c r="T15" i="12"/>
  <c r="V15" i="12"/>
  <c r="Z15" i="12"/>
  <c r="R15" i="12"/>
  <c r="X15" i="12"/>
  <c r="S15" i="12"/>
  <c r="U15" i="12"/>
  <c r="H14" i="12"/>
  <c r="I14" i="12"/>
  <c r="L14" i="12"/>
  <c r="J14" i="12"/>
  <c r="K14" i="12"/>
  <c r="AE15" i="12"/>
  <c r="M14" i="12"/>
  <c r="E14" i="12"/>
  <c r="F14" i="12"/>
  <c r="G14" i="12"/>
  <c r="Y16" i="12"/>
  <c r="AF17" i="12"/>
  <c r="Z16" i="12"/>
  <c r="T16" i="12"/>
  <c r="Q16" i="12"/>
  <c r="V16" i="12"/>
  <c r="R16" i="12"/>
  <c r="W16" i="12"/>
  <c r="X16" i="12"/>
  <c r="U16" i="12"/>
  <c r="S16" i="12"/>
  <c r="AA16" i="12"/>
  <c r="P16" i="12"/>
  <c r="I15" i="12"/>
  <c r="L15" i="12"/>
  <c r="J15" i="12"/>
  <c r="M15" i="12"/>
  <c r="K15" i="12"/>
  <c r="AE16" i="12"/>
  <c r="H15" i="12"/>
  <c r="E15" i="12"/>
  <c r="F15" i="12"/>
  <c r="G15" i="12"/>
  <c r="Y17" i="12"/>
  <c r="AF18" i="12"/>
  <c r="T17" i="12"/>
  <c r="V17" i="12"/>
  <c r="R17" i="12"/>
  <c r="Z17" i="12"/>
  <c r="P17" i="12"/>
  <c r="U17" i="12"/>
  <c r="AA17" i="12"/>
  <c r="Q17" i="12"/>
  <c r="W17" i="12"/>
  <c r="S17" i="12"/>
  <c r="X17" i="12"/>
  <c r="K16" i="12"/>
  <c r="AE17" i="12"/>
  <c r="L16" i="12"/>
  <c r="M16" i="12"/>
  <c r="F16" i="12"/>
  <c r="H16" i="12"/>
  <c r="J16" i="12"/>
  <c r="E16" i="12"/>
  <c r="I16" i="12"/>
  <c r="G16" i="12"/>
  <c r="Y18" i="12"/>
  <c r="AF19" i="12"/>
  <c r="Z18" i="12"/>
  <c r="Q18" i="12"/>
  <c r="T18" i="12"/>
  <c r="R18" i="12"/>
  <c r="S18" i="12"/>
  <c r="V18" i="12"/>
  <c r="P18" i="12"/>
  <c r="U18" i="12"/>
  <c r="AA18" i="12"/>
  <c r="W18" i="12"/>
  <c r="X18" i="12"/>
  <c r="M17" i="12"/>
  <c r="K17" i="12"/>
  <c r="AE18" i="12"/>
  <c r="L17" i="12"/>
  <c r="G17" i="12"/>
  <c r="F17" i="12"/>
  <c r="I17" i="12"/>
  <c r="J17" i="12"/>
  <c r="H17" i="12"/>
  <c r="E17" i="12"/>
  <c r="Y19" i="12"/>
  <c r="AF20" i="12"/>
  <c r="T19" i="12"/>
  <c r="V19" i="12"/>
  <c r="Z19" i="12"/>
  <c r="R19" i="12"/>
  <c r="X19" i="12"/>
  <c r="Q19" i="12"/>
  <c r="S19" i="12"/>
  <c r="P19" i="12"/>
  <c r="W19" i="12"/>
  <c r="AA19" i="12"/>
  <c r="U19" i="12"/>
  <c r="M18" i="12"/>
  <c r="L18" i="12"/>
  <c r="K18" i="12"/>
  <c r="AE19" i="12"/>
  <c r="F18" i="12"/>
  <c r="J18" i="12"/>
  <c r="E18" i="12"/>
  <c r="H18" i="12"/>
  <c r="G18" i="12"/>
  <c r="I18" i="12"/>
  <c r="AA20" i="12"/>
  <c r="P20" i="12"/>
  <c r="U20" i="12"/>
  <c r="S20" i="12"/>
  <c r="Y20" i="12"/>
  <c r="AF21" i="12"/>
  <c r="Z20" i="12"/>
  <c r="V20" i="12"/>
  <c r="T20" i="12"/>
  <c r="Q20" i="12"/>
  <c r="R20" i="12"/>
  <c r="W20" i="12"/>
  <c r="X20" i="12"/>
  <c r="M19" i="12"/>
  <c r="K19" i="12"/>
  <c r="AE20" i="12"/>
  <c r="L19" i="12"/>
  <c r="F19" i="12"/>
  <c r="I19" i="12"/>
  <c r="G19" i="12"/>
  <c r="J19" i="12"/>
  <c r="H19" i="12"/>
  <c r="E19" i="12"/>
  <c r="Q21" i="12"/>
  <c r="W21" i="12"/>
  <c r="X21" i="12"/>
  <c r="S21" i="12"/>
  <c r="Y21" i="12"/>
  <c r="AF22" i="12"/>
  <c r="T21" i="12"/>
  <c r="V21" i="12"/>
  <c r="R21" i="12"/>
  <c r="P21" i="12"/>
  <c r="U21" i="12"/>
  <c r="AA21" i="12"/>
  <c r="Z21" i="12"/>
  <c r="K20" i="12"/>
  <c r="AE21" i="12"/>
  <c r="M20" i="12"/>
  <c r="L20" i="12"/>
  <c r="F20" i="12"/>
  <c r="H20" i="12"/>
  <c r="J20" i="12"/>
  <c r="E20" i="12"/>
  <c r="I20" i="12"/>
  <c r="G20" i="12"/>
  <c r="U22" i="12"/>
  <c r="X22" i="12"/>
  <c r="AA22" i="12"/>
  <c r="W22" i="12"/>
  <c r="Y22" i="12"/>
  <c r="AF23" i="12"/>
  <c r="Z22" i="12"/>
  <c r="T22" i="12"/>
  <c r="V22" i="12"/>
  <c r="Q22" i="12"/>
  <c r="R22" i="12"/>
  <c r="S22" i="12"/>
  <c r="P22" i="12"/>
  <c r="M21" i="12"/>
  <c r="L21" i="12"/>
  <c r="K21" i="12"/>
  <c r="AE22" i="12"/>
  <c r="F21" i="12"/>
  <c r="G21" i="12"/>
  <c r="I21" i="12"/>
  <c r="H21" i="12"/>
  <c r="E21" i="12"/>
  <c r="J21" i="12"/>
  <c r="AA23" i="12"/>
  <c r="P23" i="12"/>
  <c r="U23" i="12"/>
  <c r="W23" i="12"/>
  <c r="Y23" i="12"/>
  <c r="AF24" i="12"/>
  <c r="T23" i="12"/>
  <c r="V23" i="12"/>
  <c r="R23" i="12"/>
  <c r="Z23" i="12"/>
  <c r="X23" i="12"/>
  <c r="Q23" i="12"/>
  <c r="S23" i="12"/>
  <c r="M22" i="12"/>
  <c r="K22" i="12"/>
  <c r="AE23" i="12"/>
  <c r="L22" i="12"/>
  <c r="J22" i="12"/>
  <c r="E22" i="12"/>
  <c r="F22" i="12"/>
  <c r="H22" i="12"/>
  <c r="I22" i="12"/>
  <c r="G22" i="12"/>
  <c r="AA24" i="12"/>
  <c r="U24" i="12"/>
  <c r="P24" i="12"/>
  <c r="X24" i="12"/>
  <c r="Y24" i="12"/>
  <c r="AF25" i="12"/>
  <c r="Z24" i="12"/>
  <c r="Q24" i="12"/>
  <c r="V24" i="12"/>
  <c r="R24" i="12"/>
  <c r="W24" i="12"/>
  <c r="T24" i="12"/>
  <c r="S24" i="12"/>
  <c r="M23" i="12"/>
  <c r="K23" i="12"/>
  <c r="AE24" i="12"/>
  <c r="L23" i="12"/>
  <c r="F23" i="12"/>
  <c r="I23" i="12"/>
  <c r="G23" i="12"/>
  <c r="E23" i="12"/>
  <c r="J23" i="12"/>
  <c r="H23" i="12"/>
  <c r="Q25" i="12"/>
  <c r="S25" i="12"/>
  <c r="W25" i="12"/>
  <c r="X25" i="12"/>
  <c r="Y25" i="12"/>
  <c r="AF26" i="12"/>
  <c r="T25" i="12"/>
  <c r="V25" i="12"/>
  <c r="R25" i="12"/>
  <c r="Z25" i="12"/>
  <c r="P25" i="12"/>
  <c r="U25" i="12"/>
  <c r="AA25" i="12"/>
  <c r="K24" i="12"/>
  <c r="AE25" i="12"/>
  <c r="L24" i="12"/>
  <c r="M24" i="12"/>
  <c r="F24" i="12"/>
  <c r="G24" i="12"/>
  <c r="I24" i="12"/>
  <c r="E24" i="12"/>
  <c r="J24" i="12"/>
  <c r="H24" i="12"/>
  <c r="Q26" i="12"/>
  <c r="T26" i="12"/>
  <c r="Y26" i="12"/>
  <c r="AF27" i="12"/>
  <c r="R26" i="12"/>
  <c r="Z26" i="12"/>
  <c r="V26" i="12"/>
  <c r="AA26" i="12"/>
  <c r="U26" i="12"/>
  <c r="W26" i="12"/>
  <c r="S26" i="12"/>
  <c r="X26" i="12"/>
  <c r="P26" i="12"/>
  <c r="M25" i="12"/>
  <c r="K25" i="12"/>
  <c r="AE26" i="12"/>
  <c r="L25" i="12"/>
  <c r="J25" i="12"/>
  <c r="E25" i="12"/>
  <c r="F25" i="12"/>
  <c r="H25" i="12"/>
  <c r="I25" i="12"/>
  <c r="G25" i="12"/>
  <c r="S27" i="12"/>
  <c r="W27" i="12"/>
  <c r="T27" i="12"/>
  <c r="Q27" i="12"/>
  <c r="Y27" i="12"/>
  <c r="AF28" i="12"/>
  <c r="V27" i="12"/>
  <c r="R27" i="12"/>
  <c r="Z27" i="12"/>
  <c r="X27" i="12"/>
  <c r="P27" i="12"/>
  <c r="AA27" i="12"/>
  <c r="U27" i="12"/>
  <c r="M26" i="12"/>
  <c r="L26" i="12"/>
  <c r="K26" i="12"/>
  <c r="AE27" i="12"/>
  <c r="F26" i="12"/>
  <c r="I26" i="12"/>
  <c r="G26" i="12"/>
  <c r="J26" i="12"/>
  <c r="H26" i="12"/>
  <c r="E26" i="12"/>
  <c r="X28" i="12"/>
  <c r="P28" i="12"/>
  <c r="T28" i="12"/>
  <c r="Q28" i="12"/>
  <c r="Z28" i="12"/>
  <c r="Y28" i="12"/>
  <c r="AF29" i="12"/>
  <c r="V28" i="12"/>
  <c r="R28" i="12"/>
  <c r="S28" i="12"/>
  <c r="AA28" i="12"/>
  <c r="U28" i="12"/>
  <c r="W28" i="12"/>
  <c r="K27" i="12"/>
  <c r="AE28" i="12"/>
  <c r="L27" i="12"/>
  <c r="M27" i="12"/>
  <c r="F27" i="12"/>
  <c r="G27" i="12"/>
  <c r="I27" i="12"/>
  <c r="J27" i="12"/>
  <c r="H27" i="12"/>
  <c r="E27" i="12"/>
  <c r="Y29" i="12"/>
  <c r="AF30" i="12"/>
  <c r="Z29" i="12"/>
  <c r="V29" i="12"/>
  <c r="R29" i="12"/>
  <c r="AA29" i="12"/>
  <c r="U29" i="12"/>
  <c r="W29" i="12"/>
  <c r="X29" i="12"/>
  <c r="P29" i="12"/>
  <c r="S29" i="12"/>
  <c r="T29" i="12"/>
  <c r="Q29" i="12"/>
  <c r="K28" i="12"/>
  <c r="AE29" i="12"/>
  <c r="M28" i="12"/>
  <c r="L28" i="12"/>
  <c r="F28" i="12"/>
  <c r="I28" i="12"/>
  <c r="G28" i="12"/>
  <c r="H28" i="12"/>
  <c r="E28" i="12"/>
  <c r="J28" i="12"/>
  <c r="Z30" i="12"/>
  <c r="V30" i="12"/>
  <c r="R30" i="12"/>
  <c r="Y30" i="12"/>
  <c r="AF31" i="12"/>
  <c r="AA30" i="12"/>
  <c r="U30" i="12"/>
  <c r="W30" i="12"/>
  <c r="S30" i="12"/>
  <c r="X30" i="12"/>
  <c r="P30" i="12"/>
  <c r="Q30" i="12"/>
  <c r="T30" i="12"/>
  <c r="L29" i="12"/>
  <c r="M29" i="12"/>
  <c r="K29" i="12"/>
  <c r="AE30" i="12"/>
  <c r="F29" i="12"/>
  <c r="G29" i="12"/>
  <c r="I29" i="12"/>
  <c r="E29" i="12"/>
  <c r="J29" i="12"/>
  <c r="H29" i="12"/>
  <c r="S31" i="12"/>
  <c r="W31" i="12"/>
  <c r="T31" i="12"/>
  <c r="Q31" i="12"/>
  <c r="Z31" i="12"/>
  <c r="V31" i="12"/>
  <c r="Y31" i="12"/>
  <c r="AF32" i="12"/>
  <c r="R31" i="12"/>
  <c r="AA31" i="12"/>
  <c r="X31" i="12"/>
  <c r="P31" i="12"/>
  <c r="U31" i="12"/>
  <c r="M30" i="12"/>
  <c r="K30" i="12"/>
  <c r="AE31" i="12"/>
  <c r="L30" i="12"/>
  <c r="I30" i="12"/>
  <c r="F30" i="12"/>
  <c r="G30" i="12"/>
  <c r="J30" i="12"/>
  <c r="H30" i="12"/>
  <c r="E30" i="12"/>
  <c r="Z32" i="12"/>
  <c r="Y32" i="12"/>
  <c r="AF33" i="12"/>
  <c r="V32" i="12"/>
  <c r="R32" i="12"/>
  <c r="S32" i="12"/>
  <c r="AA32" i="12"/>
  <c r="U32" i="12"/>
  <c r="W32" i="12"/>
  <c r="X32" i="12"/>
  <c r="P32" i="12"/>
  <c r="T32" i="12"/>
  <c r="Q32" i="12"/>
  <c r="K31" i="12"/>
  <c r="AE32" i="12"/>
  <c r="L31" i="12"/>
  <c r="M31" i="12"/>
  <c r="F31" i="12"/>
  <c r="G31" i="12"/>
  <c r="I31" i="12"/>
  <c r="J31" i="12"/>
  <c r="H31" i="12"/>
  <c r="E31" i="12"/>
  <c r="P33" i="12"/>
  <c r="S33" i="12"/>
  <c r="T33" i="12"/>
  <c r="Q33" i="12"/>
  <c r="Y33" i="12"/>
  <c r="AF34" i="12"/>
  <c r="V33" i="12"/>
  <c r="R33" i="12"/>
  <c r="Z33" i="12"/>
  <c r="AA33" i="12"/>
  <c r="U33" i="12"/>
  <c r="X33" i="12"/>
  <c r="W33" i="12"/>
  <c r="M32" i="12"/>
  <c r="K32" i="12"/>
  <c r="AE33" i="12"/>
  <c r="L32" i="12"/>
  <c r="F32" i="12"/>
  <c r="I32" i="12"/>
  <c r="G32" i="12"/>
  <c r="H32" i="12"/>
  <c r="E32" i="12"/>
  <c r="J32" i="12"/>
  <c r="Y34" i="12"/>
  <c r="AF35" i="12"/>
  <c r="R34" i="12"/>
  <c r="V34" i="12"/>
  <c r="U34" i="12"/>
  <c r="W34" i="12"/>
  <c r="S34" i="12"/>
  <c r="AA34" i="12"/>
  <c r="X34" i="12"/>
  <c r="P34" i="12"/>
  <c r="Q34" i="12"/>
  <c r="T34" i="12"/>
  <c r="Z34" i="12"/>
  <c r="M33" i="12"/>
  <c r="K33" i="12"/>
  <c r="AE34" i="12"/>
  <c r="L33" i="12"/>
  <c r="G33" i="12"/>
  <c r="F33" i="12"/>
  <c r="I33" i="12"/>
  <c r="E33" i="12"/>
  <c r="J33" i="12"/>
  <c r="H33" i="12"/>
  <c r="S35" i="12"/>
  <c r="W35" i="12"/>
  <c r="V35" i="12"/>
  <c r="Z35" i="12"/>
  <c r="AA35" i="12"/>
  <c r="P35" i="12"/>
  <c r="T35" i="12"/>
  <c r="Q35" i="12"/>
  <c r="Y35" i="12"/>
  <c r="AF36" i="12"/>
  <c r="R35" i="12"/>
  <c r="X35" i="12"/>
  <c r="U35" i="12"/>
  <c r="M34" i="12"/>
  <c r="L34" i="12"/>
  <c r="K34" i="12"/>
  <c r="AE35" i="12"/>
  <c r="F34" i="12"/>
  <c r="I34" i="12"/>
  <c r="G34" i="12"/>
  <c r="J34" i="12"/>
  <c r="H34" i="12"/>
  <c r="E34" i="12"/>
  <c r="S36" i="12"/>
  <c r="X36" i="12"/>
  <c r="P36" i="12"/>
  <c r="T36" i="12"/>
  <c r="Q36" i="12"/>
  <c r="Z36" i="12"/>
  <c r="V36" i="12"/>
  <c r="Y36" i="12"/>
  <c r="AF37" i="12"/>
  <c r="R36" i="12"/>
  <c r="AA36" i="12"/>
  <c r="U36" i="12"/>
  <c r="W36" i="12"/>
  <c r="K35" i="12"/>
  <c r="AE36" i="12"/>
  <c r="L35" i="12"/>
  <c r="M35" i="12"/>
  <c r="F35" i="12"/>
  <c r="G35" i="12"/>
  <c r="I35" i="12"/>
  <c r="J35" i="12"/>
  <c r="H35" i="12"/>
  <c r="E35" i="12"/>
  <c r="P37" i="12"/>
  <c r="Z37" i="12"/>
  <c r="AA37" i="12"/>
  <c r="S37" i="12"/>
  <c r="Y37" i="12"/>
  <c r="AF38" i="12"/>
  <c r="V37" i="12"/>
  <c r="W37" i="12"/>
  <c r="T37" i="12"/>
  <c r="Q37" i="12"/>
  <c r="R37" i="12"/>
  <c r="U37" i="12"/>
  <c r="X37" i="12"/>
  <c r="M36" i="12"/>
  <c r="L36" i="12"/>
  <c r="K36" i="12"/>
  <c r="AE37" i="12"/>
  <c r="F36" i="12"/>
  <c r="I36" i="12"/>
  <c r="G36" i="12"/>
  <c r="H36" i="12"/>
  <c r="E36" i="12"/>
  <c r="J36" i="12"/>
  <c r="Z38" i="12"/>
  <c r="X38" i="12"/>
  <c r="P38" i="12"/>
  <c r="Q38" i="12"/>
  <c r="T38" i="12"/>
  <c r="AA38" i="12"/>
  <c r="V38" i="12"/>
  <c r="R38" i="12"/>
  <c r="Y38" i="12"/>
  <c r="AF39" i="12"/>
  <c r="U38" i="12"/>
  <c r="W38" i="12"/>
  <c r="S38" i="12"/>
  <c r="K37" i="12"/>
  <c r="AE38" i="12"/>
  <c r="L37" i="12"/>
  <c r="M37" i="12"/>
  <c r="F37" i="12"/>
  <c r="G37" i="12"/>
  <c r="I37" i="12"/>
  <c r="E37" i="12"/>
  <c r="J37" i="12"/>
  <c r="H37" i="12"/>
  <c r="S39" i="12"/>
  <c r="T39" i="12"/>
  <c r="R39" i="12"/>
  <c r="Z39" i="12"/>
  <c r="U39" i="12"/>
  <c r="W39" i="12"/>
  <c r="Q39" i="12"/>
  <c r="Y39" i="12"/>
  <c r="AF40" i="12"/>
  <c r="V39" i="12"/>
  <c r="X39" i="12"/>
  <c r="P39" i="12"/>
  <c r="AA39" i="12"/>
  <c r="M38" i="12"/>
  <c r="K38" i="12"/>
  <c r="AE39" i="12"/>
  <c r="L38" i="12"/>
  <c r="I38" i="12"/>
  <c r="F38" i="12"/>
  <c r="G38" i="12"/>
  <c r="J38" i="12"/>
  <c r="H38" i="12"/>
  <c r="E38" i="12"/>
  <c r="X40" i="12"/>
  <c r="P40" i="12"/>
  <c r="Z40" i="12"/>
  <c r="V40" i="12"/>
  <c r="S40" i="12"/>
  <c r="W40" i="12"/>
  <c r="T40" i="12"/>
  <c r="Q40" i="12"/>
  <c r="Y40" i="12"/>
  <c r="AF41" i="12"/>
  <c r="R40" i="12"/>
  <c r="AA40" i="12"/>
  <c r="U40" i="12"/>
  <c r="K39" i="12"/>
  <c r="AE40" i="12"/>
  <c r="L39" i="12"/>
  <c r="M39" i="12"/>
  <c r="F39" i="12"/>
  <c r="G39" i="12"/>
  <c r="I39" i="12"/>
  <c r="J39" i="12"/>
  <c r="H39" i="12"/>
  <c r="E39" i="12"/>
  <c r="Y41" i="12"/>
  <c r="AF42" i="12"/>
  <c r="T41" i="12"/>
  <c r="Q41" i="12"/>
  <c r="V41" i="12"/>
  <c r="Z41" i="12"/>
  <c r="AA41" i="12"/>
  <c r="U41" i="12"/>
  <c r="W41" i="12"/>
  <c r="X41" i="12"/>
  <c r="P41" i="12"/>
  <c r="R41" i="12"/>
  <c r="S41" i="12"/>
  <c r="L40" i="12"/>
  <c r="M40" i="12"/>
  <c r="K40" i="12"/>
  <c r="AE41" i="12"/>
  <c r="F40" i="12"/>
  <c r="I40" i="12"/>
  <c r="G40" i="12"/>
  <c r="H40" i="12"/>
  <c r="E40" i="12"/>
  <c r="J40" i="12"/>
  <c r="Z42" i="12"/>
  <c r="W42" i="12"/>
  <c r="S42" i="12"/>
  <c r="X42" i="12"/>
  <c r="P42" i="12"/>
  <c r="Q42" i="12"/>
  <c r="T42" i="12"/>
  <c r="Y42" i="12"/>
  <c r="AF43" i="12"/>
  <c r="R42" i="12"/>
  <c r="V42" i="12"/>
  <c r="AA42" i="12"/>
  <c r="U42" i="12"/>
  <c r="M41" i="12"/>
  <c r="K41" i="12"/>
  <c r="AE42" i="12"/>
  <c r="L41" i="12"/>
  <c r="G41" i="12"/>
  <c r="F41" i="12"/>
  <c r="I41" i="12"/>
  <c r="E41" i="12"/>
  <c r="J41" i="12"/>
  <c r="H41" i="12"/>
  <c r="S43" i="12"/>
  <c r="W43" i="12"/>
  <c r="Y43" i="12"/>
  <c r="AF44" i="12"/>
  <c r="Z43" i="12"/>
  <c r="X43" i="12"/>
  <c r="U43" i="12"/>
  <c r="T43" i="12"/>
  <c r="Q43" i="12"/>
  <c r="V43" i="12"/>
  <c r="R43" i="12"/>
  <c r="P43" i="12"/>
  <c r="AA43" i="12"/>
  <c r="M42" i="12"/>
  <c r="L42" i="12"/>
  <c r="K42" i="12"/>
  <c r="AE43" i="12"/>
  <c r="F42" i="12"/>
  <c r="I42" i="12"/>
  <c r="G42" i="12"/>
  <c r="J42" i="12"/>
  <c r="H42" i="12"/>
  <c r="E42" i="12"/>
  <c r="U44" i="12"/>
  <c r="X44" i="12"/>
  <c r="Z44" i="12"/>
  <c r="R44" i="12"/>
  <c r="P44" i="12"/>
  <c r="T44" i="12"/>
  <c r="Q44" i="12"/>
  <c r="V44" i="12"/>
  <c r="Y44" i="12"/>
  <c r="AF45" i="12"/>
  <c r="S44" i="12"/>
  <c r="AA44" i="12"/>
  <c r="W44" i="12"/>
  <c r="K43" i="12"/>
  <c r="AE44" i="12"/>
  <c r="L43" i="12"/>
  <c r="M43" i="12"/>
  <c r="F43" i="12"/>
  <c r="G43" i="12"/>
  <c r="I43" i="12"/>
  <c r="J43" i="12"/>
  <c r="H43" i="12"/>
  <c r="E43" i="12"/>
  <c r="R45" i="12"/>
  <c r="Y45" i="12"/>
  <c r="AF46" i="12"/>
  <c r="AA45" i="12"/>
  <c r="U45" i="12"/>
  <c r="S45" i="12"/>
  <c r="V45" i="12"/>
  <c r="W45" i="12"/>
  <c r="P45" i="12"/>
  <c r="T45" i="12"/>
  <c r="Q45" i="12"/>
  <c r="Z45" i="12"/>
  <c r="X45" i="12"/>
  <c r="K44" i="12"/>
  <c r="AE45" i="12"/>
  <c r="M44" i="12"/>
  <c r="L44" i="12"/>
  <c r="F44" i="12"/>
  <c r="I44" i="12"/>
  <c r="G44" i="12"/>
  <c r="H44" i="12"/>
  <c r="E44" i="12"/>
  <c r="J44" i="12"/>
  <c r="X46" i="12"/>
  <c r="Z46" i="12"/>
  <c r="Y46" i="12"/>
  <c r="AF47" i="12"/>
  <c r="W46" i="12"/>
  <c r="P46" i="12"/>
  <c r="V46" i="12"/>
  <c r="U46" i="12"/>
  <c r="S46" i="12"/>
  <c r="Q46" i="12"/>
  <c r="T46" i="12"/>
  <c r="R46" i="12"/>
  <c r="AA46" i="12"/>
  <c r="L45" i="12"/>
  <c r="M45" i="12"/>
  <c r="K45" i="12"/>
  <c r="AE46" i="12"/>
  <c r="F45" i="12"/>
  <c r="G45" i="12"/>
  <c r="I45" i="12"/>
  <c r="E45" i="12"/>
  <c r="J45" i="12"/>
  <c r="H45" i="12"/>
  <c r="W47" i="12"/>
  <c r="U47" i="12"/>
  <c r="Q47" i="12"/>
  <c r="Y47" i="12"/>
  <c r="AF48" i="12"/>
  <c r="R47" i="12"/>
  <c r="AA47" i="12"/>
  <c r="P47" i="12"/>
  <c r="Z47" i="12"/>
  <c r="S47" i="12"/>
  <c r="T47" i="12"/>
  <c r="V47" i="12"/>
  <c r="X47" i="12"/>
  <c r="M46" i="12"/>
  <c r="K46" i="12"/>
  <c r="AE47" i="12"/>
  <c r="L46" i="12"/>
  <c r="I46" i="12"/>
  <c r="F46" i="12"/>
  <c r="G46" i="12"/>
  <c r="J46" i="12"/>
  <c r="H46" i="12"/>
  <c r="E46" i="12"/>
  <c r="Z48" i="12"/>
  <c r="Y48" i="12"/>
  <c r="AF49" i="12"/>
  <c r="R48" i="12"/>
  <c r="S48" i="12"/>
  <c r="AA48" i="12"/>
  <c r="U48" i="12"/>
  <c r="P48" i="12"/>
  <c r="T48" i="12"/>
  <c r="Q48" i="12"/>
  <c r="X48" i="12"/>
  <c r="V48" i="12"/>
  <c r="W48" i="12"/>
  <c r="K47" i="12"/>
  <c r="AE48" i="12"/>
  <c r="L47" i="12"/>
  <c r="M47" i="12"/>
  <c r="F47" i="12"/>
  <c r="G47" i="12"/>
  <c r="I47" i="12"/>
  <c r="J47" i="12"/>
  <c r="H47" i="12"/>
  <c r="E47" i="12"/>
  <c r="Z49" i="12"/>
  <c r="R49" i="12"/>
  <c r="X49" i="12"/>
  <c r="Y49" i="12"/>
  <c r="AF50" i="12"/>
  <c r="U49" i="12"/>
  <c r="P49" i="12"/>
  <c r="V49" i="12"/>
  <c r="W49" i="12"/>
  <c r="AA49" i="12"/>
  <c r="S49" i="12"/>
  <c r="T49" i="12"/>
  <c r="Q49" i="12"/>
  <c r="M48" i="12"/>
  <c r="K48" i="12"/>
  <c r="AE49" i="12"/>
  <c r="L48" i="12"/>
  <c r="F48" i="12"/>
  <c r="I48" i="12"/>
  <c r="G48" i="12"/>
  <c r="H48" i="12"/>
  <c r="E48" i="12"/>
  <c r="J48" i="12"/>
  <c r="R50" i="12"/>
  <c r="V50" i="12"/>
  <c r="P50" i="12"/>
  <c r="Q50" i="12"/>
  <c r="Z50" i="12"/>
  <c r="AA50" i="12"/>
  <c r="Y50" i="12"/>
  <c r="AF51" i="12"/>
  <c r="U50" i="12"/>
  <c r="W50" i="12"/>
  <c r="S50" i="12"/>
  <c r="X50" i="12"/>
  <c r="T50" i="12"/>
  <c r="M49" i="12"/>
  <c r="K49" i="12"/>
  <c r="AE50" i="12"/>
  <c r="L49" i="12"/>
  <c r="G49" i="12"/>
  <c r="F49" i="12"/>
  <c r="I49" i="12"/>
  <c r="E49" i="12"/>
  <c r="J49" i="12"/>
  <c r="H49" i="12"/>
  <c r="S51" i="12"/>
  <c r="T51" i="12"/>
  <c r="Z51" i="12"/>
  <c r="AA51" i="12"/>
  <c r="Y51" i="12"/>
  <c r="AF52" i="12"/>
  <c r="R51" i="12"/>
  <c r="X51" i="12"/>
  <c r="W51" i="12"/>
  <c r="U51" i="12"/>
  <c r="V51" i="12"/>
  <c r="Q51" i="12"/>
  <c r="P51" i="12"/>
  <c r="M50" i="12"/>
  <c r="L50" i="12"/>
  <c r="K50" i="12"/>
  <c r="AE51" i="12"/>
  <c r="F50" i="12"/>
  <c r="I50" i="12"/>
  <c r="G50" i="12"/>
  <c r="J50" i="12"/>
  <c r="H50" i="12"/>
  <c r="E50" i="12"/>
  <c r="Y52" i="12"/>
  <c r="AF53" i="12"/>
  <c r="AA52" i="12"/>
  <c r="Z52" i="12"/>
  <c r="R52" i="12"/>
  <c r="T52" i="12"/>
  <c r="U52" i="12"/>
  <c r="P52" i="12"/>
  <c r="Q52" i="12"/>
  <c r="V52" i="12"/>
  <c r="S52" i="12"/>
  <c r="W52" i="12"/>
  <c r="X52" i="12"/>
  <c r="K51" i="12"/>
  <c r="AE52" i="12"/>
  <c r="L51" i="12"/>
  <c r="M51" i="12"/>
  <c r="F51" i="12"/>
  <c r="H51" i="12"/>
  <c r="G51" i="12"/>
  <c r="I51" i="12"/>
  <c r="J51" i="12"/>
  <c r="E51" i="12"/>
  <c r="P53" i="12"/>
  <c r="T53" i="12"/>
  <c r="V53" i="12"/>
  <c r="U53" i="12"/>
  <c r="R53" i="12"/>
  <c r="AA53" i="12"/>
  <c r="Y53" i="12"/>
  <c r="AF54" i="12"/>
  <c r="W53" i="12"/>
  <c r="S53" i="12"/>
  <c r="Z53" i="12"/>
  <c r="Q53" i="12"/>
  <c r="X53" i="12"/>
  <c r="M52" i="12"/>
  <c r="L52" i="12"/>
  <c r="K52" i="12"/>
  <c r="AE53" i="12"/>
  <c r="F52" i="12"/>
  <c r="J52" i="12"/>
  <c r="E52" i="12"/>
  <c r="I52" i="12"/>
  <c r="G52" i="12"/>
  <c r="H52" i="12"/>
  <c r="Z54" i="12"/>
  <c r="R54" i="12"/>
  <c r="S54" i="12"/>
  <c r="U54" i="12"/>
  <c r="P54" i="12"/>
  <c r="W54" i="12"/>
  <c r="V54" i="12"/>
  <c r="Y54" i="12"/>
  <c r="AF55" i="12"/>
  <c r="AA54" i="12"/>
  <c r="T54" i="12"/>
  <c r="X54" i="12"/>
  <c r="Q54" i="12"/>
  <c r="K53" i="12"/>
  <c r="AE54" i="12"/>
  <c r="L53" i="12"/>
  <c r="M53" i="12"/>
  <c r="H53" i="12"/>
  <c r="F53" i="12"/>
  <c r="G53" i="12"/>
  <c r="I53" i="12"/>
  <c r="J53" i="12"/>
  <c r="E53" i="12"/>
  <c r="M54" i="12"/>
  <c r="K54" i="12"/>
  <c r="AE55" i="12"/>
  <c r="L54" i="12"/>
  <c r="J54" i="12"/>
  <c r="E54" i="12"/>
  <c r="I54" i="12"/>
  <c r="F54" i="12"/>
  <c r="H54" i="12"/>
  <c r="G54" i="12"/>
  <c r="P55" i="12"/>
  <c r="X55" i="12"/>
  <c r="S55" i="12"/>
  <c r="V55" i="12"/>
  <c r="W55" i="12"/>
  <c r="U55" i="12"/>
  <c r="T55" i="12"/>
  <c r="R55" i="12"/>
  <c r="Z55" i="12"/>
  <c r="Q55" i="12"/>
  <c r="AA55" i="12"/>
  <c r="Y55" i="12"/>
  <c r="L55" i="12"/>
  <c r="M55" i="12"/>
  <c r="F55" i="12"/>
  <c r="J55" i="12"/>
  <c r="E55" i="12"/>
  <c r="I55" i="12"/>
  <c r="H55" i="12"/>
  <c r="K55" i="12"/>
  <c r="G55" i="12"/>
  <c r="AP47" i="7" a="1"/>
  <c r="AP47" i="7"/>
  <c r="AT47" i="7"/>
  <c r="AP48" i="7"/>
  <c r="AT48" i="7"/>
  <c r="AP49" i="7"/>
  <c r="AT49" i="7"/>
  <c r="AP50" i="7"/>
  <c r="AT50" i="7"/>
  <c r="AP51" i="7"/>
  <c r="AT51" i="7"/>
  <c r="BE25" i="7"/>
  <c r="BF25" i="7"/>
  <c r="L6" i="12"/>
  <c r="BE27" i="7"/>
  <c r="BF27" i="7"/>
  <c r="L7" i="12"/>
  <c r="BE29" i="7"/>
  <c r="BF29" i="7"/>
  <c r="L8" i="12"/>
  <c r="BE31" i="7"/>
  <c r="BF31" i="7"/>
  <c r="L9" i="12"/>
  <c r="BE33" i="7"/>
  <c r="BF33" i="7"/>
  <c r="L10" i="12"/>
  <c r="C61" i="12"/>
  <c r="M6" i="12"/>
  <c r="M7" i="12"/>
  <c r="M8" i="12"/>
  <c r="M9" i="12"/>
  <c r="M10" i="12"/>
  <c r="C52" i="12"/>
  <c r="Z6" i="12"/>
  <c r="AA6" i="12"/>
  <c r="Z7" i="12"/>
  <c r="AA7" i="12"/>
  <c r="Z8" i="12"/>
  <c r="AA8" i="12"/>
  <c r="Z9" i="12"/>
  <c r="AA9" i="12"/>
  <c r="Z10" i="12"/>
  <c r="AA10" i="12"/>
  <c r="C53" i="12"/>
  <c r="C55" i="12"/>
  <c r="C54" i="12"/>
  <c r="C56" i="12"/>
  <c r="C65" i="12"/>
  <c r="C66" i="12"/>
  <c r="C68" i="12"/>
  <c r="C25" i="12"/>
  <c r="C26" i="12"/>
  <c r="C20" i="12"/>
  <c r="C67" i="12"/>
  <c r="C23" i="12"/>
  <c r="C59" i="12"/>
  <c r="C18" i="12"/>
  <c r="C17" i="12"/>
  <c r="C60" i="12"/>
  <c r="C62" i="12"/>
  <c r="C19" i="12"/>
  <c r="BH33" i="7"/>
  <c r="BI33" i="7"/>
  <c r="AT33" i="7"/>
  <c r="BE32" i="7"/>
  <c r="BF32" i="7"/>
  <c r="BH32" i="7"/>
  <c r="BI32" i="7"/>
  <c r="AT32" i="7"/>
  <c r="AD8" i="7"/>
  <c r="AC8" i="7"/>
  <c r="AG8" i="7"/>
  <c r="AD9" i="7"/>
  <c r="AC9" i="7"/>
  <c r="AG9" i="7"/>
  <c r="AH9" i="7"/>
  <c r="AD10" i="7"/>
  <c r="AC10" i="7"/>
  <c r="AG10" i="7"/>
  <c r="AH10" i="7"/>
  <c r="AI10" i="7"/>
  <c r="AD11" i="7"/>
  <c r="AC11" i="7"/>
  <c r="AG11" i="7"/>
  <c r="AH11" i="7"/>
  <c r="AI11" i="7"/>
  <c r="AJ11" i="7"/>
  <c r="AD12" i="7"/>
  <c r="AC12" i="7"/>
  <c r="AG12" i="7"/>
  <c r="AH12" i="7"/>
  <c r="AI12" i="7"/>
  <c r="AJ12" i="7"/>
  <c r="AK12" i="7"/>
  <c r="AL13" i="7"/>
  <c r="AL14" i="7"/>
  <c r="AM14" i="7"/>
  <c r="AL15" i="7"/>
  <c r="AM15" i="7"/>
  <c r="AN15" i="7"/>
  <c r="AL16" i="7"/>
  <c r="AM16" i="7"/>
  <c r="AN16" i="7"/>
  <c r="AO16" i="7"/>
  <c r="AL17" i="7"/>
  <c r="AM17" i="7"/>
  <c r="AN17" i="7"/>
  <c r="AO17" i="7"/>
  <c r="AP17" i="7"/>
  <c r="AS8" i="7" a="1"/>
  <c r="BB14" i="7"/>
  <c r="G7" i="13"/>
  <c r="AZ10" i="7"/>
  <c r="BB8" i="7"/>
  <c r="BB15" i="7"/>
  <c r="G8" i="13"/>
  <c r="AW8" i="7"/>
  <c r="AS15" i="7"/>
  <c r="AW13" i="7"/>
  <c r="BB13" i="7"/>
  <c r="G6" i="13"/>
  <c r="AZ14" i="7"/>
  <c r="E7" i="13"/>
  <c r="BB12" i="7"/>
  <c r="AZ13" i="7"/>
  <c r="E6" i="13"/>
  <c r="AX12" i="7"/>
  <c r="AV16" i="7"/>
  <c r="BA11" i="7"/>
  <c r="AS17" i="7"/>
  <c r="AU16" i="7"/>
  <c r="AW11" i="7"/>
  <c r="AV11" i="7"/>
  <c r="AU13" i="7"/>
  <c r="AU12" i="7"/>
  <c r="AU9" i="7"/>
  <c r="AT13" i="7"/>
  <c r="AU8" i="7"/>
  <c r="AY16" i="7"/>
  <c r="D9" i="13"/>
  <c r="AX8" i="7"/>
  <c r="AX14" i="7"/>
  <c r="C7" i="13"/>
  <c r="AV10" i="7"/>
  <c r="AS8" i="7"/>
  <c r="AY13" i="7"/>
  <c r="D6" i="13"/>
  <c r="AS14" i="7"/>
  <c r="AS13" i="7"/>
  <c r="AV17" i="7"/>
  <c r="AW12" i="7"/>
  <c r="AW17" i="7"/>
  <c r="AU17" i="7"/>
  <c r="AU14" i="7"/>
  <c r="BB10" i="7"/>
  <c r="BA9" i="7"/>
  <c r="AY8" i="7"/>
  <c r="AY10" i="7"/>
  <c r="AZ15" i="7"/>
  <c r="E8" i="13"/>
  <c r="BB9" i="7"/>
  <c r="BA17" i="7"/>
  <c r="F10" i="13"/>
  <c r="AT17" i="7"/>
  <c r="AW16" i="7"/>
  <c r="AX15" i="7"/>
  <c r="C8" i="13"/>
  <c r="AX9" i="7"/>
  <c r="AS16" i="7"/>
  <c r="AW15" i="7"/>
  <c r="BA14" i="7"/>
  <c r="F7" i="13"/>
  <c r="AT9" i="7"/>
  <c r="AX16" i="7"/>
  <c r="C9" i="13"/>
  <c r="AW14" i="7"/>
  <c r="AV15" i="7"/>
  <c r="AT15" i="7"/>
  <c r="AU15" i="7"/>
  <c r="AW10" i="7"/>
  <c r="AV9" i="7"/>
  <c r="AV12" i="7"/>
  <c r="BB16" i="7"/>
  <c r="G9" i="13"/>
  <c r="AV8" i="7"/>
  <c r="AS12" i="7"/>
  <c r="AZ12" i="7"/>
  <c r="BA13" i="7"/>
  <c r="F6" i="13"/>
  <c r="AT14" i="7"/>
  <c r="BA12" i="7"/>
  <c r="AZ9" i="7"/>
  <c r="AX13" i="7"/>
  <c r="C6" i="13"/>
  <c r="AY12" i="7"/>
  <c r="AY11" i="7"/>
  <c r="AT8" i="7"/>
  <c r="BB17" i="7"/>
  <c r="G10" i="13"/>
  <c r="AY17" i="7"/>
  <c r="D10" i="13"/>
  <c r="AY14" i="7"/>
  <c r="D7" i="13"/>
  <c r="AZ8" i="7"/>
  <c r="AY15" i="7"/>
  <c r="D8" i="13"/>
  <c r="AT16" i="7"/>
  <c r="BA10" i="7"/>
  <c r="AV13" i="7"/>
  <c r="AU10" i="7"/>
  <c r="AV14" i="7"/>
  <c r="AZ11" i="7"/>
  <c r="AT12" i="7"/>
  <c r="BA8" i="7"/>
  <c r="AS11" i="7"/>
  <c r="AU11" i="7"/>
  <c r="AZ17" i="7"/>
  <c r="E10" i="13"/>
  <c r="AT10" i="7"/>
  <c r="AX10" i="7"/>
  <c r="BB11" i="7"/>
  <c r="AY9" i="7"/>
  <c r="AS10" i="7"/>
  <c r="AX17" i="7"/>
  <c r="C10" i="13"/>
  <c r="AZ16" i="7"/>
  <c r="E9" i="13"/>
  <c r="BA15" i="7"/>
  <c r="F8" i="13"/>
  <c r="AX11" i="7"/>
  <c r="AT31" i="7"/>
  <c r="BH31" i="7"/>
  <c r="BI31" i="7"/>
  <c r="BA16" i="7"/>
  <c r="F9" i="13"/>
  <c r="AW9" i="7"/>
  <c r="AS9" i="7"/>
  <c r="AT11" i="7"/>
  <c r="AT30" i="7"/>
  <c r="BE30" i="7"/>
  <c r="BF30" i="7"/>
  <c r="BH30" i="7"/>
  <c r="BI30" i="7"/>
  <c r="Y11" i="7"/>
  <c r="E19" i="13"/>
  <c r="E20" i="13"/>
  <c r="Y15" i="7"/>
  <c r="Y12" i="7"/>
  <c r="D23" i="13"/>
  <c r="E21" i="13"/>
  <c r="D18" i="13"/>
  <c r="Y10" i="7"/>
  <c r="D20" i="13"/>
  <c r="Y9" i="7"/>
  <c r="BH27" i="7"/>
  <c r="BI27" i="7"/>
  <c r="Y16" i="7"/>
  <c r="D19" i="13"/>
  <c r="G21" i="13"/>
  <c r="D21" i="13"/>
  <c r="Y14" i="7"/>
  <c r="C18" i="13"/>
  <c r="Y13" i="7"/>
  <c r="C21" i="13"/>
  <c r="C17" i="13"/>
  <c r="C23" i="13"/>
  <c r="Y17" i="7"/>
  <c r="Y8" i="7"/>
  <c r="C19" i="13"/>
  <c r="F21" i="13"/>
  <c r="BH29" i="7"/>
  <c r="BI29" i="7"/>
  <c r="F20" i="13"/>
  <c r="E23" i="13"/>
  <c r="G23" i="13"/>
  <c r="BE24" i="7"/>
  <c r="BF24" i="7"/>
  <c r="BH24" i="7"/>
  <c r="BI24" i="7"/>
  <c r="BE26" i="7"/>
  <c r="BF26" i="7"/>
  <c r="BH26" i="7"/>
  <c r="BI26" i="7"/>
  <c r="BE23" i="7"/>
  <c r="BF23" i="7"/>
  <c r="AT29" i="7"/>
  <c r="BE28" i="7"/>
  <c r="BF28" i="7"/>
  <c r="BH28" i="7"/>
  <c r="BI28" i="7"/>
  <c r="AT27" i="7"/>
  <c r="C20" i="13"/>
  <c r="AT25" i="7"/>
  <c r="AT26" i="7"/>
  <c r="AT28" i="7"/>
  <c r="AT24" i="7"/>
  <c r="BH25" i="7"/>
  <c r="BI25" i="7"/>
  <c r="AT23" i="7"/>
  <c r="F23" i="13"/>
  <c r="J28" i="14"/>
  <c r="J46" i="14"/>
  <c r="I28" i="14"/>
  <c r="I46" i="14"/>
  <c r="H28" i="14"/>
  <c r="H46" i="14"/>
  <c r="J32" i="14"/>
  <c r="J30" i="14"/>
  <c r="J29" i="14"/>
  <c r="H32" i="14"/>
  <c r="G34" i="16"/>
  <c r="H30" i="14"/>
  <c r="G32" i="16"/>
  <c r="H29" i="14"/>
  <c r="G31" i="16"/>
  <c r="G30" i="16"/>
  <c r="H27" i="14"/>
  <c r="G29" i="16"/>
  <c r="H26" i="14"/>
  <c r="G28" i="16"/>
  <c r="L32" i="14"/>
  <c r="J34" i="16"/>
  <c r="L31" i="14"/>
  <c r="J33" i="16"/>
  <c r="L30" i="14"/>
  <c r="J32" i="16"/>
  <c r="I32" i="14"/>
  <c r="H34" i="16"/>
  <c r="I30" i="14"/>
  <c r="H32" i="16"/>
  <c r="I29" i="14"/>
  <c r="H31" i="16"/>
  <c r="H30" i="16"/>
  <c r="I27" i="14"/>
  <c r="H29" i="16"/>
  <c r="K32" i="14"/>
  <c r="I34" i="16"/>
  <c r="K30" i="14"/>
  <c r="I32" i="16"/>
  <c r="K29" i="14"/>
  <c r="I31" i="16"/>
  <c r="I30" i="16"/>
  <c r="G22" i="13"/>
  <c r="V8" i="7" a="1"/>
  <c r="V12" i="7"/>
  <c r="V11" i="7"/>
  <c r="V10" i="7"/>
  <c r="V9" i="7"/>
  <c r="V8" i="7"/>
  <c r="F27" i="14"/>
  <c r="E29" i="16"/>
  <c r="F28" i="14"/>
  <c r="E28" i="14"/>
  <c r="E30" i="16"/>
  <c r="F29" i="14"/>
  <c r="E29" i="14"/>
  <c r="E31" i="16"/>
  <c r="F30" i="14"/>
  <c r="E30" i="14"/>
  <c r="E32" i="16"/>
  <c r="F31" i="14"/>
  <c r="E31" i="14"/>
  <c r="E33" i="16"/>
  <c r="F32" i="14"/>
  <c r="E32" i="14"/>
  <c r="E34" i="16"/>
  <c r="D27" i="14"/>
  <c r="D29" i="16"/>
  <c r="D28" i="14"/>
  <c r="D30" i="16"/>
  <c r="D29" i="14"/>
  <c r="D31" i="16"/>
  <c r="D30" i="14"/>
  <c r="D32" i="16"/>
  <c r="D31" i="14"/>
  <c r="D33" i="16"/>
  <c r="D32" i="14"/>
  <c r="D34" i="16"/>
  <c r="G27" i="14"/>
  <c r="F29" i="16"/>
  <c r="G28" i="14"/>
  <c r="F30" i="16"/>
  <c r="G29" i="14"/>
  <c r="F31" i="16"/>
  <c r="G30" i="14"/>
  <c r="F32" i="16"/>
  <c r="G31" i="14"/>
  <c r="F33" i="16"/>
  <c r="G32" i="14"/>
  <c r="F34" i="16"/>
  <c r="C27" i="14"/>
  <c r="C29" i="16"/>
  <c r="C28" i="14"/>
  <c r="C30" i="16"/>
  <c r="C29" i="14"/>
  <c r="C31" i="16"/>
  <c r="C30" i="14"/>
  <c r="C32" i="16"/>
  <c r="C31" i="14"/>
  <c r="C33" i="16"/>
  <c r="C32" i="14"/>
  <c r="C34" i="16"/>
  <c r="C26" i="14"/>
  <c r="Y32" i="14"/>
  <c r="AB32" i="14"/>
  <c r="Y31" i="14"/>
  <c r="AB31" i="14"/>
  <c r="G46" i="14"/>
  <c r="F46" i="14"/>
  <c r="C46" i="14"/>
  <c r="P36" i="14"/>
  <c r="O43" i="16"/>
  <c r="Q36" i="14"/>
  <c r="P43" i="16"/>
  <c r="R36" i="14"/>
  <c r="Q43" i="16"/>
  <c r="S36" i="14"/>
  <c r="R43" i="16"/>
  <c r="T36" i="14"/>
  <c r="S43" i="16"/>
  <c r="U36" i="14"/>
  <c r="T43" i="16"/>
  <c r="V36" i="14"/>
  <c r="U43" i="16"/>
  <c r="E46" i="14"/>
  <c r="D46" i="14"/>
  <c r="C28" i="16"/>
  <c r="O28" i="16" a="1"/>
  <c r="Y35" i="16"/>
  <c r="AB35" i="16"/>
  <c r="Y33" i="16"/>
  <c r="AB33" i="16"/>
  <c r="Q39" i="16"/>
  <c r="Q44" i="16"/>
  <c r="R39" i="16"/>
  <c r="R44" i="16"/>
  <c r="S39" i="16"/>
  <c r="S44" i="16"/>
  <c r="U39" i="16"/>
  <c r="U44" i="16"/>
  <c r="Y29" i="16"/>
  <c r="Y31" i="16"/>
  <c r="P39" i="16"/>
  <c r="P44" i="16"/>
  <c r="T39" i="16"/>
  <c r="T44" i="16"/>
  <c r="Y32" i="16"/>
  <c r="AB32" i="16"/>
  <c r="Y34" i="16"/>
  <c r="AB34" i="16"/>
  <c r="O28" i="16"/>
  <c r="Y30" i="16"/>
  <c r="O39" i="16"/>
  <c r="O44" i="16"/>
  <c r="Y28" i="16"/>
  <c r="Y38" i="16"/>
  <c r="Y28" i="14"/>
  <c r="AB28" i="14"/>
  <c r="Y29" i="14"/>
  <c r="AB29" i="14"/>
  <c r="Y25" i="14"/>
  <c r="Y24" i="14"/>
  <c r="Y30" i="14"/>
  <c r="AB30" i="14"/>
  <c r="Y26" i="14"/>
  <c r="Y27" i="14"/>
  <c r="Y23" i="14"/>
  <c r="Y35" i="14"/>
  <c r="V16" i="7"/>
  <c r="Z16" i="7"/>
  <c r="V14" i="7"/>
  <c r="Z14" i="7"/>
  <c r="V13" i="7"/>
  <c r="AZ25" i="7"/>
  <c r="BA25" i="7"/>
  <c r="V17" i="7"/>
  <c r="AZ33" i="7"/>
  <c r="BA33" i="7"/>
  <c r="AU29" i="7"/>
  <c r="AV29" i="7"/>
  <c r="Z12" i="7"/>
  <c r="AU31" i="7"/>
  <c r="AV31" i="7"/>
  <c r="Z8" i="7"/>
  <c r="V15" i="7"/>
  <c r="Z15" i="7"/>
  <c r="AU27" i="7"/>
  <c r="AV27" i="7"/>
  <c r="Z9" i="7"/>
  <c r="J23" i="13" a="1"/>
  <c r="K23" i="13"/>
  <c r="L23" i="13"/>
  <c r="N23" i="13"/>
  <c r="M23" i="13"/>
  <c r="J23" i="13"/>
  <c r="O23" i="13"/>
  <c r="J21" i="13" a="1"/>
  <c r="J21" i="13"/>
  <c r="M21" i="13"/>
  <c r="N21" i="13"/>
  <c r="K21" i="13"/>
  <c r="L21" i="13"/>
  <c r="O21" i="13"/>
  <c r="J22" i="13" a="1"/>
  <c r="J22" i="13"/>
  <c r="M22" i="13"/>
  <c r="N22" i="13"/>
  <c r="K22" i="13"/>
  <c r="L22" i="13"/>
  <c r="O22" i="13"/>
  <c r="J17" i="13" a="1"/>
  <c r="J17" i="13"/>
  <c r="K17" i="13"/>
  <c r="L17" i="13"/>
  <c r="N17" i="13"/>
  <c r="M17" i="13"/>
  <c r="O17" i="13"/>
  <c r="AZ31" i="7"/>
  <c r="BA31" i="7"/>
  <c r="Z13" i="7"/>
  <c r="Z10" i="7"/>
  <c r="Z17" i="7"/>
  <c r="AZ27" i="7"/>
  <c r="BA27" i="7"/>
  <c r="Z11" i="7"/>
  <c r="J19" i="13" a="1"/>
  <c r="M19" i="13"/>
  <c r="K19" i="13"/>
  <c r="N19" i="13"/>
  <c r="J19" i="13"/>
  <c r="L19" i="13"/>
  <c r="O19" i="13"/>
  <c r="AU33" i="7"/>
  <c r="AV33" i="7"/>
  <c r="AU25" i="7"/>
  <c r="AV25" i="7"/>
  <c r="J20" i="13" a="1"/>
  <c r="N20" i="13"/>
  <c r="J20" i="13"/>
  <c r="M20" i="13"/>
  <c r="L20" i="13"/>
  <c r="K20" i="13"/>
  <c r="O20" i="13"/>
  <c r="J18" i="13" a="1"/>
  <c r="M18" i="13"/>
  <c r="L18" i="13"/>
  <c r="N18" i="13"/>
  <c r="J18" i="13"/>
  <c r="K18" i="13"/>
  <c r="O18" i="13"/>
  <c r="AZ29" i="7"/>
  <c r="BA29" i="7"/>
  <c r="Z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<sst xmlns="http://schemas.openxmlformats.org/spreadsheetml/2006/main" count="860" uniqueCount="436">
  <si>
    <t>… Curve</t>
  </si>
  <si>
    <t>… Swap</t>
  </si>
  <si>
    <t>... Solver Formula</t>
  </si>
  <si>
    <t>USD3ML Curve Market Data</t>
  </si>
  <si>
    <t>OIS Curve Results</t>
  </si>
  <si>
    <t>Newton-Rapshon Formula</t>
  </si>
  <si>
    <r>
      <t>Initial Guess, X</t>
    </r>
    <r>
      <rPr>
        <vertAlign val="subscript"/>
        <sz val="11"/>
        <color theme="1"/>
        <rFont val="Calibri"/>
        <family val="2"/>
        <scheme val="minor"/>
      </rPr>
      <t>0</t>
    </r>
  </si>
  <si>
    <t>Par Rates, p</t>
  </si>
  <si>
    <r>
      <t>Discount Factors, P(t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</si>
  <si>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 Curve Par Rate Quotes</t>
  </si>
  <si>
    <t>Bloomberg USD 5Y Par Swap</t>
  </si>
  <si>
    <t>https://slideplayer.com/slide/5302065/</t>
  </si>
  <si>
    <t>1Y</t>
  </si>
  <si>
    <t>2Y</t>
  </si>
  <si>
    <t>3Y</t>
  </si>
  <si>
    <r>
      <t xml:space="preserve">where 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{ L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 </t>
    </r>
  </si>
  <si>
    <t>4Y</t>
  </si>
  <si>
    <r>
      <t>and f(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) = {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</t>
    </r>
  </si>
  <si>
    <t>Usefulness of Jacobian, J</t>
  </si>
  <si>
    <t>5Y</t>
  </si>
  <si>
    <t>Derivative Matrices</t>
  </si>
  <si>
    <r>
      <rPr>
        <sz val="14"/>
        <color rgb="FF0000FF"/>
        <rFont val="Calibri"/>
        <family val="2"/>
        <scheme val="minor"/>
      </rPr>
      <t xml:space="preserve">1.   </t>
    </r>
    <r>
      <rPr>
        <u/>
        <sz val="14"/>
        <color rgb="FF0000FF"/>
        <rFont val="Calibri"/>
        <family val="2"/>
        <scheme val="minor"/>
      </rPr>
      <t>Analytical Risk</t>
    </r>
  </si>
  <si>
    <r>
      <t>J = 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 = dp/dL</t>
    </r>
  </si>
  <si>
    <t>PV01 = Shift Size . J . Annuity</t>
  </si>
  <si>
    <t>Multi-Dimension Newton-Raphson</t>
  </si>
  <si>
    <r>
      <t>L</t>
    </r>
    <r>
      <rPr>
        <vertAlign val="subscript"/>
        <sz val="11"/>
        <color theme="1"/>
        <rFont val="Calibri"/>
        <family val="2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</si>
  <si>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scheme val="minor"/>
      </rPr>
      <t>2</t>
    </r>
  </si>
  <si>
    <r>
      <t>L</t>
    </r>
    <r>
      <rPr>
        <vertAlign val="subscript"/>
        <sz val="11"/>
        <color theme="1"/>
        <rFont val="Calibri"/>
        <family val="2"/>
        <scheme val="minor"/>
      </rPr>
      <t>3</t>
    </r>
  </si>
  <si>
    <r>
      <t>L</t>
    </r>
    <r>
      <rPr>
        <vertAlign val="subscript"/>
        <sz val="11"/>
        <color theme="1"/>
        <rFont val="Calibri"/>
        <family val="2"/>
        <scheme val="minor"/>
      </rPr>
      <t>4</t>
    </r>
  </si>
  <si>
    <r>
      <t>L</t>
    </r>
    <r>
      <rPr>
        <vertAlign val="subscript"/>
        <sz val="11"/>
        <color theme="1"/>
        <rFont val="Calibri"/>
        <family val="2"/>
        <scheme val="minor"/>
      </rPr>
      <t>5</t>
    </r>
  </si>
  <si>
    <t>Tenor</t>
  </si>
  <si>
    <t>ShiftSize</t>
  </si>
  <si>
    <t>dP</t>
  </si>
  <si>
    <t>Annuity</t>
  </si>
  <si>
    <t>PV01 *</t>
  </si>
  <si>
    <t>Iteration, n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</si>
  <si>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</si>
  <si>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</si>
  <si>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</si>
  <si>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Convergence Check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</si>
  <si>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</si>
  <si>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2</t>
    </r>
  </si>
  <si>
    <r>
      <t>f</t>
    </r>
    <r>
      <rPr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</si>
  <si>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</si>
  <si>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vertAlign val="subscript"/>
        <sz val="11"/>
        <color theme="1"/>
        <rFont val="Calibri"/>
        <family val="2"/>
        <scheme val="minor"/>
      </rPr>
      <t>5</t>
    </r>
  </si>
  <si>
    <t>* PV01 = PV Change for 1 Basis Point Libor Rate Change</t>
  </si>
  <si>
    <r>
      <rPr>
        <sz val="14"/>
        <color rgb="FF0000FF"/>
        <rFont val="Calibri"/>
        <family val="2"/>
        <scheme val="minor"/>
      </rPr>
      <t xml:space="preserve">2.   </t>
    </r>
    <r>
      <rPr>
        <u/>
        <sz val="14"/>
        <color rgb="FF0000FF"/>
        <rFont val="Calibri"/>
        <family val="2"/>
        <scheme val="minor"/>
      </rPr>
      <t>Ultra-Fast Yield Curves</t>
    </r>
  </si>
  <si>
    <r>
      <t>Inverse J  =  Inverse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</si>
  <si>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L</t>
    </r>
    <r>
      <rPr>
        <i/>
        <vertAlign val="subscript"/>
        <sz val="14"/>
        <color rgb="FF0000FF"/>
        <rFont val="Calibri"/>
        <family val="2"/>
        <scheme val="minor"/>
      </rPr>
      <t>NEW</t>
    </r>
    <r>
      <rPr>
        <i/>
        <sz val="14"/>
        <color rgb="FF0000FF"/>
        <rFont val="Calibri"/>
        <family val="2"/>
        <scheme val="minor"/>
      </rPr>
      <t xml:space="preserve"> = L</t>
    </r>
    <r>
      <rPr>
        <i/>
        <vertAlign val="subscript"/>
        <sz val="14"/>
        <color rgb="FF0000FF"/>
        <rFont val="Calibri"/>
        <family val="2"/>
        <scheme val="minor"/>
      </rPr>
      <t>OLD</t>
    </r>
    <r>
      <rPr>
        <i/>
        <sz val="14"/>
        <color rgb="FF0000FF"/>
        <rFont val="Calibri"/>
        <family val="2"/>
        <scheme val="minor"/>
      </rPr>
      <t xml:space="preserve"> + Mkt Data Chg . J</t>
    </r>
    <r>
      <rPr>
        <i/>
        <vertAlign val="subscript"/>
        <sz val="14"/>
        <color rgb="FF0000FF"/>
        <rFont val="Calibri"/>
        <family val="2"/>
        <scheme val="minor"/>
      </rPr>
      <t>OLD</t>
    </r>
  </si>
  <si>
    <t>Original Libor Rate</t>
  </si>
  <si>
    <t>Change in Mkt Data</t>
  </si>
  <si>
    <t>New
Libor Rate</t>
  </si>
  <si>
    <t>+/-</t>
  </si>
  <si>
    <t>Converged to Solution</t>
  </si>
  <si>
    <t>Fixed Cashflows</t>
  </si>
  <si>
    <t>Floating Cashflows</t>
  </si>
  <si>
    <t>10Y</t>
  </si>
  <si>
    <t>20Y</t>
  </si>
  <si>
    <t>30Y</t>
  </si>
  <si>
    <t>Epsilon</t>
  </si>
  <si>
    <t>Term</t>
  </si>
  <si>
    <t>DiscFact</t>
  </si>
  <si>
    <t>O/N</t>
  </si>
  <si>
    <t>ParRate, p</t>
  </si>
  <si>
    <t>3M</t>
  </si>
  <si>
    <t>USD3ML</t>
  </si>
  <si>
    <t>USD OIS Market Data</t>
  </si>
  <si>
    <t>USD 3ML Market Data</t>
  </si>
  <si>
    <t>Curve</t>
  </si>
  <si>
    <t>USDOIS</t>
  </si>
  <si>
    <t>DiscFactor</t>
  </si>
  <si>
    <t>ForwardRate</t>
  </si>
  <si>
    <t>Iteration Results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</si>
  <si>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</si>
  <si>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</si>
  <si>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</si>
  <si>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</si>
  <si>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</si>
  <si>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</si>
  <si>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</si>
  <si>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</si>
  <si>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</si>
  <si>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</si>
  <si>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</si>
  <si>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Tolerance</t>
  </si>
  <si>
    <t>Initial Guess</t>
  </si>
  <si>
    <t>RMSE</t>
  </si>
  <si>
    <t>Multi-Dimensional Newton-Raphson Algorithm</t>
  </si>
  <si>
    <t>y</t>
  </si>
  <si>
    <t>x</t>
  </si>
  <si>
    <t>Vandermonde Matrix</t>
  </si>
  <si>
    <t>x^2</t>
  </si>
  <si>
    <t>Polynomial Coefficients</t>
  </si>
  <si>
    <t>Beta</t>
  </si>
  <si>
    <t>Polynomial Regression</t>
  </si>
  <si>
    <r>
      <t>USDOIS, X</t>
    </r>
    <r>
      <rPr>
        <vertAlign val="subscript"/>
        <sz val="11"/>
        <color theme="1"/>
        <rFont val="Calibri"/>
        <family val="2"/>
        <scheme val="minor"/>
      </rPr>
      <t>n</t>
    </r>
  </si>
  <si>
    <r>
      <t>USD3ML, X</t>
    </r>
    <r>
      <rPr>
        <vertAlign val="subscript"/>
        <sz val="11"/>
        <color theme="1"/>
        <rFont val="Calibri"/>
        <family val="2"/>
        <scheme val="minor"/>
      </rPr>
      <t>n</t>
    </r>
  </si>
  <si>
    <t>x^3</t>
  </si>
  <si>
    <t>x^4</t>
  </si>
  <si>
    <t>x^5</t>
  </si>
  <si>
    <t>Integrand Coefficients</t>
  </si>
  <si>
    <t>I</t>
  </si>
  <si>
    <t>Forward Rates Table</t>
  </si>
  <si>
    <t>Check</t>
  </si>
  <si>
    <t>Integrand</t>
  </si>
  <si>
    <t>USDOIS Discount Factors</t>
  </si>
  <si>
    <t>Integrate USDOIS Forward Polynomial</t>
  </si>
  <si>
    <t>ShowIterations</t>
  </si>
  <si>
    <t>Time, t</t>
  </si>
  <si>
    <t>INSTRUCTIONS</t>
  </si>
  <si>
    <t>OVERVIEW</t>
  </si>
  <si>
    <t>where</t>
  </si>
  <si>
    <t>For a given forward rate we imply discount factors by integrating over u from t to T,</t>
  </si>
  <si>
    <t>Finally we integrate f(u) by assuming all forward rates fit a well-defined polynomial</t>
  </si>
  <si>
    <t>We globally solve for USD discount factors &amp; forward rates using the multi-dimensional</t>
  </si>
  <si>
    <t>Newton-Raphson formula,</t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</si>
  <si>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</si>
  <si>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</si>
  <si>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</si>
  <si>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</si>
  <si>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</si>
  <si>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</si>
  <si>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</si>
  <si>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</si>
  <si>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3. All calculations are performed on this Excel sheet, the macro only copies interation results</t>
  </si>
  <si>
    <t>ASSUMPTIONS</t>
  </si>
  <si>
    <t>1. We assume all swaps have annualized coupons</t>
  </si>
  <si>
    <t>2. There are no holidays and that all year fractions are based on a regular 30/360 daycount basis</t>
  </si>
  <si>
    <t>For simplicity and brevity we assume,</t>
  </si>
  <si>
    <t>3. We assume OIS Swaps are determined by a single fixing in-advance for simplicity. In practise</t>
  </si>
  <si>
    <t>which are set In-Arrears.</t>
  </si>
  <si>
    <t>hower OIS Swap effective forward rates comprise of averaged or compounded daily fixing rates,</t>
  </si>
  <si>
    <t>USD OIS Discount Factors</t>
  </si>
  <si>
    <t>USD 3ML Forward Rates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</si>
  <si>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= (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X )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Y</t>
    </r>
  </si>
  <si>
    <r>
      <t xml:space="preserve">Beta, </t>
    </r>
    <r>
      <rPr>
        <sz val="11"/>
        <color theme="1"/>
        <rFont val="Symbol"/>
        <family val="1"/>
        <charset val="2"/>
      </rPr>
      <t>b</t>
    </r>
  </si>
  <si>
    <t>Iteration: 4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</si>
  <si>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</si>
  <si>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</si>
  <si>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</si>
  <si>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</si>
  <si>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</si>
  <si>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</si>
  <si>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</si>
  <si>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</si>
  <si>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</si>
  <si>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</si>
  <si>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t>Jacobian, dParRate/dLibor (dp/dL)</t>
  </si>
  <si>
    <t>p = PV(Float Leg)/Annuity(Fixed Leg)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</si>
  <si>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</si>
  <si>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AsOfDate</t>
  </si>
  <si>
    <t>Swap Market Conventions</t>
  </si>
  <si>
    <t>Convention</t>
  </si>
  <si>
    <t>USD</t>
  </si>
  <si>
    <t>Fixed Leg</t>
  </si>
  <si>
    <t>Frequency</t>
  </si>
  <si>
    <t>SEMI-ANNUAL</t>
  </si>
  <si>
    <t>Daycount</t>
  </si>
  <si>
    <t>30/360</t>
  </si>
  <si>
    <t>Float Leg</t>
  </si>
  <si>
    <t>QUARTERLY</t>
  </si>
  <si>
    <t>Act/360</t>
  </si>
  <si>
    <t>Row</t>
  </si>
  <si>
    <t>Refresh</t>
  </si>
  <si>
    <t>Swap Trade Details</t>
  </si>
  <si>
    <t>Payer/Receiver</t>
  </si>
  <si>
    <t>Accrual Start</t>
  </si>
  <si>
    <t>Accrual End</t>
  </si>
  <si>
    <t>Pay Date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</si>
  <si>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</si>
  <si>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</si>
  <si>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</si>
  <si>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</si>
  <si>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</si>
  <si>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</si>
  <si>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</si>
  <si>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</si>
  <si>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</si>
  <si>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</si>
  <si>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</si>
  <si>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</si>
  <si>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</si>
  <si>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</si>
  <si>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t>Currency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</si>
  <si>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</si>
  <si>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</si>
  <si>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</si>
  <si>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</si>
  <si>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</si>
  <si>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</si>
  <si>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Approximate</t>
  </si>
  <si>
    <t>Swap Pricing</t>
  </si>
  <si>
    <t>Swap PV</t>
  </si>
  <si>
    <t>Fixed Leg PV</t>
  </si>
  <si>
    <t>Float Leg PV</t>
  </si>
  <si>
    <t>Par Rate</t>
  </si>
  <si>
    <t>Swap Risk</t>
  </si>
  <si>
    <t>PV01</t>
  </si>
  <si>
    <t>Numerical DV01</t>
  </si>
  <si>
    <t>Analytical DV01</t>
  </si>
  <si>
    <t>Yield Curves</t>
  </si>
  <si>
    <t>Forecast Curve</t>
  </si>
  <si>
    <t>Discount Curve</t>
  </si>
  <si>
    <t>Set DiscFact=1</t>
  </si>
  <si>
    <t>Swap Conventions</t>
  </si>
  <si>
    <t>Pay / Receive Indicator</t>
  </si>
  <si>
    <r>
      <t xml:space="preserve">Phi, </t>
    </r>
    <r>
      <rPr>
        <sz val="11"/>
        <rFont val="Symbol"/>
        <family val="1"/>
        <charset val="2"/>
      </rPr>
      <t>f</t>
    </r>
  </si>
  <si>
    <t>Use Market Standard Conventions</t>
  </si>
  <si>
    <t>Override Mkt Freq</t>
  </si>
  <si>
    <t>Market Freq</t>
  </si>
  <si>
    <t>Selected Freq</t>
  </si>
  <si>
    <t>Accrual Period</t>
  </si>
  <si>
    <t>Swap Pricing &amp; Risk Calculations</t>
  </si>
  <si>
    <t>Spread PV</t>
  </si>
  <si>
    <t>Total PV</t>
  </si>
  <si>
    <t>Par Rate, p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</si>
  <si>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</si>
  <si>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</si>
  <si>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</si>
  <si>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</si>
  <si>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</si>
  <si>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Analytical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</si>
  <si>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</si>
  <si>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</si>
  <si>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DV01</t>
  </si>
  <si>
    <t>Numerical Risk</t>
  </si>
  <si>
    <t>Apply Risk Bump</t>
  </si>
  <si>
    <t>PV No Bump</t>
  </si>
  <si>
    <t>PV With Bump</t>
  </si>
  <si>
    <t>ZeroRate</t>
  </si>
  <si>
    <t>Discount Factor Table</t>
  </si>
  <si>
    <t>* Down-Shift by 1 bps</t>
  </si>
  <si>
    <t>BumpedDF*</t>
  </si>
  <si>
    <t>Total</t>
  </si>
  <si>
    <t>Swap Jacobian, dS/dL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</si>
  <si>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</si>
  <si>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</si>
  <si>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</si>
  <si>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</si>
  <si>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</si>
  <si>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</si>
  <si>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</si>
  <si>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</si>
  <si>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</si>
  <si>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</si>
  <si>
    <t>PAYER</t>
  </si>
  <si>
    <t>Risk, dS/dP = dS/dL x dL/dP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</si>
  <si>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</si>
  <si>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</si>
  <si>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</si>
  <si>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</si>
  <si>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</si>
  <si>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dS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</si>
  <si>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</si>
  <si>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</si>
  <si>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</si>
  <si>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</si>
  <si>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t>Shift Size, dP</t>
  </si>
  <si>
    <r>
      <t>dS</t>
    </r>
    <r>
      <rPr>
        <vertAlign val="subscript"/>
        <sz val="11"/>
        <color theme="1"/>
        <rFont val="Calibri"/>
        <family val="2"/>
        <scheme val="minor"/>
      </rPr>
      <t>4.5Y</t>
    </r>
    <r>
      <rPr>
        <vertAlign val="superscript"/>
        <sz val="11"/>
        <color theme="1"/>
        <rFont val="Calibri"/>
        <family val="2"/>
        <scheme val="minor"/>
      </rPr>
      <t>IRS</t>
    </r>
  </si>
  <si>
    <t>Shift, Bps</t>
  </si>
  <si>
    <r>
      <t>dS</t>
    </r>
    <r>
      <rPr>
        <vertAlign val="subscript"/>
        <sz val="11"/>
        <color theme="1"/>
        <rFont val="Calibri"/>
        <family val="2"/>
        <scheme val="minor"/>
      </rPr>
      <t>4Y,5Y</t>
    </r>
    <r>
      <rPr>
        <vertAlign val="superscript"/>
        <sz val="11"/>
        <color theme="1"/>
        <rFont val="Calibri"/>
        <family val="2"/>
        <scheme val="minor"/>
      </rPr>
      <t>IRS</t>
    </r>
  </si>
  <si>
    <t>*</t>
  </si>
  <si>
    <t>**</t>
  </si>
  <si>
    <t>IRS(1Y)</t>
  </si>
  <si>
    <t>IRS(2Y)</t>
  </si>
  <si>
    <t>IRS(3Y)</t>
  </si>
  <si>
    <t>IRS(4Y)</t>
  </si>
  <si>
    <t>IRS(5Y)</t>
  </si>
  <si>
    <t>IRS(4.5Y)</t>
  </si>
  <si>
    <t>Forward IRS(4Y,5Y)</t>
  </si>
  <si>
    <t>Shift, %</t>
  </si>
  <si>
    <t>Show Fixed</t>
  </si>
  <si>
    <t>Show Float</t>
  </si>
  <si>
    <t>Change in swap value per unit change in market par rates</t>
  </si>
  <si>
    <t>Change in swap value per unit change in Libor Rate</t>
  </si>
  <si>
    <t>Change in Libor rate per unit change in market par rates</t>
  </si>
  <si>
    <t>Change in market par rates</t>
  </si>
  <si>
    <t>… Instructions</t>
  </si>
  <si>
    <t>Inverse Jacobian, dLibor/dParRate (dL/dp)</t>
  </si>
  <si>
    <t>HOW DOES THIS SHEET WORK?</t>
  </si>
  <si>
    <t>First we set-up a Newton-Raphson problem and provide an initial guess</t>
  </si>
  <si>
    <t>With the forwards and discount factors we calculate the Jacobian and it's inverse</t>
  </si>
  <si>
    <t xml:space="preserve">Step 1. </t>
  </si>
  <si>
    <t xml:space="preserve">Step 4. </t>
  </si>
  <si>
    <t>The difference between the model implied par rates and the market  par rates, we want this to converge to zero</t>
  </si>
  <si>
    <t>Step 2.</t>
  </si>
  <si>
    <t>Step 5.</t>
  </si>
  <si>
    <t>We integrate the forward curve polynomial and compute the corresponding discount factors</t>
  </si>
  <si>
    <t>Step 1</t>
  </si>
  <si>
    <t>Step2</t>
  </si>
  <si>
    <t>Step 3a</t>
  </si>
  <si>
    <t>Step 3b</t>
  </si>
  <si>
    <t>Step 4a</t>
  </si>
  <si>
    <t>Step 4b</t>
  </si>
  <si>
    <t>1. Enter your initial guess for the USDOIS and USD3ML forward rates in the yellow cells X8:X18</t>
  </si>
  <si>
    <t>2. Enter the solver precission in cell X4</t>
  </si>
  <si>
    <t>4. To see the intermediate results for each iteration, select TRUE in cell AB20</t>
  </si>
  <si>
    <t>5. USDOIS and USD3ML forward rate results are displayed in blue in cells V8:V18</t>
  </si>
  <si>
    <t>6. USDOIS discount factor results are displayed in blue in cells AC8:AC12</t>
  </si>
  <si>
    <t>7. For comparison live market data par rates, discount factors and forwards are shown in cells M4:Q18</t>
  </si>
  <si>
    <r>
      <t xml:space="preserve">We fit a polynomial to the initial forward rates and solve for the polynomial coefficents, </t>
    </r>
    <r>
      <rPr>
        <sz val="11"/>
        <color theme="1"/>
        <rFont val="Calibri"/>
        <family val="2"/>
      </rPr>
      <t>β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</si>
  <si>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 xml:space="preserve"> = (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X 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Y</t>
    </r>
  </si>
  <si>
    <r>
      <t>We search for the forward rates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that solves our target function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</si>
  <si>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t>We update the Newton-Raphson guess and repeat</t>
  </si>
  <si>
    <t xml:space="preserve">Step 3. </t>
  </si>
  <si>
    <t>-</t>
  </si>
  <si>
    <t>Risk Total</t>
  </si>
  <si>
    <t>Trade</t>
  </si>
  <si>
    <t>OIS 1Y</t>
  </si>
  <si>
    <t>OIS 2Y</t>
  </si>
  <si>
    <t>OIS 3Y</t>
  </si>
  <si>
    <t>OIS 4Y</t>
  </si>
  <si>
    <t>OIS 5Y</t>
  </si>
  <si>
    <t>IRS 1Y</t>
  </si>
  <si>
    <t>IRS 2Y</t>
  </si>
  <si>
    <t>IRS 3Y</t>
  </si>
  <si>
    <t>IRS 4Y</t>
  </si>
  <si>
    <t>IRS 5Y</t>
  </si>
  <si>
    <t>IRS(4Y, 5Y)</t>
  </si>
  <si>
    <t>Total Trade DV01</t>
  </si>
  <si>
    <t>Forward and Discount Factor Risk</t>
  </si>
  <si>
    <t>Swap Jacobian (DV01)</t>
  </si>
  <si>
    <t>Original Curve Jacobian</t>
  </si>
  <si>
    <t>Original Inverse Jacobian</t>
  </si>
  <si>
    <t>Removed 3Y Risk Buckets</t>
  </si>
  <si>
    <t>Original</t>
  </si>
  <si>
    <t>Here we adjust Jacobians to eliminate the 3Y risk bucket. This is an example of how to modify the risk buckets so traders can hedge with instruments of their choice</t>
  </si>
  <si>
    <t>Jacobian Transformations - For Hedge Instrument Selection</t>
  </si>
  <si>
    <t>dP/dL with 3Y Risk Buckets Removed</t>
  </si>
  <si>
    <t>dL/dP with 3Y Risk Buckets Removed</t>
  </si>
  <si>
    <t>Inverse Curve Jacobian (DV01)</t>
  </si>
  <si>
    <t>Inverse Curve Jacobian, J = dL/dP</t>
  </si>
  <si>
    <t>Hedge Position</t>
  </si>
  <si>
    <r>
      <t>State Variable, X</t>
    </r>
    <r>
      <rPr>
        <i/>
        <vertAlign val="subscript"/>
        <sz val="11"/>
        <rFont val="Calibri"/>
        <family val="2"/>
        <scheme val="minor"/>
      </rPr>
      <t xml:space="preserve">n </t>
    </r>
    <r>
      <rPr>
        <i/>
        <sz val="11"/>
        <rFont val="Calibri"/>
        <family val="2"/>
        <scheme val="minor"/>
      </rPr>
      <t>:</t>
    </r>
  </si>
  <si>
    <r>
      <t>Target Function, f(X</t>
    </r>
    <r>
      <rPr>
        <i/>
        <vertAlign val="subscript"/>
        <sz val="11"/>
        <rFont val="Calibri"/>
        <family val="2"/>
        <scheme val="minor"/>
      </rPr>
      <t>n</t>
    </r>
    <r>
      <rPr>
        <i/>
        <sz val="11"/>
        <rFont val="Calibri"/>
        <family val="2"/>
        <scheme val="minor"/>
      </rPr>
      <t>) :</t>
    </r>
  </si>
  <si>
    <t>3. Press the "Update Solver" macro button to globally solve for forward rates</t>
  </si>
  <si>
    <t xml:space="preserve">   In effect the 3Y LIBOR becomes a linear function of 2Y and 4Y LIBOR</t>
  </si>
  <si>
    <r>
      <t xml:space="preserve">*     </t>
    </r>
    <r>
      <rPr>
        <sz val="11"/>
        <rFont val="Calibri"/>
        <family val="2"/>
        <scheme val="minor"/>
      </rPr>
      <t>Forward Starting Swap: Start 4Y, End 5Y, Equivalent to Long 5Y + Short 4Y</t>
    </r>
  </si>
  <si>
    <r>
      <t xml:space="preserve">**   </t>
    </r>
    <r>
      <rPr>
        <sz val="11"/>
        <rFont val="Calibri"/>
        <family val="2"/>
        <scheme val="minor"/>
      </rPr>
      <t>4.5Y IRS Carries 50% Risk of 4Y and 50% Risk of 5Y IRS</t>
    </r>
  </si>
  <si>
    <t>IRS 1Y #</t>
  </si>
  <si>
    <t>IRS 2Y #</t>
  </si>
  <si>
    <t>IRS 4Y #</t>
  </si>
  <si>
    <t>IRS 5Y #</t>
  </si>
  <si>
    <t>IRS 3Y #</t>
  </si>
  <si>
    <t>Hedge</t>
  </si>
  <si>
    <t>Calculated per instrument risk bucket</t>
  </si>
  <si>
    <t>Total DV01</t>
  </si>
  <si>
    <t>Rather than use all the original curve calibration instruments as risk buckets, some traders reduce the number of buckets to reduce hedging transaction costs</t>
  </si>
  <si>
    <t>3Y Par Swap Trade Jacobian (DV01)</t>
  </si>
  <si>
    <t>Risk Bucket</t>
  </si>
  <si>
    <t>Qty</t>
  </si>
  <si>
    <t>Change in Total Trade DV01</t>
  </si>
  <si>
    <t>Trade DV01</t>
  </si>
  <si>
    <t>OIS Curve Instruments</t>
  </si>
  <si>
    <t>Swap Curve Instruments</t>
  </si>
  <si>
    <t>OIS Rates (Discount Risk)</t>
  </si>
  <si>
    <t>LIBOR Rates (Forward Risk)</t>
  </si>
  <si>
    <t>Curve Jacobian</t>
  </si>
  <si>
    <t>Pricing Jacobian</t>
  </si>
  <si>
    <t>OIS and LIBOR Forward Rates</t>
  </si>
  <si>
    <r>
      <t>dP</t>
    </r>
    <r>
      <rPr>
        <vertAlign val="subscript"/>
        <sz val="16"/>
        <color theme="1"/>
        <rFont val="Arial Narrow"/>
        <family val="2"/>
      </rPr>
      <t>1Y</t>
    </r>
    <r>
      <rPr>
        <vertAlign val="superscript"/>
        <sz val="16"/>
        <color theme="1"/>
        <rFont val="Arial Narrow"/>
        <family val="2"/>
      </rPr>
      <t>OIS</t>
    </r>
  </si>
  <si>
    <r>
      <t>dP</t>
    </r>
    <r>
      <rPr>
        <vertAlign val="subscript"/>
        <sz val="16"/>
        <color theme="1"/>
        <rFont val="Arial Narrow"/>
        <family val="2"/>
      </rPr>
      <t>2Y</t>
    </r>
    <r>
      <rPr>
        <vertAlign val="superscript"/>
        <sz val="16"/>
        <color theme="1"/>
        <rFont val="Arial Narrow"/>
        <family val="2"/>
      </rPr>
      <t>OIS</t>
    </r>
  </si>
  <si>
    <r>
      <t>dP</t>
    </r>
    <r>
      <rPr>
        <vertAlign val="subscript"/>
        <sz val="16"/>
        <color theme="1"/>
        <rFont val="Arial Narrow"/>
        <family val="2"/>
      </rPr>
      <t>3Y</t>
    </r>
    <r>
      <rPr>
        <vertAlign val="superscript"/>
        <sz val="16"/>
        <color theme="1"/>
        <rFont val="Arial Narrow"/>
        <family val="2"/>
      </rPr>
      <t>OIS</t>
    </r>
  </si>
  <si>
    <r>
      <t>dP</t>
    </r>
    <r>
      <rPr>
        <vertAlign val="subscript"/>
        <sz val="16"/>
        <color theme="1"/>
        <rFont val="Arial Narrow"/>
        <family val="2"/>
      </rPr>
      <t>4Y</t>
    </r>
    <r>
      <rPr>
        <vertAlign val="superscript"/>
        <sz val="16"/>
        <color theme="1"/>
        <rFont val="Arial Narrow"/>
        <family val="2"/>
      </rPr>
      <t>OIS</t>
    </r>
  </si>
  <si>
    <r>
      <t>dP</t>
    </r>
    <r>
      <rPr>
        <vertAlign val="subscript"/>
        <sz val="16"/>
        <color theme="1"/>
        <rFont val="Arial Narrow"/>
        <family val="2"/>
      </rPr>
      <t>5Y</t>
    </r>
    <r>
      <rPr>
        <vertAlign val="superscript"/>
        <sz val="16"/>
        <color theme="1"/>
        <rFont val="Arial Narrow"/>
        <family val="2"/>
      </rPr>
      <t>OIS</t>
    </r>
  </si>
  <si>
    <r>
      <t>dP</t>
    </r>
    <r>
      <rPr>
        <vertAlign val="subscript"/>
        <sz val="16"/>
        <color theme="1"/>
        <rFont val="Arial Narrow"/>
        <family val="2"/>
      </rPr>
      <t>1Y</t>
    </r>
    <r>
      <rPr>
        <vertAlign val="superscript"/>
        <sz val="16"/>
        <color theme="1"/>
        <rFont val="Arial Narrow"/>
        <family val="2"/>
      </rPr>
      <t>IRS</t>
    </r>
  </si>
  <si>
    <r>
      <t>dP</t>
    </r>
    <r>
      <rPr>
        <vertAlign val="subscript"/>
        <sz val="16"/>
        <color theme="1"/>
        <rFont val="Arial Narrow"/>
        <family val="2"/>
      </rPr>
      <t>2Y</t>
    </r>
    <r>
      <rPr>
        <vertAlign val="superscript"/>
        <sz val="16"/>
        <color theme="1"/>
        <rFont val="Arial Narrow"/>
        <family val="2"/>
      </rPr>
      <t>IRS</t>
    </r>
  </si>
  <si>
    <r>
      <t>dP</t>
    </r>
    <r>
      <rPr>
        <vertAlign val="subscript"/>
        <sz val="16"/>
        <color theme="1"/>
        <rFont val="Arial Narrow"/>
        <family val="2"/>
      </rPr>
      <t>3Y</t>
    </r>
    <r>
      <rPr>
        <vertAlign val="superscript"/>
        <sz val="16"/>
        <color theme="1"/>
        <rFont val="Arial Narrow"/>
        <family val="2"/>
      </rPr>
      <t>IRS</t>
    </r>
  </si>
  <si>
    <r>
      <t>dP</t>
    </r>
    <r>
      <rPr>
        <vertAlign val="subscript"/>
        <sz val="16"/>
        <color theme="1"/>
        <rFont val="Arial Narrow"/>
        <family val="2"/>
      </rPr>
      <t>4Y</t>
    </r>
    <r>
      <rPr>
        <vertAlign val="superscript"/>
        <sz val="16"/>
        <color theme="1"/>
        <rFont val="Arial Narrow"/>
        <family val="2"/>
      </rPr>
      <t>IRS</t>
    </r>
  </si>
  <si>
    <r>
      <t>dP</t>
    </r>
    <r>
      <rPr>
        <vertAlign val="subscript"/>
        <sz val="16"/>
        <color theme="1"/>
        <rFont val="Arial Narrow"/>
        <family val="2"/>
      </rPr>
      <t>5Y</t>
    </r>
    <r>
      <rPr>
        <vertAlign val="superscript"/>
        <sz val="16"/>
        <color theme="1"/>
        <rFont val="Arial Narrow"/>
        <family val="2"/>
      </rPr>
      <t>IRS</t>
    </r>
  </si>
  <si>
    <r>
      <t>Trade Risk</t>
    </r>
    <r>
      <rPr>
        <sz val="16"/>
        <color theme="1"/>
        <rFont val="Arial Narrow"/>
        <family val="2"/>
      </rPr>
      <t xml:space="preserve"> (millions)</t>
    </r>
  </si>
  <si>
    <r>
      <t>Portfolio Risk</t>
    </r>
    <r>
      <rPr>
        <sz val="16"/>
        <color theme="1"/>
        <rFont val="Arial Narrow"/>
        <family val="2"/>
      </rPr>
      <t xml:space="preserve"> (millions)</t>
    </r>
  </si>
  <si>
    <r>
      <t>Portfolio Hedges</t>
    </r>
    <r>
      <rPr>
        <sz val="16"/>
        <color theme="1"/>
        <rFont val="Arial Narrow"/>
        <family val="2"/>
      </rPr>
      <t xml:space="preserve"> (millions)</t>
    </r>
  </si>
  <si>
    <r>
      <t>dP</t>
    </r>
    <r>
      <rPr>
        <vertAlign val="subscript"/>
        <sz val="16"/>
        <color rgb="FF0000FF"/>
        <rFont val="Arial Narrow"/>
        <family val="2"/>
      </rPr>
      <t>1Y</t>
    </r>
    <r>
      <rPr>
        <vertAlign val="superscript"/>
        <sz val="16"/>
        <color rgb="FF0000FF"/>
        <rFont val="Arial Narrow"/>
        <family val="2"/>
      </rPr>
      <t>OIS</t>
    </r>
  </si>
  <si>
    <r>
      <t>dP</t>
    </r>
    <r>
      <rPr>
        <vertAlign val="subscript"/>
        <sz val="16"/>
        <color rgb="FF0000FF"/>
        <rFont val="Arial Narrow"/>
        <family val="2"/>
      </rPr>
      <t>2Y</t>
    </r>
    <r>
      <rPr>
        <vertAlign val="superscript"/>
        <sz val="16"/>
        <color rgb="FF0000FF"/>
        <rFont val="Arial Narrow"/>
        <family val="2"/>
      </rPr>
      <t>OIS</t>
    </r>
  </si>
  <si>
    <r>
      <t>dP</t>
    </r>
    <r>
      <rPr>
        <vertAlign val="subscript"/>
        <sz val="16"/>
        <color rgb="FF0000FF"/>
        <rFont val="Arial Narrow"/>
        <family val="2"/>
      </rPr>
      <t>3Y</t>
    </r>
    <r>
      <rPr>
        <vertAlign val="superscript"/>
        <sz val="16"/>
        <color rgb="FF0000FF"/>
        <rFont val="Arial Narrow"/>
        <family val="2"/>
      </rPr>
      <t>OIS</t>
    </r>
  </si>
  <si>
    <r>
      <t>dP</t>
    </r>
    <r>
      <rPr>
        <vertAlign val="subscript"/>
        <sz val="16"/>
        <color rgb="FF0000FF"/>
        <rFont val="Arial Narrow"/>
        <family val="2"/>
      </rPr>
      <t>4Y</t>
    </r>
    <r>
      <rPr>
        <vertAlign val="superscript"/>
        <sz val="16"/>
        <color rgb="FF0000FF"/>
        <rFont val="Arial Narrow"/>
        <family val="2"/>
      </rPr>
      <t>OIS</t>
    </r>
  </si>
  <si>
    <r>
      <t>dP</t>
    </r>
    <r>
      <rPr>
        <vertAlign val="subscript"/>
        <sz val="16"/>
        <color rgb="FF0000FF"/>
        <rFont val="Arial Narrow"/>
        <family val="2"/>
      </rPr>
      <t>5Y</t>
    </r>
    <r>
      <rPr>
        <vertAlign val="superscript"/>
        <sz val="16"/>
        <color rgb="FF0000FF"/>
        <rFont val="Arial Narrow"/>
        <family val="2"/>
      </rPr>
      <t>OIS</t>
    </r>
  </si>
  <si>
    <r>
      <t>dP</t>
    </r>
    <r>
      <rPr>
        <vertAlign val="subscript"/>
        <sz val="16"/>
        <color rgb="FFC00000"/>
        <rFont val="Arial Narrow"/>
        <family val="2"/>
      </rPr>
      <t>1Y</t>
    </r>
    <r>
      <rPr>
        <vertAlign val="superscript"/>
        <sz val="16"/>
        <color rgb="FFC00000"/>
        <rFont val="Arial Narrow"/>
        <family val="2"/>
      </rPr>
      <t>IRS</t>
    </r>
  </si>
  <si>
    <r>
      <t>dP</t>
    </r>
    <r>
      <rPr>
        <vertAlign val="subscript"/>
        <sz val="16"/>
        <color rgb="FFC00000"/>
        <rFont val="Arial Narrow"/>
        <family val="2"/>
      </rPr>
      <t>2Y</t>
    </r>
    <r>
      <rPr>
        <vertAlign val="superscript"/>
        <sz val="16"/>
        <color rgb="FFC00000"/>
        <rFont val="Arial Narrow"/>
        <family val="2"/>
      </rPr>
      <t>IRS</t>
    </r>
  </si>
  <si>
    <r>
      <t>dP</t>
    </r>
    <r>
      <rPr>
        <vertAlign val="subscript"/>
        <sz val="16"/>
        <color rgb="FFC00000"/>
        <rFont val="Arial Narrow"/>
        <family val="2"/>
      </rPr>
      <t>3Y</t>
    </r>
    <r>
      <rPr>
        <vertAlign val="superscript"/>
        <sz val="16"/>
        <color rgb="FFC00000"/>
        <rFont val="Arial Narrow"/>
        <family val="2"/>
      </rPr>
      <t>IRS</t>
    </r>
  </si>
  <si>
    <r>
      <t>dP</t>
    </r>
    <r>
      <rPr>
        <vertAlign val="subscript"/>
        <sz val="16"/>
        <color rgb="FFC00000"/>
        <rFont val="Arial Narrow"/>
        <family val="2"/>
      </rPr>
      <t>4Y</t>
    </r>
    <r>
      <rPr>
        <vertAlign val="superscript"/>
        <sz val="16"/>
        <color rgb="FFC00000"/>
        <rFont val="Arial Narrow"/>
        <family val="2"/>
      </rPr>
      <t>IRS</t>
    </r>
  </si>
  <si>
    <r>
      <t>dP</t>
    </r>
    <r>
      <rPr>
        <vertAlign val="subscript"/>
        <sz val="16"/>
        <color rgb="FFC00000"/>
        <rFont val="Arial Narrow"/>
        <family val="2"/>
      </rPr>
      <t>5Y</t>
    </r>
    <r>
      <rPr>
        <vertAlign val="superscript"/>
        <sz val="16"/>
        <color rgb="FFC00000"/>
        <rFont val="Arial Narrow"/>
        <family val="2"/>
      </rPr>
      <t>IRS</t>
    </r>
  </si>
  <si>
    <r>
      <t>dO</t>
    </r>
    <r>
      <rPr>
        <vertAlign val="subscript"/>
        <sz val="16"/>
        <color theme="1"/>
        <rFont val="Arial Narrow"/>
        <family val="2"/>
      </rPr>
      <t>1Y</t>
    </r>
  </si>
  <si>
    <r>
      <t>dO</t>
    </r>
    <r>
      <rPr>
        <vertAlign val="subscript"/>
        <sz val="16"/>
        <color theme="1"/>
        <rFont val="Arial Narrow"/>
        <family val="2"/>
      </rPr>
      <t>2Y</t>
    </r>
  </si>
  <si>
    <r>
      <t>dO</t>
    </r>
    <r>
      <rPr>
        <vertAlign val="subscript"/>
        <sz val="16"/>
        <color theme="1"/>
        <rFont val="Arial Narrow"/>
        <family val="2"/>
      </rPr>
      <t>3Y</t>
    </r>
  </si>
  <si>
    <r>
      <t>dO</t>
    </r>
    <r>
      <rPr>
        <vertAlign val="subscript"/>
        <sz val="16"/>
        <color theme="1"/>
        <rFont val="Arial Narrow"/>
        <family val="2"/>
      </rPr>
      <t>4Y</t>
    </r>
  </si>
  <si>
    <r>
      <t>dO</t>
    </r>
    <r>
      <rPr>
        <vertAlign val="subscript"/>
        <sz val="16"/>
        <color theme="1"/>
        <rFont val="Arial Narrow"/>
        <family val="2"/>
      </rPr>
      <t>5Y</t>
    </r>
  </si>
  <si>
    <r>
      <t>dL</t>
    </r>
    <r>
      <rPr>
        <vertAlign val="subscript"/>
        <sz val="16"/>
        <color theme="1"/>
        <rFont val="Arial Narrow"/>
        <family val="2"/>
      </rPr>
      <t>1Y</t>
    </r>
  </si>
  <si>
    <r>
      <t>dL</t>
    </r>
    <r>
      <rPr>
        <vertAlign val="subscript"/>
        <sz val="16"/>
        <color theme="1"/>
        <rFont val="Arial Narrow"/>
        <family val="2"/>
      </rPr>
      <t>2Y</t>
    </r>
  </si>
  <si>
    <r>
      <t>dL</t>
    </r>
    <r>
      <rPr>
        <vertAlign val="subscript"/>
        <sz val="16"/>
        <color theme="1"/>
        <rFont val="Arial Narrow"/>
        <family val="2"/>
      </rPr>
      <t>3Y</t>
    </r>
  </si>
  <si>
    <r>
      <t>dL</t>
    </r>
    <r>
      <rPr>
        <vertAlign val="subscript"/>
        <sz val="16"/>
        <color theme="1"/>
        <rFont val="Arial Narrow"/>
        <family val="2"/>
      </rPr>
      <t>4Y</t>
    </r>
  </si>
  <si>
    <r>
      <t>dL</t>
    </r>
    <r>
      <rPr>
        <vertAlign val="subscript"/>
        <sz val="16"/>
        <color theme="1"/>
        <rFont val="Arial Narrow"/>
        <family val="2"/>
      </rPr>
      <t>5Y</t>
    </r>
  </si>
  <si>
    <r>
      <t>dO</t>
    </r>
    <r>
      <rPr>
        <vertAlign val="subscript"/>
        <sz val="16"/>
        <color rgb="FF0000FF"/>
        <rFont val="Arial Narrow"/>
        <family val="2"/>
      </rPr>
      <t>1Y</t>
    </r>
  </si>
  <si>
    <r>
      <t>dO</t>
    </r>
    <r>
      <rPr>
        <vertAlign val="subscript"/>
        <sz val="16"/>
        <color rgb="FF0000FF"/>
        <rFont val="Arial Narrow"/>
        <family val="2"/>
      </rPr>
      <t>2Y</t>
    </r>
  </si>
  <si>
    <r>
      <t>dO</t>
    </r>
    <r>
      <rPr>
        <vertAlign val="subscript"/>
        <sz val="16"/>
        <color rgb="FF0000FF"/>
        <rFont val="Arial Narrow"/>
        <family val="2"/>
      </rPr>
      <t>3Y</t>
    </r>
  </si>
  <si>
    <r>
      <t>dO</t>
    </r>
    <r>
      <rPr>
        <vertAlign val="subscript"/>
        <sz val="16"/>
        <color rgb="FF0000FF"/>
        <rFont val="Arial Narrow"/>
        <family val="2"/>
      </rPr>
      <t>4Y</t>
    </r>
  </si>
  <si>
    <r>
      <t>dO</t>
    </r>
    <r>
      <rPr>
        <vertAlign val="subscript"/>
        <sz val="16"/>
        <color rgb="FF0000FF"/>
        <rFont val="Arial Narrow"/>
        <family val="2"/>
      </rPr>
      <t>5Y</t>
    </r>
  </si>
  <si>
    <r>
      <t>dL</t>
    </r>
    <r>
      <rPr>
        <vertAlign val="subscript"/>
        <sz val="16"/>
        <color rgb="FFC00000"/>
        <rFont val="Arial Narrow"/>
        <family val="2"/>
      </rPr>
      <t>1Y</t>
    </r>
  </si>
  <si>
    <r>
      <t>dL</t>
    </r>
    <r>
      <rPr>
        <vertAlign val="subscript"/>
        <sz val="16"/>
        <color rgb="FFC00000"/>
        <rFont val="Arial Narrow"/>
        <family val="2"/>
      </rPr>
      <t>2Y</t>
    </r>
  </si>
  <si>
    <r>
      <t>dL</t>
    </r>
    <r>
      <rPr>
        <vertAlign val="subscript"/>
        <sz val="16"/>
        <color rgb="FFC00000"/>
        <rFont val="Arial Narrow"/>
        <family val="2"/>
      </rPr>
      <t>3Y</t>
    </r>
  </si>
  <si>
    <r>
      <t>dL</t>
    </r>
    <r>
      <rPr>
        <vertAlign val="subscript"/>
        <sz val="16"/>
        <color rgb="FFC00000"/>
        <rFont val="Arial Narrow"/>
        <family val="2"/>
      </rPr>
      <t>4Y</t>
    </r>
  </si>
  <si>
    <r>
      <t>dL</t>
    </r>
    <r>
      <rPr>
        <vertAlign val="subscript"/>
        <sz val="16"/>
        <color rgb="FFC00000"/>
        <rFont val="Arial Narrow"/>
        <family val="2"/>
      </rPr>
      <t>5Y</t>
    </r>
  </si>
  <si>
    <r>
      <t>dS</t>
    </r>
    <r>
      <rPr>
        <vertAlign val="subscript"/>
        <sz val="16"/>
        <color theme="1"/>
        <rFont val="Arial Narrow"/>
        <family val="2"/>
      </rPr>
      <t>1Y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</si>
  <si>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2Y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</si>
  <si>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3Y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</si>
  <si>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4Y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</si>
  <si>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5Y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</si>
  <si>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4Y,5Y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</si>
  <si>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4.5Y</t>
    </r>
    <r>
      <rPr>
        <vertAlign val="superscript"/>
        <sz val="16"/>
        <color theme="1"/>
        <rFont val="Arial Narrow"/>
        <family val="2"/>
      </rPr>
      <t>IRS</t>
    </r>
  </si>
  <si>
    <r>
      <t xml:space="preserve">*     </t>
    </r>
    <r>
      <rPr>
        <sz val="16"/>
        <rFont val="Arial Narrow"/>
        <family val="2"/>
      </rPr>
      <t>Forward Starting Swap: Start 4Y, End 5Y, Equivalent to Long 5Y + Short 4Y</t>
    </r>
  </si>
  <si>
    <r>
      <t xml:space="preserve">**   </t>
    </r>
    <r>
      <rPr>
        <sz val="16"/>
        <rFont val="Arial Narrow"/>
        <family val="2"/>
      </rPr>
      <t>4.5Y IRS Carries 50% Risk of 4Y and 50% Risk of 5Y IRS</t>
    </r>
  </si>
  <si>
    <r>
      <rPr>
        <sz val="16"/>
        <color rgb="FFFF0000"/>
        <rFont val="Arial Narrow"/>
        <family val="2"/>
      </rPr>
      <t xml:space="preserve"># </t>
    </r>
    <r>
      <rPr>
        <sz val="16"/>
        <color theme="1"/>
        <rFont val="Arial Narrow"/>
        <family val="2"/>
      </rPr>
      <t xml:space="preserve">  Hedge instrument as specified in Jacobian Matrix</t>
    </r>
  </si>
  <si>
    <r>
      <t xml:space="preserve">Adjusted Jacobian </t>
    </r>
    <r>
      <rPr>
        <b/>
        <sz val="16"/>
        <color rgb="FFC00000"/>
        <rFont val="Arial Narrow"/>
        <family val="2"/>
      </rPr>
      <t>*</t>
    </r>
  </si>
  <si>
    <r>
      <t>Adjusted Inverse Jacob</t>
    </r>
    <r>
      <rPr>
        <b/>
        <sz val="16"/>
        <rFont val="Arial Narrow"/>
        <family val="2"/>
      </rPr>
      <t xml:space="preserve">ian </t>
    </r>
    <r>
      <rPr>
        <b/>
        <sz val="16"/>
        <color rgb="FFC00000"/>
        <rFont val="Arial Narrow"/>
        <family val="2"/>
      </rPr>
      <t>*</t>
    </r>
  </si>
  <si>
    <r>
      <t>dO</t>
    </r>
    <r>
      <rPr>
        <vertAlign val="subscript"/>
        <sz val="16"/>
        <rFont val="Arial Narrow"/>
        <family val="2"/>
      </rPr>
      <t>1Y</t>
    </r>
  </si>
  <si>
    <r>
      <t>dO</t>
    </r>
    <r>
      <rPr>
        <vertAlign val="subscript"/>
        <sz val="16"/>
        <rFont val="Arial Narrow"/>
        <family val="2"/>
      </rPr>
      <t>2Y</t>
    </r>
  </si>
  <si>
    <r>
      <t>dO</t>
    </r>
    <r>
      <rPr>
        <vertAlign val="subscript"/>
        <sz val="16"/>
        <rFont val="Arial Narrow"/>
        <family val="2"/>
      </rPr>
      <t>4Y</t>
    </r>
  </si>
  <si>
    <r>
      <t>dO</t>
    </r>
    <r>
      <rPr>
        <vertAlign val="subscript"/>
        <sz val="16"/>
        <rFont val="Arial Narrow"/>
        <family val="2"/>
      </rPr>
      <t>5Y</t>
    </r>
  </si>
  <si>
    <r>
      <t>dL</t>
    </r>
    <r>
      <rPr>
        <vertAlign val="subscript"/>
        <sz val="16"/>
        <rFont val="Arial Narrow"/>
        <family val="2"/>
      </rPr>
      <t>1Y</t>
    </r>
  </si>
  <si>
    <r>
      <t>dL</t>
    </r>
    <r>
      <rPr>
        <vertAlign val="subscript"/>
        <sz val="16"/>
        <rFont val="Arial Narrow"/>
        <family val="2"/>
      </rPr>
      <t>2Y</t>
    </r>
  </si>
  <si>
    <r>
      <t>dL</t>
    </r>
    <r>
      <rPr>
        <vertAlign val="subscript"/>
        <sz val="16"/>
        <rFont val="Arial Narrow"/>
        <family val="2"/>
      </rPr>
      <t>4Y</t>
    </r>
  </si>
  <si>
    <r>
      <t>dL</t>
    </r>
    <r>
      <rPr>
        <vertAlign val="subscript"/>
        <sz val="16"/>
        <rFont val="Arial Narrow"/>
        <family val="2"/>
      </rPr>
      <t>5Y</t>
    </r>
  </si>
  <si>
    <r>
      <t>Adjusted Swap Jacobian</t>
    </r>
    <r>
      <rPr>
        <b/>
        <sz val="16"/>
        <color rgb="FFC00000"/>
        <rFont val="Arial Narrow"/>
        <family val="2"/>
      </rPr>
      <t xml:space="preserve"> *</t>
    </r>
  </si>
  <si>
    <r>
      <t xml:space="preserve">* </t>
    </r>
    <r>
      <rPr>
        <sz val="16"/>
        <rFont val="Arial Narrow"/>
        <family val="2"/>
      </rPr>
      <t>Here we use linear interpolation to re-assign the missing 3Y LIBOR and OIS forward risk to neighbouring points</t>
    </r>
  </si>
  <si>
    <r>
      <t>dL</t>
    </r>
    <r>
      <rPr>
        <vertAlign val="subscript"/>
        <sz val="16"/>
        <color theme="1"/>
        <rFont val="Arial Narrow"/>
        <family val="2"/>
      </rPr>
      <t>1Y</t>
    </r>
    <r>
      <rPr>
        <vertAlign val="superscript"/>
        <sz val="16"/>
        <color theme="1"/>
        <rFont val="Arial Narrow"/>
        <family val="2"/>
      </rPr>
      <t>OIS</t>
    </r>
  </si>
  <si>
    <r>
      <t>dL</t>
    </r>
    <r>
      <rPr>
        <vertAlign val="subscript"/>
        <sz val="16"/>
        <color theme="1"/>
        <rFont val="Arial Narrow"/>
        <family val="2"/>
      </rPr>
      <t>2Y</t>
    </r>
    <r>
      <rPr>
        <vertAlign val="superscript"/>
        <sz val="16"/>
        <color theme="1"/>
        <rFont val="Arial Narrow"/>
        <family val="2"/>
      </rPr>
      <t>OIS</t>
    </r>
  </si>
  <si>
    <r>
      <t>dL</t>
    </r>
    <r>
      <rPr>
        <vertAlign val="subscript"/>
        <sz val="16"/>
        <color theme="1"/>
        <rFont val="Arial Narrow"/>
        <family val="2"/>
      </rPr>
      <t>3Y</t>
    </r>
    <r>
      <rPr>
        <vertAlign val="superscript"/>
        <sz val="16"/>
        <color theme="1"/>
        <rFont val="Arial Narrow"/>
        <family val="2"/>
      </rPr>
      <t>OIS</t>
    </r>
  </si>
  <si>
    <r>
      <t>dL</t>
    </r>
    <r>
      <rPr>
        <vertAlign val="subscript"/>
        <sz val="16"/>
        <color theme="1"/>
        <rFont val="Arial Narrow"/>
        <family val="2"/>
      </rPr>
      <t>4Y</t>
    </r>
    <r>
      <rPr>
        <vertAlign val="superscript"/>
        <sz val="16"/>
        <color theme="1"/>
        <rFont val="Arial Narrow"/>
        <family val="2"/>
      </rPr>
      <t>OIS</t>
    </r>
  </si>
  <si>
    <r>
      <t>dL</t>
    </r>
    <r>
      <rPr>
        <vertAlign val="subscript"/>
        <sz val="16"/>
        <color theme="1"/>
        <rFont val="Arial Narrow"/>
        <family val="2"/>
      </rPr>
      <t>5Y</t>
    </r>
    <r>
      <rPr>
        <vertAlign val="superscript"/>
        <sz val="16"/>
        <color theme="1"/>
        <rFont val="Arial Narrow"/>
        <family val="2"/>
      </rPr>
      <t>OIS</t>
    </r>
  </si>
  <si>
    <r>
      <t>dL</t>
    </r>
    <r>
      <rPr>
        <vertAlign val="subscript"/>
        <sz val="16"/>
        <color theme="1"/>
        <rFont val="Arial Narrow"/>
        <family val="2"/>
      </rPr>
      <t>1Y</t>
    </r>
    <r>
      <rPr>
        <vertAlign val="superscript"/>
        <sz val="16"/>
        <color theme="1"/>
        <rFont val="Arial Narrow"/>
        <family val="2"/>
      </rPr>
      <t>IRS</t>
    </r>
  </si>
  <si>
    <r>
      <t>dL</t>
    </r>
    <r>
      <rPr>
        <vertAlign val="subscript"/>
        <sz val="16"/>
        <color theme="1"/>
        <rFont val="Arial Narrow"/>
        <family val="2"/>
      </rPr>
      <t>2Y</t>
    </r>
    <r>
      <rPr>
        <vertAlign val="superscript"/>
        <sz val="16"/>
        <color theme="1"/>
        <rFont val="Arial Narrow"/>
        <family val="2"/>
      </rPr>
      <t>IRS</t>
    </r>
  </si>
  <si>
    <r>
      <t>dL</t>
    </r>
    <r>
      <rPr>
        <vertAlign val="subscript"/>
        <sz val="16"/>
        <color theme="1"/>
        <rFont val="Arial Narrow"/>
        <family val="2"/>
      </rPr>
      <t>3Y</t>
    </r>
    <r>
      <rPr>
        <vertAlign val="superscript"/>
        <sz val="16"/>
        <color theme="1"/>
        <rFont val="Arial Narrow"/>
        <family val="2"/>
      </rPr>
      <t>IRS</t>
    </r>
  </si>
  <si>
    <r>
      <t>dL</t>
    </r>
    <r>
      <rPr>
        <vertAlign val="subscript"/>
        <sz val="16"/>
        <color theme="1"/>
        <rFont val="Arial Narrow"/>
        <family val="2"/>
      </rPr>
      <t>4Y</t>
    </r>
    <r>
      <rPr>
        <vertAlign val="superscript"/>
        <sz val="16"/>
        <color theme="1"/>
        <rFont val="Arial Narrow"/>
        <family val="2"/>
      </rPr>
      <t>IRS</t>
    </r>
  </si>
  <si>
    <r>
      <t>dL</t>
    </r>
    <r>
      <rPr>
        <vertAlign val="subscript"/>
        <sz val="16"/>
        <color theme="1"/>
        <rFont val="Arial Narrow"/>
        <family val="2"/>
      </rPr>
      <t>5Y</t>
    </r>
    <r>
      <rPr>
        <vertAlign val="superscript"/>
        <sz val="16"/>
        <color theme="1"/>
        <rFont val="Arial Narrow"/>
        <family val="2"/>
      </rPr>
      <t>IRS</t>
    </r>
  </si>
  <si>
    <t>Inverse Curve Jacobian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</si>
</sst>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%"/>
    <numFmt numFmtId="165" formatCode="0.0E+00"/>
    <numFmt numFmtId="166" formatCode="0.000000%"/>
    <numFmt numFmtId="167" formatCode="#,##0.000000"/>
    <numFmt numFmtId="168" formatCode="0.000%"/>
    <numFmt numFmtId="169" formatCode="0.0000%"/>
    <numFmt numFmtId="170" formatCode="#,##0.00000"/>
    <numFmt numFmtId="171" formatCode="#,##0.0000"/>
    <numFmt numFmtId="172" formatCode="#,##0.0"/>
  </numFmts>
  <fonts count="5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4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vertAlign val="subscript"/>
      <sz val="14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Symbol"/>
      <family val="1"/>
      <charset val="2"/>
    </font>
    <font>
      <b/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i/>
      <vertAlign val="subscript"/>
      <sz val="11"/>
      <name val="Calibri"/>
      <family val="2"/>
      <scheme val="minor"/>
    </font>
    <font>
      <sz val="16"/>
      <color theme="1"/>
      <name val="Arial Narrow"/>
      <family val="2"/>
    </font>
    <font>
      <vertAlign val="subscript"/>
      <sz val="16"/>
      <color theme="1"/>
      <name val="Arial Narrow"/>
      <family val="2"/>
    </font>
    <font>
      <vertAlign val="superscript"/>
      <sz val="16"/>
      <color theme="1"/>
      <name val="Arial Narrow"/>
      <family val="2"/>
    </font>
    <font>
      <sz val="16"/>
      <color theme="0"/>
      <name val="Arial Narrow"/>
      <family val="2"/>
    </font>
    <font>
      <sz val="16"/>
      <color rgb="FFC00000"/>
      <name val="Arial Narrow"/>
      <family val="2"/>
    </font>
    <font>
      <b/>
      <sz val="16"/>
      <color theme="1"/>
      <name val="Arial Narrow"/>
      <family val="2"/>
    </font>
    <font>
      <sz val="16"/>
      <name val="Arial Narrow"/>
      <family val="2"/>
    </font>
    <font>
      <b/>
      <sz val="16"/>
      <name val="Arial Narrow"/>
      <family val="2"/>
    </font>
    <font>
      <b/>
      <sz val="16"/>
      <color rgb="FFC00000"/>
      <name val="Arial Narrow"/>
      <family val="2"/>
    </font>
    <font>
      <sz val="16"/>
      <color rgb="FF0000FF"/>
      <name val="Arial Narrow"/>
      <family val="2"/>
    </font>
    <font>
      <vertAlign val="subscript"/>
      <sz val="16"/>
      <color rgb="FF0000FF"/>
      <name val="Arial Narrow"/>
      <family val="2"/>
    </font>
    <font>
      <vertAlign val="superscript"/>
      <sz val="16"/>
      <color rgb="FF0000FF"/>
      <name val="Arial Narrow"/>
      <family val="2"/>
    </font>
    <font>
      <vertAlign val="subscript"/>
      <sz val="16"/>
      <color rgb="FFC00000"/>
      <name val="Arial Narrow"/>
      <family val="2"/>
    </font>
    <font>
      <vertAlign val="superscript"/>
      <sz val="16"/>
      <color rgb="FFC00000"/>
      <name val="Arial Narrow"/>
      <family val="2"/>
    </font>
    <font>
      <sz val="16"/>
      <color rgb="FFFF0000"/>
      <name val="Arial Narrow"/>
      <family val="2"/>
    </font>
    <font>
      <vertAlign val="subscript"/>
      <sz val="16"/>
      <name val="Arial Narrow"/>
      <family val="2"/>
    </font>
    <font>
      <b/>
      <sz val="16"/>
      <color rgb="FFFF0000"/>
      <name val="Arial Narrow"/>
      <family val="2"/>
    </font>
    <font>
      <b/>
      <sz val="16"/>
      <color theme="0" tint="-0.249977111117893"/>
      <name val="Arial Narrow"/>
      <family val="2"/>
    </font>
    <font>
      <sz val="16"/>
      <color rgb="FF006600"/>
      <name val="Arial Narrow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dotted">
        <color theme="0" tint="-0.14993743705557422"/>
      </bottom>
      <diagonal/>
    </border>
    <border>
      <left/>
      <right/>
      <top/>
      <bottom style="dotted">
        <color theme="0" tint="-0.14993743705557422"/>
      </bottom>
      <diagonal/>
    </border>
    <border>
      <left/>
      <right style="thin">
        <color theme="0" tint="-0.14996795556505021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1498764000366222"/>
      </right>
      <top/>
      <bottom/>
      <diagonal/>
    </border>
    <border>
      <left style="thin">
        <color theme="0" tint="-0.149876400036622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 style="thin">
        <color theme="0" tint="-0.14990691854609822"/>
      </left>
      <right style="thin">
        <color theme="0" tint="-0.14987640003662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8764000366222"/>
      </right>
      <top/>
      <bottom/>
      <diagonal/>
    </border>
    <border>
      <left style="thin">
        <color theme="0" tint="-0.14990691854609822"/>
      </left>
      <right style="thin">
        <color theme="0" tint="-0.1498764000366222"/>
      </right>
      <top/>
      <bottom style="thin">
        <color theme="0" tint="-0.149906918546098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4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/>
    <xf numFmtId="0" fontId="4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0" borderId="0" xfId="0" applyFont="1"/>
    <xf numFmtId="164" fontId="0" fillId="2" borderId="7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4" fontId="10" fillId="3" borderId="2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/>
    </xf>
    <xf numFmtId="4" fontId="10" fillId="3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10" fontId="0" fillId="2" borderId="13" xfId="0" applyNumberFormat="1" applyFill="1" applyBorder="1" applyAlignment="1">
      <alignment horizontal="center" vertical="center"/>
    </xf>
    <xf numFmtId="11" fontId="0" fillId="4" borderId="13" xfId="0" applyNumberFormat="1" applyFill="1" applyBorder="1" applyAlignment="1">
      <alignment horizontal="center" vertical="center"/>
    </xf>
    <xf numFmtId="11" fontId="0" fillId="4" borderId="0" xfId="0" applyNumberFormat="1" applyFill="1" applyAlignment="1">
      <alignment horizontal="center" vertical="center"/>
    </xf>
    <xf numFmtId="11" fontId="0" fillId="4" borderId="14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4" fontId="11" fillId="4" borderId="3" xfId="0" applyNumberFormat="1" applyFont="1" applyFill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4" fontId="10" fillId="3" borderId="5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Alignment="1">
      <alignment horizontal="center" vertical="center"/>
    </xf>
    <xf numFmtId="4" fontId="10" fillId="3" borderId="0" xfId="0" applyNumberFormat="1" applyFont="1" applyFill="1" applyAlignment="1">
      <alignment horizontal="center"/>
    </xf>
    <xf numFmtId="4" fontId="10" fillId="3" borderId="6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3" fontId="0" fillId="4" borderId="0" xfId="0" applyNumberFormat="1" applyFill="1" applyAlignment="1">
      <alignment horizontal="center" vertical="center"/>
    </xf>
    <xf numFmtId="4" fontId="11" fillId="4" borderId="6" xfId="0" applyNumberFormat="1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" fontId="0" fillId="0" borderId="0" xfId="0" applyNumberFormat="1"/>
    <xf numFmtId="4" fontId="10" fillId="3" borderId="8" xfId="0" applyNumberFormat="1" applyFon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/>
    </xf>
    <xf numFmtId="4" fontId="10" fillId="3" borderId="9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0" fontId="0" fillId="2" borderId="14" xfId="0" applyNumberFormat="1" applyFill="1" applyBorder="1" applyAlignment="1">
      <alignment horizontal="center" vertical="center"/>
    </xf>
    <xf numFmtId="3" fontId="0" fillId="4" borderId="14" xfId="0" applyNumberFormat="1" applyFill="1" applyBorder="1" applyAlignment="1">
      <alignment horizontal="center" vertical="center"/>
    </xf>
    <xf numFmtId="4" fontId="11" fillId="4" borderId="9" xfId="0" applyNumberFormat="1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quotePrefix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0" fillId="3" borderId="15" xfId="0" applyFont="1" applyFill="1" applyBorder="1" applyAlignment="1">
      <alignment horizontal="center" vertical="center"/>
    </xf>
    <xf numFmtId="164" fontId="11" fillId="3" borderId="16" xfId="0" applyNumberFormat="1" applyFont="1" applyFill="1" applyBorder="1" applyAlignment="1">
      <alignment horizontal="center" vertical="center"/>
    </xf>
    <xf numFmtId="164" fontId="11" fillId="3" borderId="0" xfId="0" applyNumberFormat="1" applyFont="1" applyFill="1" applyAlignment="1">
      <alignment horizontal="center" vertical="center"/>
    </xf>
    <xf numFmtId="164" fontId="11" fillId="3" borderId="17" xfId="0" applyNumberFormat="1" applyFont="1" applyFill="1" applyBorder="1" applyAlignment="1">
      <alignment horizontal="center" vertical="center"/>
    </xf>
    <xf numFmtId="164" fontId="10" fillId="3" borderId="16" xfId="0" applyNumberFormat="1" applyFont="1" applyFill="1" applyBorder="1" applyAlignment="1">
      <alignment horizontal="center" vertical="center"/>
    </xf>
    <xf numFmtId="165" fontId="2" fillId="3" borderId="18" xfId="0" applyNumberFormat="1" applyFon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0" xfId="0" applyNumberFormat="1" applyFill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8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4" fontId="0" fillId="3" borderId="9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11" fillId="4" borderId="13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Alignment="1">
      <alignment horizontal="center" vertical="center"/>
    </xf>
    <xf numFmtId="164" fontId="11" fillId="4" borderId="14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65" fontId="2" fillId="3" borderId="20" xfId="0" applyNumberFormat="1" applyFont="1" applyFill="1" applyBorder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164" fontId="10" fillId="3" borderId="17" xfId="0" applyNumberFormat="1" applyFont="1" applyFill="1" applyBorder="1" applyAlignment="1">
      <alignment horizontal="center" vertical="center"/>
    </xf>
    <xf numFmtId="165" fontId="2" fillId="3" borderId="22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66" fontId="0" fillId="0" borderId="13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0" fontId="13" fillId="0" borderId="0" xfId="0" applyFont="1"/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0" fillId="5" borderId="6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170" fontId="10" fillId="5" borderId="3" xfId="0" applyNumberFormat="1" applyFont="1" applyFill="1" applyBorder="1" applyAlignment="1">
      <alignment horizontal="center" vertical="center"/>
    </xf>
    <xf numFmtId="170" fontId="10" fillId="5" borderId="6" xfId="0" applyNumberFormat="1" applyFont="1" applyFill="1" applyBorder="1" applyAlignment="1">
      <alignment horizontal="center" vertical="center"/>
    </xf>
    <xf numFmtId="170" fontId="10" fillId="5" borderId="9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0" fillId="4" borderId="25" xfId="0" applyNumberForma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4" fontId="0" fillId="4" borderId="2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 vertical="center"/>
    </xf>
    <xf numFmtId="164" fontId="0" fillId="4" borderId="30" xfId="0" applyNumberFormat="1" applyFill="1" applyBorder="1" applyAlignment="1">
      <alignment horizontal="center" vertical="center"/>
    </xf>
    <xf numFmtId="164" fontId="0" fillId="4" borderId="31" xfId="0" applyNumberFormat="1" applyFill="1" applyBorder="1" applyAlignment="1">
      <alignment horizontal="center" vertical="center"/>
    </xf>
    <xf numFmtId="164" fontId="0" fillId="4" borderId="32" xfId="0" applyNumberForma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3" xfId="0" applyBorder="1"/>
    <xf numFmtId="4" fontId="0" fillId="0" borderId="2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64" fontId="0" fillId="0" borderId="0" xfId="0" applyNumberFormat="1"/>
    <xf numFmtId="164" fontId="0" fillId="0" borderId="14" xfId="0" applyNumberFormat="1" applyBorder="1"/>
    <xf numFmtId="1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6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2" borderId="26" xfId="0" applyNumberFormat="1" applyFill="1" applyBorder="1" applyAlignment="1">
      <alignment horizontal="center" vertical="center"/>
    </xf>
    <xf numFmtId="11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1" fontId="0" fillId="0" borderId="29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4" fontId="0" fillId="0" borderId="34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2" borderId="34" xfId="0" applyNumberFormat="1" applyFill="1" applyBorder="1" applyAlignment="1">
      <alignment horizontal="center" vertical="center"/>
    </xf>
    <xf numFmtId="11" fontId="0" fillId="0" borderId="35" xfId="0" applyNumberFormat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164" fontId="0" fillId="0" borderId="32" xfId="0" applyNumberFormat="1" applyBorder="1" applyAlignment="1">
      <alignment horizontal="center" vertical="center"/>
    </xf>
    <xf numFmtId="4" fontId="0" fillId="2" borderId="31" xfId="0" applyNumberFormat="1" applyFill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1" fontId="0" fillId="2" borderId="24" xfId="0" applyNumberFormat="1" applyFill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5" fillId="0" borderId="34" xfId="0" applyNumberFormat="1" applyFont="1" applyBorder="1" applyAlignment="1">
      <alignment horizontal="center" vertical="center"/>
    </xf>
    <xf numFmtId="167" fontId="15" fillId="0" borderId="26" xfId="0" applyNumberFormat="1" applyFont="1" applyBorder="1" applyAlignment="1">
      <alignment horizontal="center" vertical="center"/>
    </xf>
    <xf numFmtId="167" fontId="15" fillId="0" borderId="0" xfId="0" applyNumberFormat="1" applyFont="1" applyAlignment="1">
      <alignment horizontal="center" vertical="center"/>
    </xf>
    <xf numFmtId="167" fontId="15" fillId="0" borderId="31" xfId="0" applyNumberFormat="1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0" fillId="2" borderId="23" xfId="0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4" fontId="0" fillId="5" borderId="5" xfId="0" applyNumberFormat="1" applyFill="1" applyBorder="1" applyAlignment="1">
      <alignment horizontal="center" vertical="center"/>
    </xf>
    <xf numFmtId="4" fontId="0" fillId="5" borderId="0" xfId="0" applyNumberFormat="1" applyFill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/>
    </xf>
    <xf numFmtId="4" fontId="0" fillId="5" borderId="13" xfId="0" applyNumberFormat="1" applyFill="1" applyBorder="1" applyAlignment="1">
      <alignment horizontal="center" vertical="center"/>
    </xf>
    <xf numFmtId="4" fontId="0" fillId="5" borderId="3" xfId="0" applyNumberFormat="1" applyFill="1" applyBorder="1" applyAlignment="1">
      <alignment horizontal="center" vertical="center"/>
    </xf>
    <xf numFmtId="4" fontId="0" fillId="5" borderId="6" xfId="0" applyNumberForma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1" fontId="0" fillId="0" borderId="32" xfId="0" applyNumberFormat="1" applyBorder="1" applyAlignment="1">
      <alignment horizontal="center" vertical="center"/>
    </xf>
    <xf numFmtId="0" fontId="0" fillId="0" borderId="0" xfId="0" quotePrefix="1"/>
    <xf numFmtId="4" fontId="10" fillId="6" borderId="2" xfId="0" applyNumberFormat="1" applyFont="1" applyFill="1" applyBorder="1" applyAlignment="1">
      <alignment horizontal="center" vertic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0" xfId="0" applyNumberFormat="1" applyFont="1" applyFill="1" applyAlignment="1">
      <alignment horizontal="center" vertical="center"/>
    </xf>
    <xf numFmtId="4" fontId="10" fillId="6" borderId="14" xfId="0" applyNumberFormat="1" applyFont="1" applyFill="1" applyBorder="1" applyAlignment="1">
      <alignment horizontal="center" vertical="center"/>
    </xf>
    <xf numFmtId="4" fontId="10" fillId="6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5" fontId="0" fillId="8" borderId="23" xfId="0" applyNumberForma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0" fillId="7" borderId="10" xfId="0" applyFill="1" applyBorder="1" applyAlignment="1">
      <alignment horizontal="center" vertical="center"/>
    </xf>
    <xf numFmtId="15" fontId="27" fillId="5" borderId="2" xfId="0" applyNumberFormat="1" applyFont="1" applyFill="1" applyBorder="1" applyAlignment="1">
      <alignment horizontal="center" vertical="center"/>
    </xf>
    <xf numFmtId="15" fontId="27" fillId="5" borderId="5" xfId="0" applyNumberFormat="1" applyFont="1" applyFill="1" applyBorder="1" applyAlignment="1">
      <alignment horizontal="center" vertical="center"/>
    </xf>
    <xf numFmtId="169" fontId="27" fillId="5" borderId="0" xfId="0" applyNumberFormat="1" applyFont="1" applyFill="1" applyAlignment="1">
      <alignment horizontal="center" vertical="center"/>
    </xf>
    <xf numFmtId="15" fontId="27" fillId="5" borderId="8" xfId="0" applyNumberFormat="1" applyFont="1" applyFill="1" applyBorder="1" applyAlignment="1">
      <alignment horizontal="center" vertical="center"/>
    </xf>
    <xf numFmtId="169" fontId="27" fillId="5" borderId="14" xfId="0" applyNumberFormat="1" applyFont="1" applyFill="1" applyBorder="1" applyAlignment="1">
      <alignment horizontal="center" vertical="center"/>
    </xf>
    <xf numFmtId="169" fontId="27" fillId="5" borderId="9" xfId="0" applyNumberFormat="1" applyFont="1" applyFill="1" applyBorder="1" applyAlignment="1">
      <alignment horizontal="center" vertical="center"/>
    </xf>
    <xf numFmtId="169" fontId="27" fillId="5" borderId="13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15" fontId="27" fillId="5" borderId="13" xfId="0" applyNumberFormat="1" applyFont="1" applyFill="1" applyBorder="1" applyAlignment="1">
      <alignment horizontal="center" vertical="center"/>
    </xf>
    <xf numFmtId="4" fontId="27" fillId="5" borderId="13" xfId="0" applyNumberFormat="1" applyFont="1" applyFill="1" applyBorder="1" applyAlignment="1">
      <alignment horizontal="center" vertical="center"/>
    </xf>
    <xf numFmtId="3" fontId="27" fillId="5" borderId="13" xfId="0" applyNumberFormat="1" applyFont="1" applyFill="1" applyBorder="1" applyAlignment="1">
      <alignment horizontal="center" vertical="center"/>
    </xf>
    <xf numFmtId="167" fontId="27" fillId="5" borderId="13" xfId="0" applyNumberFormat="1" applyFont="1" applyFill="1" applyBorder="1" applyAlignment="1">
      <alignment horizontal="center" vertical="center"/>
    </xf>
    <xf numFmtId="3" fontId="0" fillId="8" borderId="4" xfId="0" applyNumberFormat="1" applyFill="1" applyBorder="1" applyAlignment="1">
      <alignment horizontal="center" vertical="center"/>
    </xf>
    <xf numFmtId="15" fontId="27" fillId="5" borderId="0" xfId="0" applyNumberFormat="1" applyFont="1" applyFill="1" applyAlignment="1">
      <alignment horizontal="center" vertical="center"/>
    </xf>
    <xf numFmtId="4" fontId="27" fillId="5" borderId="0" xfId="0" applyNumberFormat="1" applyFont="1" applyFill="1" applyAlignment="1">
      <alignment horizontal="center" vertical="center"/>
    </xf>
    <xf numFmtId="3" fontId="27" fillId="5" borderId="0" xfId="0" applyNumberFormat="1" applyFont="1" applyFill="1" applyAlignment="1">
      <alignment horizontal="center" vertical="center"/>
    </xf>
    <xf numFmtId="167" fontId="27" fillId="5" borderId="0" xfId="0" applyNumberFormat="1" applyFont="1" applyFill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0" fontId="27" fillId="5" borderId="4" xfId="0" applyFont="1" applyFill="1" applyBorder="1" applyAlignment="1">
      <alignment horizontal="center" vertical="center"/>
    </xf>
    <xf numFmtId="4" fontId="0" fillId="8" borderId="4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left" vertical="center"/>
    </xf>
    <xf numFmtId="4" fontId="0" fillId="8" borderId="7" xfId="0" applyNumberFormat="1" applyFill="1" applyBorder="1" applyAlignment="1">
      <alignment horizontal="center" vertical="center"/>
    </xf>
    <xf numFmtId="4" fontId="10" fillId="9" borderId="23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3" fontId="27" fillId="5" borderId="1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3" fontId="27" fillId="5" borderId="4" xfId="0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left" vertical="center"/>
    </xf>
    <xf numFmtId="3" fontId="27" fillId="5" borderId="7" xfId="0" applyNumberFormat="1" applyFont="1" applyFill="1" applyBorder="1" applyAlignment="1">
      <alignment horizontal="center" vertical="center"/>
    </xf>
    <xf numFmtId="0" fontId="0" fillId="5" borderId="36" xfId="0" applyFill="1" applyBorder="1" applyAlignment="1">
      <alignment horizontal="left" vertical="center"/>
    </xf>
    <xf numFmtId="0" fontId="27" fillId="5" borderId="37" xfId="0" applyFont="1" applyFill="1" applyBorder="1" applyAlignment="1">
      <alignment horizontal="center" vertical="center"/>
    </xf>
    <xf numFmtId="0" fontId="0" fillId="5" borderId="38" xfId="0" applyFill="1" applyBorder="1" applyAlignment="1">
      <alignment horizontal="left" vertical="center"/>
    </xf>
    <xf numFmtId="0" fontId="27" fillId="5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left" vertical="center"/>
    </xf>
    <xf numFmtId="0" fontId="27" fillId="5" borderId="41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left" vertical="center"/>
    </xf>
    <xf numFmtId="0" fontId="0" fillId="7" borderId="12" xfId="0" applyFill="1" applyBorder="1" applyAlignment="1">
      <alignment horizontal="center" vertical="center"/>
    </xf>
    <xf numFmtId="0" fontId="10" fillId="5" borderId="10" xfId="0" applyFont="1" applyFill="1" applyBorder="1" applyAlignment="1">
      <alignment horizontal="left" vertical="center"/>
    </xf>
    <xf numFmtId="0" fontId="27" fillId="5" borderId="12" xfId="0" applyFont="1" applyFill="1" applyBorder="1" applyAlignment="1">
      <alignment horizontal="center" vertical="center"/>
    </xf>
    <xf numFmtId="4" fontId="10" fillId="5" borderId="8" xfId="0" applyNumberFormat="1" applyFont="1" applyFill="1" applyBorder="1" applyAlignment="1">
      <alignment horizontal="left" vertical="center"/>
    </xf>
    <xf numFmtId="4" fontId="27" fillId="5" borderId="9" xfId="0" applyNumberFormat="1" applyFont="1" applyFill="1" applyBorder="1" applyAlignment="1">
      <alignment horizontal="center" vertical="center"/>
    </xf>
    <xf numFmtId="4" fontId="10" fillId="5" borderId="5" xfId="0" applyNumberFormat="1" applyFont="1" applyFill="1" applyBorder="1" applyAlignment="1">
      <alignment horizontal="left" vertical="center"/>
    </xf>
    <xf numFmtId="3" fontId="27" fillId="5" borderId="3" xfId="0" applyNumberFormat="1" applyFont="1" applyFill="1" applyBorder="1" applyAlignment="1">
      <alignment horizontal="center" vertical="center"/>
    </xf>
    <xf numFmtId="3" fontId="27" fillId="5" borderId="6" xfId="0" applyNumberFormat="1" applyFont="1" applyFill="1" applyBorder="1" applyAlignment="1">
      <alignment horizontal="center" vertical="center"/>
    </xf>
    <xf numFmtId="15" fontId="27" fillId="5" borderId="14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3" fontId="27" fillId="5" borderId="14" xfId="0" applyNumberFormat="1" applyFont="1" applyFill="1" applyBorder="1" applyAlignment="1">
      <alignment horizontal="center" vertical="center"/>
    </xf>
    <xf numFmtId="167" fontId="27" fillId="5" borderId="14" xfId="0" applyNumberFormat="1" applyFont="1" applyFill="1" applyBorder="1" applyAlignment="1">
      <alignment horizontal="center" vertical="center"/>
    </xf>
    <xf numFmtId="171" fontId="27" fillId="5" borderId="6" xfId="0" applyNumberFormat="1" applyFont="1" applyFill="1" applyBorder="1" applyAlignment="1">
      <alignment horizontal="center" vertical="center"/>
    </xf>
    <xf numFmtId="3" fontId="27" fillId="5" borderId="9" xfId="0" applyNumberFormat="1" applyFont="1" applyFill="1" applyBorder="1" applyAlignment="1">
      <alignment horizontal="center" vertical="center"/>
    </xf>
    <xf numFmtId="4" fontId="27" fillId="5" borderId="6" xfId="0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3" fontId="27" fillId="5" borderId="43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6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9" fontId="0" fillId="7" borderId="11" xfId="0" applyNumberFormat="1" applyFill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30" fillId="5" borderId="7" xfId="0" applyNumberFormat="1" applyFont="1" applyFill="1" applyBorder="1" applyAlignment="1">
      <alignment horizontal="center" vertical="center"/>
    </xf>
    <xf numFmtId="4" fontId="10" fillId="6" borderId="8" xfId="0" applyNumberFormat="1" applyFont="1" applyFill="1" applyBorder="1" applyAlignment="1">
      <alignment horizontal="center" vertical="center"/>
    </xf>
    <xf numFmtId="3" fontId="10" fillId="6" borderId="5" xfId="0" applyNumberFormat="1" applyFont="1" applyFill="1" applyBorder="1" applyAlignment="1">
      <alignment horizontal="center" vertical="center"/>
    </xf>
    <xf numFmtId="3" fontId="10" fillId="6" borderId="0" xfId="0" applyNumberFormat="1" applyFont="1" applyFill="1" applyAlignment="1">
      <alignment horizontal="center" vertical="center"/>
    </xf>
    <xf numFmtId="3" fontId="10" fillId="10" borderId="5" xfId="0" applyNumberFormat="1" applyFont="1" applyFill="1" applyBorder="1" applyAlignment="1">
      <alignment horizontal="center" vertical="center"/>
    </xf>
    <xf numFmtId="3" fontId="0" fillId="10" borderId="0" xfId="0" applyNumberFormat="1" applyFill="1" applyAlignment="1">
      <alignment horizontal="center" vertical="center"/>
    </xf>
    <xf numFmtId="3" fontId="0" fillId="10" borderId="6" xfId="0" applyNumberFormat="1" applyFill="1" applyBorder="1" applyAlignment="1">
      <alignment horizontal="center" vertical="center"/>
    </xf>
    <xf numFmtId="3" fontId="10" fillId="11" borderId="2" xfId="0" applyNumberFormat="1" applyFont="1" applyFill="1" applyBorder="1" applyAlignment="1">
      <alignment horizontal="center" vertical="center"/>
    </xf>
    <xf numFmtId="3" fontId="0" fillId="11" borderId="13" xfId="0" applyNumberFormat="1" applyFill="1" applyBorder="1" applyAlignment="1">
      <alignment horizontal="center" vertical="center"/>
    </xf>
    <xf numFmtId="3" fontId="0" fillId="11" borderId="3" xfId="0" applyNumberFormat="1" applyFill="1" applyBorder="1" applyAlignment="1">
      <alignment horizontal="center" vertical="center"/>
    </xf>
    <xf numFmtId="3" fontId="10" fillId="11" borderId="5" xfId="0" applyNumberFormat="1" applyFont="1" applyFill="1" applyBorder="1" applyAlignment="1">
      <alignment horizontal="center" vertical="center"/>
    </xf>
    <xf numFmtId="3" fontId="0" fillId="11" borderId="0" xfId="0" applyNumberFormat="1" applyFill="1" applyAlignment="1">
      <alignment horizontal="center" vertical="center"/>
    </xf>
    <xf numFmtId="3" fontId="0" fillId="11" borderId="6" xfId="0" applyNumberFormat="1" applyFill="1" applyBorder="1" applyAlignment="1">
      <alignment horizontal="center" vertical="center"/>
    </xf>
    <xf numFmtId="3" fontId="10" fillId="11" borderId="8" xfId="0" applyNumberFormat="1" applyFont="1" applyFill="1" applyBorder="1" applyAlignment="1">
      <alignment horizontal="center" vertical="center"/>
    </xf>
    <xf numFmtId="3" fontId="0" fillId="11" borderId="14" xfId="0" applyNumberFormat="1" applyFill="1" applyBorder="1" applyAlignment="1">
      <alignment horizontal="center" vertical="center"/>
    </xf>
    <xf numFmtId="3" fontId="0" fillId="11" borderId="9" xfId="0" applyNumberFormat="1" applyFill="1" applyBorder="1" applyAlignment="1">
      <alignment horizontal="center" vertical="center"/>
    </xf>
    <xf numFmtId="0" fontId="31" fillId="0" borderId="0" xfId="0" applyFont="1"/>
    <xf numFmtId="4" fontId="31" fillId="0" borderId="0" xfId="0" applyNumberFormat="1" applyFont="1" applyAlignment="1">
      <alignment horizontal="left" vertical="center"/>
    </xf>
    <xf numFmtId="3" fontId="10" fillId="3" borderId="2" xfId="0" applyNumberFormat="1" applyFont="1" applyFill="1" applyBorder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3" fontId="0" fillId="3" borderId="3" xfId="0" applyNumberFormat="1" applyFill="1" applyBorder="1" applyAlignment="1">
      <alignment horizontal="center" vertical="center"/>
    </xf>
    <xf numFmtId="3" fontId="0" fillId="6" borderId="0" xfId="0" applyNumberFormat="1" applyFill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3" fontId="10" fillId="3" borderId="5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3" fontId="0" fillId="3" borderId="6" xfId="0" applyNumberFormat="1" applyFill="1" applyBorder="1" applyAlignment="1">
      <alignment horizontal="center" vertical="center"/>
    </xf>
    <xf numFmtId="3" fontId="10" fillId="3" borderId="6" xfId="0" applyNumberFormat="1" applyFont="1" applyFill="1" applyBorder="1" applyAlignment="1">
      <alignment horizontal="center" vertical="center"/>
    </xf>
    <xf numFmtId="3" fontId="10" fillId="6" borderId="6" xfId="0" applyNumberFormat="1" applyFont="1" applyFill="1" applyBorder="1" applyAlignment="1">
      <alignment horizontal="center" vertical="center"/>
    </xf>
    <xf numFmtId="3" fontId="10" fillId="3" borderId="8" xfId="0" applyNumberFormat="1" applyFont="1" applyFill="1" applyBorder="1" applyAlignment="1">
      <alignment horizontal="center" vertical="center"/>
    </xf>
    <xf numFmtId="3" fontId="10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33" fillId="0" borderId="0" xfId="0" applyFont="1"/>
    <xf numFmtId="0" fontId="15" fillId="0" borderId="0" xfId="0" applyFont="1"/>
    <xf numFmtId="0" fontId="11" fillId="0" borderId="0" xfId="0" applyFont="1"/>
    <xf numFmtId="4" fontId="32" fillId="12" borderId="1" xfId="0" applyNumberFormat="1" applyFont="1" applyFill="1" applyBorder="1" applyAlignment="1">
      <alignment horizontal="center" vertical="center"/>
    </xf>
    <xf numFmtId="4" fontId="32" fillId="12" borderId="4" xfId="0" applyNumberFormat="1" applyFont="1" applyFill="1" applyBorder="1" applyAlignment="1">
      <alignment horizontal="center" vertical="center"/>
    </xf>
    <xf numFmtId="4" fontId="32" fillId="12" borderId="7" xfId="0" applyNumberFormat="1" applyFont="1" applyFill="1" applyBorder="1" applyAlignment="1">
      <alignment horizontal="center" vertical="center"/>
    </xf>
    <xf numFmtId="0" fontId="34" fillId="0" borderId="0" xfId="0" applyFont="1"/>
    <xf numFmtId="3" fontId="33" fillId="0" borderId="0" xfId="0" applyNumberFormat="1" applyFont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4" borderId="4" xfId="0" applyNumberFormat="1" applyFont="1" applyFill="1" applyBorder="1" applyAlignment="1">
      <alignment horizontal="center" vertical="center"/>
    </xf>
    <xf numFmtId="10" fontId="2" fillId="4" borderId="7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16" fillId="0" borderId="0" xfId="0" applyFont="1" applyAlignment="1">
      <alignment vertical="center"/>
    </xf>
    <xf numFmtId="171" fontId="0" fillId="0" borderId="0" xfId="0" applyNumberFormat="1" applyAlignment="1">
      <alignment horizontal="left"/>
    </xf>
    <xf numFmtId="0" fontId="32" fillId="12" borderId="0" xfId="0" applyFont="1" applyFill="1"/>
    <xf numFmtId="0" fontId="0" fillId="5" borderId="13" xfId="0" applyFill="1" applyBorder="1"/>
    <xf numFmtId="0" fontId="0" fillId="5" borderId="3" xfId="0" applyFill="1" applyBorder="1"/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0" fillId="5" borderId="14" xfId="0" applyFill="1" applyBorder="1"/>
    <xf numFmtId="0" fontId="0" fillId="5" borderId="9" xfId="0" applyFill="1" applyBorder="1"/>
    <xf numFmtId="0" fontId="1" fillId="5" borderId="0" xfId="0" applyFont="1" applyFill="1"/>
    <xf numFmtId="0" fontId="24" fillId="5" borderId="0" xfId="0" applyFont="1" applyFill="1"/>
    <xf numFmtId="0" fontId="32" fillId="12" borderId="2" xfId="0" applyFont="1" applyFill="1" applyBorder="1"/>
    <xf numFmtId="0" fontId="32" fillId="12" borderId="5" xfId="0" applyFont="1" applyFill="1" applyBorder="1"/>
    <xf numFmtId="0" fontId="32" fillId="12" borderId="8" xfId="0" applyFont="1" applyFill="1" applyBorder="1"/>
    <xf numFmtId="0" fontId="38" fillId="0" borderId="0" xfId="0" applyFont="1"/>
    <xf numFmtId="0" fontId="38" fillId="0" borderId="0" xfId="0" applyFont="1" applyAlignment="1">
      <alignment horizontal="center" vertical="center"/>
    </xf>
    <xf numFmtId="4" fontId="41" fillId="12" borderId="1" xfId="0" applyNumberFormat="1" applyFont="1" applyFill="1" applyBorder="1" applyAlignment="1">
      <alignment horizontal="center" vertical="center"/>
    </xf>
    <xf numFmtId="10" fontId="42" fillId="4" borderId="1" xfId="0" applyNumberFormat="1" applyFont="1" applyFill="1" applyBorder="1" applyAlignment="1">
      <alignment horizontal="center" vertical="center"/>
    </xf>
    <xf numFmtId="4" fontId="41" fillId="12" borderId="4" xfId="0" applyNumberFormat="1" applyFont="1" applyFill="1" applyBorder="1" applyAlignment="1">
      <alignment horizontal="center" vertical="center"/>
    </xf>
    <xf numFmtId="10" fontId="42" fillId="4" borderId="4" xfId="0" applyNumberFormat="1" applyFont="1" applyFill="1" applyBorder="1" applyAlignment="1">
      <alignment horizontal="center" vertical="center"/>
    </xf>
    <xf numFmtId="4" fontId="41" fillId="12" borderId="7" xfId="0" applyNumberFormat="1" applyFont="1" applyFill="1" applyBorder="1" applyAlignment="1">
      <alignment horizontal="center" vertical="center"/>
    </xf>
    <xf numFmtId="10" fontId="42" fillId="4" borderId="7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4" fontId="38" fillId="0" borderId="0" xfId="0" applyNumberFormat="1" applyFont="1"/>
    <xf numFmtId="0" fontId="43" fillId="0" borderId="0" xfId="0" applyFont="1"/>
    <xf numFmtId="0" fontId="44" fillId="0" borderId="36" xfId="0" applyFont="1" applyBorder="1" applyAlignment="1">
      <alignment horizontal="center" vertical="center"/>
    </xf>
    <xf numFmtId="0" fontId="44" fillId="0" borderId="47" xfId="0" applyFont="1" applyBorder="1" applyAlignment="1">
      <alignment horizontal="center" vertical="center"/>
    </xf>
    <xf numFmtId="0" fontId="38" fillId="0" borderId="47" xfId="0" applyFont="1" applyBorder="1" applyAlignment="1">
      <alignment horizontal="center" vertical="center"/>
    </xf>
    <xf numFmtId="0" fontId="38" fillId="0" borderId="37" xfId="0" applyFont="1" applyBorder="1" applyAlignment="1">
      <alignment horizontal="center" vertical="center"/>
    </xf>
    <xf numFmtId="0" fontId="45" fillId="4" borderId="0" xfId="0" applyFont="1" applyFill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0" fontId="44" fillId="0" borderId="45" xfId="0" applyFont="1" applyBorder="1" applyAlignment="1">
      <alignment horizontal="center" vertical="center"/>
    </xf>
    <xf numFmtId="0" fontId="38" fillId="0" borderId="45" xfId="0" applyFont="1" applyBorder="1" applyAlignment="1">
      <alignment horizontal="center" vertical="center"/>
    </xf>
    <xf numFmtId="0" fontId="38" fillId="0" borderId="46" xfId="0" applyFont="1" applyBorder="1" applyAlignment="1">
      <alignment horizontal="center" vertical="center"/>
    </xf>
    <xf numFmtId="3" fontId="38" fillId="0" borderId="0" xfId="0" applyNumberFormat="1" applyFont="1" applyAlignment="1">
      <alignment horizontal="center" vertical="center"/>
    </xf>
    <xf numFmtId="3" fontId="42" fillId="5" borderId="10" xfId="0" applyNumberFormat="1" applyFont="1" applyFill="1" applyBorder="1" applyAlignment="1">
      <alignment horizontal="center" vertical="center"/>
    </xf>
    <xf numFmtId="3" fontId="42" fillId="5" borderId="11" xfId="0" applyNumberFormat="1" applyFont="1" applyFill="1" applyBorder="1" applyAlignment="1">
      <alignment horizontal="center" vertical="center"/>
    </xf>
    <xf numFmtId="3" fontId="42" fillId="5" borderId="12" xfId="0" applyNumberFormat="1" applyFont="1" applyFill="1" applyBorder="1" applyAlignment="1">
      <alignment horizontal="center" vertical="center"/>
    </xf>
    <xf numFmtId="0" fontId="46" fillId="0" borderId="0" xfId="0" applyFont="1"/>
    <xf numFmtId="0" fontId="42" fillId="0" borderId="0" xfId="0" applyFont="1"/>
    <xf numFmtId="0" fontId="44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" fontId="47" fillId="3" borderId="2" xfId="0" applyNumberFormat="1" applyFont="1" applyFill="1" applyBorder="1" applyAlignment="1">
      <alignment horizontal="center" vertical="center"/>
    </xf>
    <xf numFmtId="3" fontId="47" fillId="4" borderId="13" xfId="0" applyNumberFormat="1" applyFont="1" applyFill="1" applyBorder="1" applyAlignment="1">
      <alignment horizontal="center" vertical="center"/>
    </xf>
    <xf numFmtId="3" fontId="42" fillId="4" borderId="13" xfId="0" applyNumberFormat="1" applyFont="1" applyFill="1" applyBorder="1" applyAlignment="1">
      <alignment horizontal="center" vertical="center"/>
    </xf>
    <xf numFmtId="3" fontId="42" fillId="4" borderId="3" xfId="0" applyNumberFormat="1" applyFont="1" applyFill="1" applyBorder="1" applyAlignment="1">
      <alignment horizontal="center" vertical="center"/>
    </xf>
    <xf numFmtId="4" fontId="47" fillId="3" borderId="5" xfId="0" applyNumberFormat="1" applyFont="1" applyFill="1" applyBorder="1" applyAlignment="1">
      <alignment horizontal="center" vertical="center"/>
    </xf>
    <xf numFmtId="4" fontId="47" fillId="3" borderId="0" xfId="0" applyNumberFormat="1" applyFont="1" applyFill="1" applyAlignment="1">
      <alignment horizontal="center" vertical="center"/>
    </xf>
    <xf numFmtId="3" fontId="47" fillId="4" borderId="0" xfId="0" applyNumberFormat="1" applyFont="1" applyFill="1" applyAlignment="1">
      <alignment horizontal="center" vertical="center"/>
    </xf>
    <xf numFmtId="3" fontId="42" fillId="4" borderId="0" xfId="0" applyNumberFormat="1" applyFont="1" applyFill="1" applyAlignment="1">
      <alignment horizontal="center" vertical="center"/>
    </xf>
    <xf numFmtId="3" fontId="42" fillId="4" borderId="6" xfId="0" applyNumberFormat="1" applyFont="1" applyFill="1" applyBorder="1" applyAlignment="1">
      <alignment horizontal="center" vertical="center"/>
    </xf>
    <xf numFmtId="3" fontId="47" fillId="4" borderId="5" xfId="0" applyNumberFormat="1" applyFont="1" applyFill="1" applyBorder="1" applyAlignment="1">
      <alignment horizontal="center" vertical="center"/>
    </xf>
    <xf numFmtId="4" fontId="42" fillId="13" borderId="0" xfId="0" applyNumberFormat="1" applyFont="1" applyFill="1" applyAlignment="1">
      <alignment horizontal="center" vertical="center"/>
    </xf>
    <xf numFmtId="3" fontId="47" fillId="4" borderId="8" xfId="0" applyNumberFormat="1" applyFont="1" applyFill="1" applyBorder="1" applyAlignment="1">
      <alignment horizontal="center" vertical="center"/>
    </xf>
    <xf numFmtId="3" fontId="47" fillId="4" borderId="14" xfId="0" applyNumberFormat="1" applyFont="1" applyFill="1" applyBorder="1" applyAlignment="1">
      <alignment horizontal="center" vertical="center"/>
    </xf>
    <xf numFmtId="4" fontId="42" fillId="13" borderId="14" xfId="0" applyNumberFormat="1" applyFont="1" applyFill="1" applyBorder="1" applyAlignment="1">
      <alignment horizontal="center" vertical="center"/>
    </xf>
    <xf numFmtId="4" fontId="42" fillId="13" borderId="9" xfId="0" applyNumberFormat="1" applyFont="1" applyFill="1" applyBorder="1" applyAlignment="1">
      <alignment horizontal="center" vertical="center"/>
    </xf>
    <xf numFmtId="0" fontId="47" fillId="4" borderId="25" xfId="0" applyFont="1" applyFill="1" applyBorder="1" applyAlignment="1">
      <alignment horizontal="center" vertical="center"/>
    </xf>
    <xf numFmtId="3" fontId="42" fillId="5" borderId="48" xfId="0" applyNumberFormat="1" applyFont="1" applyFill="1" applyBorder="1" applyAlignment="1">
      <alignment horizontal="center" vertical="center"/>
    </xf>
    <xf numFmtId="3" fontId="42" fillId="5" borderId="49" xfId="0" applyNumberFormat="1" applyFont="1" applyFill="1" applyBorder="1" applyAlignment="1">
      <alignment horizontal="center" vertical="center"/>
    </xf>
    <xf numFmtId="3" fontId="42" fillId="5" borderId="50" xfId="0" applyNumberFormat="1" applyFont="1" applyFill="1" applyBorder="1" applyAlignment="1">
      <alignment horizontal="center" vertical="center"/>
    </xf>
    <xf numFmtId="0" fontId="47" fillId="4" borderId="28" xfId="0" applyFont="1" applyFill="1" applyBorder="1" applyAlignment="1">
      <alignment horizontal="center" vertical="center"/>
    </xf>
    <xf numFmtId="3" fontId="42" fillId="4" borderId="51" xfId="0" applyNumberFormat="1" applyFont="1" applyFill="1" applyBorder="1" applyAlignment="1">
      <alignment horizontal="center" vertical="center"/>
    </xf>
    <xf numFmtId="3" fontId="42" fillId="4" borderId="52" xfId="0" applyNumberFormat="1" applyFont="1" applyFill="1" applyBorder="1" applyAlignment="1">
      <alignment horizontal="center" vertical="center"/>
    </xf>
    <xf numFmtId="3" fontId="42" fillId="5" borderId="51" xfId="0" applyNumberFormat="1" applyFont="1" applyFill="1" applyBorder="1" applyAlignment="1">
      <alignment horizontal="center" vertical="center"/>
    </xf>
    <xf numFmtId="3" fontId="42" fillId="5" borderId="0" xfId="0" applyNumberFormat="1" applyFont="1" applyFill="1" applyAlignment="1">
      <alignment horizontal="center" vertical="center"/>
    </xf>
    <xf numFmtId="3" fontId="42" fillId="5" borderId="52" xfId="0" applyNumberFormat="1" applyFont="1" applyFill="1" applyBorder="1" applyAlignment="1">
      <alignment horizontal="center" vertical="center"/>
    </xf>
    <xf numFmtId="3" fontId="47" fillId="5" borderId="2" xfId="0" applyNumberFormat="1" applyFont="1" applyFill="1" applyBorder="1" applyAlignment="1">
      <alignment horizontal="center" vertical="center"/>
    </xf>
    <xf numFmtId="3" fontId="47" fillId="5" borderId="13" xfId="0" applyNumberFormat="1" applyFont="1" applyFill="1" applyBorder="1" applyAlignment="1">
      <alignment horizontal="center" vertical="center"/>
    </xf>
    <xf numFmtId="3" fontId="42" fillId="5" borderId="13" xfId="0" applyNumberFormat="1" applyFont="1" applyFill="1" applyBorder="1" applyAlignment="1">
      <alignment horizontal="center" vertical="center"/>
    </xf>
    <xf numFmtId="3" fontId="42" fillId="5" borderId="3" xfId="0" applyNumberFormat="1" applyFont="1" applyFill="1" applyBorder="1" applyAlignment="1">
      <alignment horizontal="center" vertical="center"/>
    </xf>
    <xf numFmtId="4" fontId="38" fillId="0" borderId="0" xfId="0" applyNumberFormat="1" applyFont="1" applyAlignment="1">
      <alignment horizontal="center" vertical="center"/>
    </xf>
    <xf numFmtId="3" fontId="47" fillId="5" borderId="5" xfId="0" applyNumberFormat="1" applyFont="1" applyFill="1" applyBorder="1" applyAlignment="1">
      <alignment horizontal="center" vertical="center"/>
    </xf>
    <xf numFmtId="3" fontId="47" fillId="5" borderId="0" xfId="0" applyNumberFormat="1" applyFont="1" applyFill="1" applyAlignment="1">
      <alignment horizontal="center" vertical="center"/>
    </xf>
    <xf numFmtId="3" fontId="42" fillId="5" borderId="6" xfId="0" applyNumberFormat="1" applyFont="1" applyFill="1" applyBorder="1" applyAlignment="1">
      <alignment horizontal="center" vertical="center"/>
    </xf>
    <xf numFmtId="0" fontId="52" fillId="0" borderId="0" xfId="0" applyFont="1"/>
    <xf numFmtId="3" fontId="47" fillId="5" borderId="8" xfId="0" applyNumberFormat="1" applyFont="1" applyFill="1" applyBorder="1" applyAlignment="1">
      <alignment horizontal="center" vertical="center"/>
    </xf>
    <xf numFmtId="3" fontId="47" fillId="5" borderId="14" xfId="0" applyNumberFormat="1" applyFont="1" applyFill="1" applyBorder="1" applyAlignment="1">
      <alignment horizontal="center" vertical="center"/>
    </xf>
    <xf numFmtId="3" fontId="42" fillId="5" borderId="14" xfId="0" applyNumberFormat="1" applyFont="1" applyFill="1" applyBorder="1" applyAlignment="1">
      <alignment horizontal="center" vertical="center"/>
    </xf>
    <xf numFmtId="3" fontId="42" fillId="5" borderId="9" xfId="0" applyNumberFormat="1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3" fontId="42" fillId="4" borderId="53" xfId="0" applyNumberFormat="1" applyFont="1" applyFill="1" applyBorder="1" applyAlignment="1">
      <alignment horizontal="center" vertical="center"/>
    </xf>
    <xf numFmtId="3" fontId="42" fillId="4" borderId="54" xfId="0" applyNumberFormat="1" applyFont="1" applyFill="1" applyBorder="1" applyAlignment="1">
      <alignment horizontal="center" vertical="center"/>
    </xf>
    <xf numFmtId="3" fontId="42" fillId="4" borderId="55" xfId="0" applyNumberFormat="1" applyFont="1" applyFill="1" applyBorder="1" applyAlignment="1">
      <alignment horizontal="center" vertical="center"/>
    </xf>
    <xf numFmtId="4" fontId="52" fillId="0" borderId="0" xfId="0" applyNumberFormat="1" applyFont="1" applyAlignment="1">
      <alignment horizontal="left" vertical="center"/>
    </xf>
    <xf numFmtId="3" fontId="47" fillId="5" borderId="10" xfId="0" applyNumberFormat="1" applyFont="1" applyFill="1" applyBorder="1" applyAlignment="1">
      <alignment horizontal="center" vertical="center"/>
    </xf>
    <xf numFmtId="3" fontId="47" fillId="5" borderId="11" xfId="0" applyNumberFormat="1" applyFont="1" applyFill="1" applyBorder="1" applyAlignment="1">
      <alignment horizontal="center" vertical="center"/>
    </xf>
    <xf numFmtId="3" fontId="42" fillId="0" borderId="57" xfId="0" applyNumberFormat="1" applyFont="1" applyBorder="1" applyAlignment="1">
      <alignment horizontal="center" vertical="center"/>
    </xf>
    <xf numFmtId="3" fontId="42" fillId="0" borderId="58" xfId="0" applyNumberFormat="1" applyFont="1" applyBorder="1" applyAlignment="1">
      <alignment horizontal="center" vertical="center"/>
    </xf>
    <xf numFmtId="3" fontId="42" fillId="0" borderId="59" xfId="0" applyNumberFormat="1" applyFont="1" applyBorder="1" applyAlignment="1">
      <alignment horizontal="center" vertical="center"/>
    </xf>
    <xf numFmtId="3" fontId="42" fillId="0" borderId="60" xfId="0" applyNumberFormat="1" applyFont="1" applyBorder="1" applyAlignment="1">
      <alignment horizontal="center" vertical="center"/>
    </xf>
    <xf numFmtId="3" fontId="42" fillId="0" borderId="61" xfId="0" applyNumberFormat="1" applyFont="1" applyBorder="1" applyAlignment="1">
      <alignment horizontal="center" vertical="center"/>
    </xf>
    <xf numFmtId="4" fontId="42" fillId="0" borderId="61" xfId="0" applyNumberFormat="1" applyFont="1" applyBorder="1" applyAlignment="1">
      <alignment horizontal="center" vertical="center"/>
    </xf>
    <xf numFmtId="4" fontId="42" fillId="0" borderId="6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right" vertical="center" textRotation="90"/>
    </xf>
    <xf numFmtId="0" fontId="43" fillId="0" borderId="56" xfId="0" applyFont="1" applyBorder="1" applyAlignment="1">
      <alignment horizontal="center" vertical="center"/>
    </xf>
    <xf numFmtId="0" fontId="38" fillId="0" borderId="56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43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54" fillId="5" borderId="0" xfId="0" applyNumberFormat="1" applyFont="1" applyFill="1" applyAlignment="1">
      <alignment horizontal="center" vertical="center"/>
    </xf>
    <xf numFmtId="4" fontId="55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right" vertical="center"/>
    </xf>
    <xf numFmtId="4" fontId="54" fillId="5" borderId="14" xfId="0" applyNumberFormat="1" applyFont="1" applyFill="1" applyBorder="1" applyAlignment="1">
      <alignment horizontal="center" vertical="center"/>
    </xf>
    <xf numFmtId="0" fontId="44" fillId="0" borderId="0" xfId="0" applyFont="1"/>
    <xf numFmtId="0" fontId="56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4" fontId="44" fillId="0" borderId="0" xfId="0" applyNumberFormat="1" applyFont="1" applyAlignment="1">
      <alignment horizontal="left" vertical="center"/>
    </xf>
    <xf numFmtId="3" fontId="38" fillId="4" borderId="8" xfId="0" applyNumberFormat="1" applyFont="1" applyFill="1" applyBorder="1" applyAlignment="1">
      <alignment horizontal="center" vertical="center"/>
    </xf>
    <xf numFmtId="3" fontId="38" fillId="4" borderId="14" xfId="0" applyNumberFormat="1" applyFont="1" applyFill="1" applyBorder="1" applyAlignment="1">
      <alignment horizontal="center" vertical="center"/>
    </xf>
    <xf numFmtId="3" fontId="38" fillId="4" borderId="9" xfId="0" applyNumberFormat="1" applyFont="1" applyFill="1" applyBorder="1" applyAlignment="1">
      <alignment horizontal="center" vertical="center"/>
    </xf>
    <xf numFmtId="0" fontId="38" fillId="0" borderId="0" xfId="0" quotePrefix="1" applyFont="1"/>
    <xf numFmtId="0" fontId="38" fillId="0" borderId="0" xfId="0" applyFont="1" applyAlignment="1">
      <alignment horizontal="right" vertical="center"/>
    </xf>
    <xf numFmtId="0" fontId="38" fillId="0" borderId="0" xfId="0" applyFont="1" applyAlignment="1">
      <alignment horizontal="right"/>
    </xf>
    <xf numFmtId="0" fontId="38" fillId="0" borderId="0" xfId="0" quotePrefix="1" applyFont="1" applyAlignment="1">
      <alignment horizontal="right"/>
    </xf>
    <xf numFmtId="3" fontId="54" fillId="4" borderId="0" xfId="0" applyNumberFormat="1" applyFont="1" applyFill="1" applyAlignment="1">
      <alignment horizontal="center" vertical="center"/>
    </xf>
    <xf numFmtId="3" fontId="54" fillId="4" borderId="14" xfId="0" applyNumberFormat="1" applyFont="1" applyFill="1" applyBorder="1" applyAlignment="1">
      <alignment horizontal="center" vertical="center"/>
    </xf>
    <xf numFmtId="3" fontId="54" fillId="4" borderId="13" xfId="0" applyNumberFormat="1" applyFont="1" applyFill="1" applyBorder="1" applyAlignment="1">
      <alignment horizontal="center" vertical="center"/>
    </xf>
    <xf numFmtId="3" fontId="44" fillId="0" borderId="5" xfId="0" applyNumberFormat="1" applyFont="1" applyFill="1" applyBorder="1" applyAlignment="1">
      <alignment horizontal="center" vertical="center"/>
    </xf>
    <xf numFmtId="3" fontId="54" fillId="0" borderId="0" xfId="0" applyNumberFormat="1" applyFont="1" applyFill="1" applyAlignment="1">
      <alignment horizontal="center" vertical="center"/>
    </xf>
    <xf numFmtId="3" fontId="44" fillId="0" borderId="0" xfId="0" applyNumberFormat="1" applyFont="1" applyFill="1" applyAlignment="1">
      <alignment horizontal="center" vertical="center"/>
    </xf>
    <xf numFmtId="3" fontId="44" fillId="0" borderId="6" xfId="0" applyNumberFormat="1" applyFont="1" applyFill="1" applyBorder="1" applyAlignment="1">
      <alignment horizontal="center" vertical="center"/>
    </xf>
    <xf numFmtId="3" fontId="44" fillId="5" borderId="2" xfId="0" applyNumberFormat="1" applyFont="1" applyFill="1" applyBorder="1" applyAlignment="1">
      <alignment horizontal="center" vertical="center"/>
    </xf>
    <xf numFmtId="3" fontId="44" fillId="5" borderId="13" xfId="0" applyNumberFormat="1" applyFont="1" applyFill="1" applyBorder="1" applyAlignment="1">
      <alignment horizontal="center" vertical="center"/>
    </xf>
    <xf numFmtId="3" fontId="44" fillId="5" borderId="5" xfId="0" applyNumberFormat="1" applyFont="1" applyFill="1" applyBorder="1" applyAlignment="1">
      <alignment horizontal="center" vertical="center"/>
    </xf>
    <xf numFmtId="3" fontId="54" fillId="5" borderId="0" xfId="0" applyNumberFormat="1" applyFont="1" applyFill="1" applyAlignment="1">
      <alignment horizontal="center" vertical="center"/>
    </xf>
    <xf numFmtId="3" fontId="44" fillId="5" borderId="0" xfId="0" applyNumberFormat="1" applyFont="1" applyFill="1" applyAlignment="1">
      <alignment horizontal="center" vertical="center"/>
    </xf>
    <xf numFmtId="3" fontId="44" fillId="5" borderId="6" xfId="0" applyNumberFormat="1" applyFont="1" applyFill="1" applyBorder="1" applyAlignment="1">
      <alignment horizontal="center" vertical="center"/>
    </xf>
    <xf numFmtId="3" fontId="44" fillId="5" borderId="8" xfId="0" applyNumberFormat="1" applyFont="1" applyFill="1" applyBorder="1" applyAlignment="1">
      <alignment horizontal="center" vertical="center"/>
    </xf>
    <xf numFmtId="3" fontId="44" fillId="5" borderId="14" xfId="0" applyNumberFormat="1" applyFont="1" applyFill="1" applyBorder="1" applyAlignment="1">
      <alignment horizontal="center" vertical="center"/>
    </xf>
    <xf numFmtId="3" fontId="44" fillId="5" borderId="9" xfId="0" applyNumberFormat="1" applyFont="1" applyFill="1" applyBorder="1" applyAlignment="1">
      <alignment horizontal="center" vertical="center"/>
    </xf>
    <xf numFmtId="3" fontId="44" fillId="4" borderId="13" xfId="0" applyNumberFormat="1" applyFont="1" applyFill="1" applyBorder="1" applyAlignment="1">
      <alignment horizontal="center" vertical="center"/>
    </xf>
    <xf numFmtId="3" fontId="44" fillId="4" borderId="3" xfId="0" applyNumberFormat="1" applyFont="1" applyFill="1" applyBorder="1" applyAlignment="1">
      <alignment horizontal="center" vertical="center"/>
    </xf>
    <xf numFmtId="3" fontId="44" fillId="4" borderId="0" xfId="0" applyNumberFormat="1" applyFont="1" applyFill="1" applyAlignment="1">
      <alignment horizontal="center" vertical="center"/>
    </xf>
    <xf numFmtId="3" fontId="44" fillId="4" borderId="6" xfId="0" applyNumberFormat="1" applyFont="1" applyFill="1" applyBorder="1" applyAlignment="1">
      <alignment horizontal="center" vertical="center"/>
    </xf>
    <xf numFmtId="3" fontId="44" fillId="4" borderId="5" xfId="0" applyNumberFormat="1" applyFont="1" applyFill="1" applyBorder="1" applyAlignment="1">
      <alignment horizontal="center" vertical="center"/>
    </xf>
    <xf numFmtId="3" fontId="44" fillId="4" borderId="8" xfId="0" applyNumberFormat="1" applyFont="1" applyFill="1" applyBorder="1" applyAlignment="1">
      <alignment horizontal="center" vertical="center"/>
    </xf>
    <xf numFmtId="3" fontId="44" fillId="4" borderId="14" xfId="0" applyNumberFormat="1" applyFont="1" applyFill="1" applyBorder="1" applyAlignment="1">
      <alignment horizontal="center" vertical="center"/>
    </xf>
    <xf numFmtId="4" fontId="44" fillId="5" borderId="2" xfId="0" applyNumberFormat="1" applyFont="1" applyFill="1" applyBorder="1" applyAlignment="1">
      <alignment horizontal="center" vertical="center"/>
    </xf>
    <xf numFmtId="4" fontId="44" fillId="5" borderId="5" xfId="0" applyNumberFormat="1" applyFont="1" applyFill="1" applyBorder="1" applyAlignment="1">
      <alignment horizontal="center" vertical="center"/>
    </xf>
    <xf numFmtId="4" fontId="44" fillId="5" borderId="0" xfId="0" applyNumberFormat="1" applyFont="1" applyFill="1" applyAlignment="1">
      <alignment horizontal="center" vertical="center"/>
    </xf>
    <xf numFmtId="4" fontId="44" fillId="5" borderId="14" xfId="0" applyNumberFormat="1" applyFont="1" applyFill="1" applyBorder="1" applyAlignment="1">
      <alignment horizontal="center" vertical="center"/>
    </xf>
    <xf numFmtId="4" fontId="44" fillId="5" borderId="9" xfId="0" applyNumberFormat="1" applyFont="1" applyFill="1" applyBorder="1" applyAlignment="1">
      <alignment horizontal="center" vertical="center"/>
    </xf>
    <xf numFmtId="3" fontId="38" fillId="0" borderId="51" xfId="0" applyNumberFormat="1" applyFont="1" applyFill="1" applyBorder="1" applyAlignment="1">
      <alignment horizontal="center" vertical="center"/>
    </xf>
    <xf numFmtId="3" fontId="38" fillId="0" borderId="0" xfId="0" applyNumberFormat="1" applyFont="1" applyFill="1" applyAlignment="1">
      <alignment horizontal="center" vertical="center"/>
    </xf>
    <xf numFmtId="3" fontId="38" fillId="0" borderId="52" xfId="0" applyNumberFormat="1" applyFont="1" applyFill="1" applyBorder="1" applyAlignment="1">
      <alignment horizontal="center" vertical="center"/>
    </xf>
    <xf numFmtId="3" fontId="38" fillId="0" borderId="53" xfId="0" applyNumberFormat="1" applyFont="1" applyFill="1" applyBorder="1" applyAlignment="1">
      <alignment horizontal="center" vertical="center"/>
    </xf>
    <xf numFmtId="3" fontId="38" fillId="0" borderId="54" xfId="0" applyNumberFormat="1" applyFont="1" applyFill="1" applyBorder="1" applyAlignment="1">
      <alignment horizontal="center" vertical="center"/>
    </xf>
    <xf numFmtId="3" fontId="54" fillId="0" borderId="54" xfId="0" applyNumberFormat="1" applyFont="1" applyFill="1" applyBorder="1" applyAlignment="1">
      <alignment horizontal="center" vertical="center"/>
    </xf>
    <xf numFmtId="3" fontId="38" fillId="0" borderId="55" xfId="0" applyNumberFormat="1" applyFont="1" applyFill="1" applyBorder="1" applyAlignment="1">
      <alignment horizontal="center" vertical="center"/>
    </xf>
    <xf numFmtId="3" fontId="38" fillId="0" borderId="10" xfId="0" applyNumberFormat="1" applyFont="1" applyFill="1" applyBorder="1" applyAlignment="1">
      <alignment horizontal="center" vertical="center"/>
    </xf>
    <xf numFmtId="3" fontId="38" fillId="0" borderId="11" xfId="0" applyNumberFormat="1" applyFont="1" applyFill="1" applyBorder="1" applyAlignment="1">
      <alignment horizontal="center" vertical="center"/>
    </xf>
    <xf numFmtId="3" fontId="38" fillId="0" borderId="12" xfId="0" applyNumberFormat="1" applyFont="1" applyFill="1" applyBorder="1" applyAlignment="1">
      <alignment horizontal="center" vertical="center"/>
    </xf>
    <xf numFmtId="3" fontId="38" fillId="5" borderId="48" xfId="0" applyNumberFormat="1" applyFont="1" applyFill="1" applyBorder="1" applyAlignment="1">
      <alignment horizontal="center" vertical="center"/>
    </xf>
    <xf numFmtId="3" fontId="38" fillId="5" borderId="49" xfId="0" applyNumberFormat="1" applyFont="1" applyFill="1" applyBorder="1" applyAlignment="1">
      <alignment horizontal="center" vertical="center"/>
    </xf>
    <xf numFmtId="3" fontId="54" fillId="5" borderId="49" xfId="0" applyNumberFormat="1" applyFont="1" applyFill="1" applyBorder="1" applyAlignment="1">
      <alignment horizontal="center" vertical="center"/>
    </xf>
    <xf numFmtId="3" fontId="38" fillId="5" borderId="50" xfId="0" applyNumberFormat="1" applyFont="1" applyFill="1" applyBorder="1" applyAlignment="1">
      <alignment horizontal="center" vertical="center"/>
    </xf>
    <xf numFmtId="3" fontId="38" fillId="5" borderId="51" xfId="0" applyNumberFormat="1" applyFont="1" applyFill="1" applyBorder="1" applyAlignment="1">
      <alignment horizontal="center" vertical="center"/>
    </xf>
    <xf numFmtId="3" fontId="38" fillId="5" borderId="0" xfId="0" applyNumberFormat="1" applyFont="1" applyFill="1" applyAlignment="1">
      <alignment horizontal="center" vertical="center"/>
    </xf>
    <xf numFmtId="3" fontId="38" fillId="5" borderId="52" xfId="0" applyNumberFormat="1" applyFont="1" applyFill="1" applyBorder="1" applyAlignment="1">
      <alignment horizontal="center" vertical="center"/>
    </xf>
    <xf numFmtId="3" fontId="44" fillId="5" borderId="3" xfId="0" applyNumberFormat="1" applyFont="1" applyFill="1" applyBorder="1" applyAlignment="1">
      <alignment horizontal="center" vertical="center"/>
    </xf>
    <xf numFmtId="3" fontId="42" fillId="5" borderId="57" xfId="0" applyNumberFormat="1" applyFont="1" applyFill="1" applyBorder="1" applyAlignment="1">
      <alignment horizontal="center" vertical="center"/>
    </xf>
    <xf numFmtId="3" fontId="42" fillId="5" borderId="58" xfId="0" applyNumberFormat="1" applyFont="1" applyFill="1" applyBorder="1" applyAlignment="1">
      <alignment horizontal="center" vertical="center"/>
    </xf>
    <xf numFmtId="3" fontId="42" fillId="5" borderId="59" xfId="0" applyNumberFormat="1" applyFont="1" applyFill="1" applyBorder="1" applyAlignment="1">
      <alignment horizontal="center" vertical="center"/>
    </xf>
    <xf numFmtId="172" fontId="42" fillId="5" borderId="1" xfId="0" applyNumberFormat="1" applyFont="1" applyFill="1" applyBorder="1" applyAlignment="1">
      <alignment horizontal="center" vertical="center"/>
    </xf>
    <xf numFmtId="172" fontId="42" fillId="5" borderId="4" xfId="0" applyNumberFormat="1" applyFont="1" applyFill="1" applyBorder="1" applyAlignment="1">
      <alignment horizontal="center" vertical="center"/>
    </xf>
    <xf numFmtId="172" fontId="42" fillId="5" borderId="7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006600"/>
      <color rgb="FFCC3300"/>
      <color rgb="FFCC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Curve'!$AT$23:$AT$33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Curve'!$AY$23:$AY$33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67392"/>
        <c:axId val="157468928"/>
      </c:lineChart>
      <c:catAx>
        <c:axId val="15746739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8928"/>
        <c:crosses val="autoZero"/>
        <c:auto val="1"/>
        <c:lblAlgn val="ctr"/>
        <c:lblOffset val="100"/>
        <c:noMultiLvlLbl val="0"/>
      </c:catAx>
      <c:valAx>
        <c:axId val="15746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9526</xdr:colOff>
      <xdr:row>18</xdr:row>
      <xdr:rowOff>0</xdr:rowOff>
    </xdr:from>
    <xdr:to>
      <xdr:col>41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600075</xdr:colOff>
          <xdr:row>12</xdr:row>
          <xdr:rowOff>180975</xdr:rowOff>
        </xdr:from>
        <xdr:to>
          <xdr:col>29</xdr:col>
          <xdr:colOff>161925</xdr:colOff>
          <xdr:row>17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38</xdr:col>
      <xdr:colOff>352425</xdr:colOff>
      <xdr:row>1</xdr:row>
      <xdr:rowOff>66675</xdr:rowOff>
    </xdr:from>
    <xdr:to>
      <xdr:col>40</xdr:col>
      <xdr:colOff>496044</xdr:colOff>
      <xdr:row>6</xdr:row>
      <xdr:rowOff>14112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61</xdr:row>
      <xdr:rowOff>76200</xdr:rowOff>
    </xdr:from>
    <xdr:to>
      <xdr:col>49</xdr:col>
      <xdr:colOff>163406</xdr:colOff>
      <xdr:row>85</xdr:row>
      <xdr:rowOff>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  <xdr:oneCellAnchor>
    <xdr:from>
      <xdr:col>13</xdr:col>
      <xdr:colOff>42862</xdr:colOff>
      <xdr:row>45</xdr:row>
      <xdr:rowOff>61912</xdr:rowOff>
    </xdr:from>
    <xdr:ext cx="1862113" cy="3835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𝑒𝑥𝑝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nary>
                          <m:nary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p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d>
                              <m:d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0,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</m:d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𝑑𝑠</m:t>
                            </m:r>
                          </m:e>
                        </m:nary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FAD65E1-3CFF-E338-019F-375A519615B2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𝑃(0,𝑡)=𝑒𝑥𝑝(−∫24_0^𝑡▒𝑓(0,𝑠)𝑑𝑠)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23812</xdr:colOff>
      <xdr:row>3</xdr:row>
      <xdr:rowOff>90487</xdr:rowOff>
    </xdr:from>
    <xdr:ext cx="1491049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 b="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 b="0"/>
            </a:p>
          </xdr:txBody>
        </xdr:sp>
      </mc:Fallback>
    </mc:AlternateContent>
    <xdr:clientData/>
  </xdr:oneCellAnchor>
  <xdr:oneCellAnchor>
    <xdr:from>
      <xdr:col>13</xdr:col>
      <xdr:colOff>0</xdr:colOff>
      <xdr:row>36</xdr:row>
      <xdr:rowOff>0</xdr:rowOff>
    </xdr:from>
    <xdr:ext cx="1445780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33075455-34FB-4322-AD75-EF65D3584359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297656</xdr:colOff>
      <xdr:row>23</xdr:row>
      <xdr:rowOff>13260</xdr:rowOff>
    </xdr:from>
    <xdr:to>
      <xdr:col>13</xdr:col>
      <xdr:colOff>547688</xdr:colOff>
      <xdr:row>26</xdr:row>
      <xdr:rowOff>114425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7969" y="4894823"/>
          <a:ext cx="3238500" cy="6726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28575</xdr:colOff>
      <xdr:row>23</xdr:row>
      <xdr:rowOff>157162</xdr:rowOff>
    </xdr:from>
    <xdr:ext cx="334489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7811750" y="3814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𝐻𝑒𝑑𝑔𝑒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𝑃𝑜𝑠𝑖𝑡𝑖𝑜𝑛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𝐵𝑢𝑐𝑘𝑒𝑡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𝐻𝑒𝑑𝑔𝑒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𝐼𝑛𝑠𝑡𝑟𝑢𝑚𝑒𝑛𝑡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7811750" y="3814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𝐻𝑒𝑑𝑔𝑒 𝑃𝑜𝑠𝑖𝑡𝑖𝑜𝑛=−((𝐵𝑢𝑐𝑘𝑒𝑡 𝑅𝑖𝑠𝑘 𝑇𝑜𝑡𝑎𝑙)/(𝐻𝑒𝑑𝑔𝑒 𝐼𝑛𝑠𝑡𝑟𝑢𝑚𝑒𝑛𝑡 𝑅𝑖𝑠𝑘 𝑇𝑜𝑡𝑎𝑙))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50768</xdr:colOff>
      <xdr:row>7</xdr:row>
      <xdr:rowOff>213201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1633168" y="1394301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28575</xdr:colOff>
      <xdr:row>28</xdr:row>
      <xdr:rowOff>157162</xdr:rowOff>
    </xdr:from>
    <xdr:ext cx="334489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8849975" y="5338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𝐻𝑒𝑑𝑔𝑒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𝑃𝑜𝑠𝑖𝑡𝑖𝑜𝑛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𝐵𝑢𝑐𝑘𝑒𝑡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𝐻𝑒𝑑𝑔𝑒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𝐼𝑛𝑠𝑡𝑟𝑢𝑚𝑒𝑛𝑡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8849975" y="5338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𝐻𝑒𝑑𝑔𝑒 𝑃𝑜𝑠𝑖𝑡𝑖𝑜𝑛=−((𝐵𝑢𝑐𝑘𝑒𝑡 𝑅𝑖𝑠𝑘 𝑇𝑜𝑡𝑎𝑙)/(𝐻𝑒𝑑𝑔𝑒 𝐼𝑛𝑠𝑡𝑟𝑢𝑚𝑒𝑛𝑡 𝑅𝑖𝑠𝑘 𝑇𝑜𝑡𝑎𝑙))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lideplayer.com/slide/530206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D11"/>
  <sheetViews>
    <sheetView showGridLines="0" workbookViewId="0"/>
  </sheetViews>
  <sheetFormatPr defaultRowHeight="15" x14ac:dyDescent="0.25"/>
  <cols>
    <col min="1" max="1" width="11" customWidth="1"/>
    <col min="2" max="4" width="14.7109375" customWidth="1"/>
  </cols>
  <sheetData>
    <row r="3" spans="2:4" x14ac:dyDescent="0.25">
      <c r="B3" s="209" t="s">
        <v>150</v>
      </c>
      <c r="C3" s="210">
        <f ca="1">TODAY()</f>
        <v>44996</v>
      </c>
    </row>
    <row r="6" spans="2:4" x14ac:dyDescent="0.25">
      <c r="B6" s="23" t="s">
        <v>151</v>
      </c>
      <c r="C6" s="23"/>
    </row>
    <row r="7" spans="2:4" x14ac:dyDescent="0.25">
      <c r="B7" s="211"/>
      <c r="C7" s="212" t="s">
        <v>152</v>
      </c>
      <c r="D7" s="212" t="s">
        <v>153</v>
      </c>
    </row>
    <row r="8" spans="2:4" x14ac:dyDescent="0.25">
      <c r="B8" s="213" t="s">
        <v>154</v>
      </c>
      <c r="C8" s="214" t="s">
        <v>155</v>
      </c>
      <c r="D8" s="215" t="s">
        <v>156</v>
      </c>
    </row>
    <row r="9" spans="2:4" x14ac:dyDescent="0.25">
      <c r="B9" s="213"/>
      <c r="C9" s="216" t="s">
        <v>157</v>
      </c>
      <c r="D9" s="217" t="s">
        <v>158</v>
      </c>
    </row>
    <row r="10" spans="2:4" x14ac:dyDescent="0.25">
      <c r="B10" s="213" t="s">
        <v>159</v>
      </c>
      <c r="C10" s="218" t="s">
        <v>155</v>
      </c>
      <c r="D10" s="215" t="s">
        <v>160</v>
      </c>
    </row>
    <row r="11" spans="2:4" x14ac:dyDescent="0.25">
      <c r="B11" s="219"/>
      <c r="C11" s="216" t="s">
        <v>157</v>
      </c>
      <c r="D11" s="217" t="s">
        <v>161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BI61"/>
  <sheetViews>
    <sheetView showGridLines="0" topLeftCell="L1" zoomScaleNormal="100" workbookViewId="0">
      <selection activeCell="L1" sqref="L1"/>
    </sheetView>
  </sheetViews>
  <sheetFormatPr defaultRowHeight="15" outlineLevelCol="1" x14ac:dyDescent="0.25"/>
  <cols>
    <col min="1" max="11" width="9.140625" hidden="1" customWidth="1" outlineLevel="1"/>
    <col min="12" max="12" width="9.140625" customWidth="1" collapsed="1"/>
    <col min="14" max="14" width="10.140625" bestFit="1" customWidth="1"/>
    <col min="15" max="15" width="10.85546875" customWidth="1"/>
    <col min="17" max="17" width="11.140625" bestFit="1" customWidth="1"/>
    <col min="18" max="18" width="9.85546875" bestFit="1" customWidth="1"/>
    <col min="22" max="22" width="9.140625" customWidth="1"/>
    <col min="23" max="23" width="9.5703125" bestFit="1" customWidth="1"/>
    <col min="24" max="24" width="10.140625" bestFit="1" customWidth="1"/>
    <col min="25" max="26" width="9.5703125" customWidth="1"/>
    <col min="27" max="27" width="9.140625" customWidth="1"/>
    <col min="28" max="28" width="12" bestFit="1" customWidth="1"/>
    <col min="30" max="30" width="12.140625" bestFit="1" customWidth="1"/>
    <col min="45" max="45" width="9.28515625" bestFit="1" customWidth="1"/>
    <col min="46" max="46" width="9.140625" customWidth="1"/>
    <col min="47" max="47" width="10.140625" bestFit="1" customWidth="1"/>
    <col min="48" max="48" width="9.140625" customWidth="1"/>
    <col min="49" max="54" width="9.28515625" bestFit="1" customWidth="1"/>
    <col min="58" max="58" width="11.140625" bestFit="1" customWidth="1"/>
    <col min="59" max="59" width="10.5703125" customWidth="1"/>
    <col min="60" max="60" width="11.140625" bestFit="1" customWidth="1"/>
    <col min="61" max="61" width="10.7109375" bestFit="1" customWidth="1"/>
  </cols>
  <sheetData>
    <row r="1" spans="2:54" x14ac:dyDescent="0.25">
      <c r="L1" s="341" t="s">
        <v>277</v>
      </c>
    </row>
    <row r="2" spans="2:54" x14ac:dyDescent="0.25">
      <c r="L2" s="3"/>
      <c r="S2" s="343" t="s">
        <v>288</v>
      </c>
      <c r="AB2" s="343" t="s">
        <v>291</v>
      </c>
      <c r="AG2" s="343" t="s">
        <v>292</v>
      </c>
      <c r="AS2" s="343" t="s">
        <v>293</v>
      </c>
    </row>
    <row r="3" spans="2:54" x14ac:dyDescent="0.25">
      <c r="B3" s="23" t="s">
        <v>109</v>
      </c>
      <c r="M3" s="23" t="s">
        <v>66</v>
      </c>
      <c r="P3" s="23" t="s">
        <v>67</v>
      </c>
      <c r="S3" s="23" t="s">
        <v>87</v>
      </c>
      <c r="U3" s="23"/>
      <c r="V3" s="23"/>
      <c r="X3" s="10" t="s">
        <v>84</v>
      </c>
      <c r="Z3" s="10" t="s">
        <v>86</v>
      </c>
      <c r="AB3" s="23" t="s">
        <v>105</v>
      </c>
      <c r="AG3" s="23" t="s">
        <v>147</v>
      </c>
      <c r="AS3" s="23" t="s">
        <v>278</v>
      </c>
    </row>
    <row r="4" spans="2:54" x14ac:dyDescent="0.25">
      <c r="B4" t="s">
        <v>294</v>
      </c>
      <c r="M4" s="10" t="s">
        <v>30</v>
      </c>
      <c r="N4" s="10" t="s">
        <v>63</v>
      </c>
      <c r="P4" s="10" t="s">
        <v>30</v>
      </c>
      <c r="Q4" s="10" t="s">
        <v>63</v>
      </c>
      <c r="S4" s="23"/>
      <c r="V4" s="23"/>
      <c r="X4" s="179">
        <v>1E-8</v>
      </c>
      <c r="Z4" s="180">
        <f>SQRT(SUMPRODUCT(Z8:Z17,Z8:Z17))</f>
        <v>8.7211673713643887E-12</v>
      </c>
      <c r="AB4" t="s">
        <v>106</v>
      </c>
      <c r="AG4" t="s">
        <v>148</v>
      </c>
    </row>
    <row r="5" spans="2:54" ht="18" x14ac:dyDescent="0.35">
      <c r="B5" t="s">
        <v>295</v>
      </c>
      <c r="L5" s="107">
        <v>0</v>
      </c>
      <c r="M5" s="114" t="s">
        <v>62</v>
      </c>
      <c r="N5" s="115">
        <v>1.55E-2</v>
      </c>
      <c r="O5" s="107">
        <v>0.25</v>
      </c>
      <c r="P5" s="123" t="s">
        <v>64</v>
      </c>
      <c r="Q5" s="124">
        <v>1.8871300000000001E-2</v>
      </c>
      <c r="AG5" s="201" t="s">
        <v>149</v>
      </c>
    </row>
    <row r="6" spans="2:54" x14ac:dyDescent="0.25">
      <c r="B6" t="s">
        <v>335</v>
      </c>
      <c r="L6" s="107">
        <v>1</v>
      </c>
      <c r="M6" s="116" t="s">
        <v>12</v>
      </c>
      <c r="N6" s="117">
        <v>1.43591E-2</v>
      </c>
      <c r="O6" s="107">
        <v>1</v>
      </c>
      <c r="P6" s="125" t="s">
        <v>12</v>
      </c>
      <c r="Q6" s="117">
        <v>1.70896E-2</v>
      </c>
      <c r="S6" s="189" t="s">
        <v>136</v>
      </c>
      <c r="U6" s="23"/>
      <c r="X6" s="10" t="s">
        <v>85</v>
      </c>
      <c r="Z6" s="10"/>
    </row>
    <row r="7" spans="2:54" ht="18" x14ac:dyDescent="0.25">
      <c r="B7" t="s">
        <v>124</v>
      </c>
      <c r="L7" s="107">
        <v>2</v>
      </c>
      <c r="M7" s="116" t="s">
        <v>13</v>
      </c>
      <c r="N7" s="117">
        <v>1.3352299999999999E-2</v>
      </c>
      <c r="O7" s="107">
        <v>2</v>
      </c>
      <c r="P7" s="125" t="s">
        <v>13</v>
      </c>
      <c r="Q7" s="117">
        <v>1.5920400000000001E-2</v>
      </c>
      <c r="S7" s="10" t="s">
        <v>68</v>
      </c>
      <c r="T7" s="102" t="s">
        <v>60</v>
      </c>
      <c r="U7" s="102" t="s">
        <v>108</v>
      </c>
      <c r="V7" s="102" t="s">
        <v>36</v>
      </c>
      <c r="W7" s="102" t="s">
        <v>37</v>
      </c>
      <c r="X7" s="10" t="s">
        <v>73</v>
      </c>
      <c r="Y7" s="102" t="s">
        <v>38</v>
      </c>
      <c r="Z7" s="103" t="s">
        <v>59</v>
      </c>
      <c r="AB7" s="10" t="s">
        <v>108</v>
      </c>
      <c r="AC7" s="10" t="s">
        <v>70</v>
      </c>
      <c r="AD7" s="113" t="s">
        <v>104</v>
      </c>
      <c r="AF7" s="10"/>
      <c r="AG7" s="10" t="s">
        <v>137</v>
      </c>
      <c r="AH7" s="10" t="s">
        <v>138</v>
      </c>
      <c r="AI7" s="10" t="s">
        <v>139</v>
      </c>
      <c r="AJ7" s="10" t="s">
        <v>140</v>
      </c>
      <c r="AK7" s="10" t="s">
        <v>141</v>
      </c>
      <c r="AL7" s="10" t="s">
        <v>142</v>
      </c>
      <c r="AM7" s="10" t="s">
        <v>143</v>
      </c>
      <c r="AN7" s="10" t="s">
        <v>144</v>
      </c>
      <c r="AO7" s="10" t="s">
        <v>145</v>
      </c>
      <c r="AP7" s="10" t="s">
        <v>146</v>
      </c>
      <c r="AQ7" s="10"/>
      <c r="AR7" s="10"/>
      <c r="AS7" s="10" t="s">
        <v>247</v>
      </c>
      <c r="AT7" s="10" t="s">
        <v>248</v>
      </c>
      <c r="AU7" s="10" t="s">
        <v>249</v>
      </c>
      <c r="AV7" s="10" t="s">
        <v>250</v>
      </c>
      <c r="AW7" s="10" t="s">
        <v>251</v>
      </c>
      <c r="AX7" s="10" t="s">
        <v>235</v>
      </c>
      <c r="AY7" s="10" t="s">
        <v>236</v>
      </c>
      <c r="AZ7" s="10" t="s">
        <v>237</v>
      </c>
      <c r="BA7" s="10" t="s">
        <v>238</v>
      </c>
      <c r="BB7" s="10" t="s">
        <v>239</v>
      </c>
    </row>
    <row r="8" spans="2:54" ht="18" x14ac:dyDescent="0.25">
      <c r="B8" t="s">
        <v>296</v>
      </c>
      <c r="L8" s="107">
        <v>3</v>
      </c>
      <c r="M8" s="116" t="s">
        <v>14</v>
      </c>
      <c r="N8" s="117">
        <v>1.30753E-2</v>
      </c>
      <c r="O8" s="107">
        <v>3</v>
      </c>
      <c r="P8" s="125" t="s">
        <v>14</v>
      </c>
      <c r="Q8" s="117">
        <v>1.5602E-2</v>
      </c>
      <c r="S8" s="155" t="s">
        <v>69</v>
      </c>
      <c r="T8" s="156" t="s">
        <v>12</v>
      </c>
      <c r="U8" s="157">
        <v>1</v>
      </c>
      <c r="V8" s="181">
        <f t="array" ref="V8:V17">W8:W17-MMULT(AS8:BB17,Y8:Y17)</f>
        <v>1.43591E-2</v>
      </c>
      <c r="W8" s="158">
        <v>1.43591E-2</v>
      </c>
      <c r="X8" s="159">
        <v>0.02</v>
      </c>
      <c r="Y8" s="158">
        <f>(SUMPRODUCT($W$8:$W8,$AC$8:$AC8)/SUM($AC$8:$AC8))-$N6</f>
        <v>0</v>
      </c>
      <c r="Z8" s="160">
        <f t="shared" ref="Z8:Z17" si="0">V8-W8</f>
        <v>0</v>
      </c>
      <c r="AB8" s="174">
        <v>1</v>
      </c>
      <c r="AC8" s="184">
        <f>EXP(-AD8)</f>
        <v>0.98228077410510939</v>
      </c>
      <c r="AD8" s="175">
        <f>$AT$47*$AB8+$AT$48*$AB8^2+$AT$49*$AB8^3+$AT$50*$AB8^4+$AT$51*$AB8^5</f>
        <v>1.7878090817897496E-2</v>
      </c>
      <c r="AF8" s="10" t="s">
        <v>247</v>
      </c>
      <c r="AG8" s="202">
        <f>$AC$8/SUM($AC$8:$AC8)</f>
        <v>1</v>
      </c>
      <c r="AH8" s="196">
        <v>0</v>
      </c>
      <c r="AI8" s="196">
        <v>0</v>
      </c>
      <c r="AJ8" s="196">
        <v>0</v>
      </c>
      <c r="AK8" s="196">
        <v>0</v>
      </c>
      <c r="AL8" s="196">
        <v>0</v>
      </c>
      <c r="AM8" s="196">
        <v>0</v>
      </c>
      <c r="AN8" s="196">
        <v>0</v>
      </c>
      <c r="AO8" s="196">
        <v>0</v>
      </c>
      <c r="AP8" s="197">
        <v>0</v>
      </c>
      <c r="AQ8" s="62"/>
      <c r="AR8" s="10" t="s">
        <v>137</v>
      </c>
      <c r="AS8" s="202">
        <f t="array" ref="AS8:BB17">MINVERSE(AG8:AP17)</f>
        <v>1</v>
      </c>
      <c r="AT8" s="196">
        <v>0</v>
      </c>
      <c r="AU8" s="196">
        <v>0</v>
      </c>
      <c r="AV8" s="196">
        <v>0</v>
      </c>
      <c r="AW8" s="196">
        <v>0</v>
      </c>
      <c r="AX8" s="196">
        <v>0</v>
      </c>
      <c r="AY8" s="196">
        <v>0</v>
      </c>
      <c r="AZ8" s="196">
        <v>0</v>
      </c>
      <c r="BA8" s="196">
        <v>0</v>
      </c>
      <c r="BB8" s="197">
        <v>0</v>
      </c>
    </row>
    <row r="9" spans="2:54" ht="18" x14ac:dyDescent="0.25">
      <c r="B9" t="s">
        <v>297</v>
      </c>
      <c r="L9" s="107">
        <v>4</v>
      </c>
      <c r="M9" s="116" t="s">
        <v>16</v>
      </c>
      <c r="N9" s="117">
        <v>1.30355E-2</v>
      </c>
      <c r="O9" s="107">
        <v>4</v>
      </c>
      <c r="P9" s="125" t="s">
        <v>16</v>
      </c>
      <c r="Q9" s="117">
        <v>1.55999E-2</v>
      </c>
      <c r="S9" s="161" t="s">
        <v>69</v>
      </c>
      <c r="T9" s="10" t="s">
        <v>13</v>
      </c>
      <c r="U9" s="62">
        <v>2</v>
      </c>
      <c r="V9" s="182">
        <v>1.233231033418318E-2</v>
      </c>
      <c r="W9" s="40">
        <v>1.2332310331489972E-2</v>
      </c>
      <c r="X9" s="92">
        <v>0.02</v>
      </c>
      <c r="Y9" s="40">
        <f>(SUMPRODUCT($W$8:$W9,$AC$8:$AC9)/SUM($AC$8:$AC9))-$N7</f>
        <v>-1.3378412960785013E-12</v>
      </c>
      <c r="Z9" s="162">
        <f t="shared" si="0"/>
        <v>2.6932085034347963E-12</v>
      </c>
      <c r="AB9" s="176">
        <v>2</v>
      </c>
      <c r="AC9" s="185">
        <f>EXP(-AD9)</f>
        <v>0.9695787286011891</v>
      </c>
      <c r="AD9" s="177">
        <f>$AT$47*$AB9+$AT$48*$AB9^2+$AT$49*$AB9^3+$AT$50*$AB9^4+$AT$51*$AB9^5</f>
        <v>3.0893602231591672E-2</v>
      </c>
      <c r="AF9" s="10" t="s">
        <v>248</v>
      </c>
      <c r="AG9" s="203">
        <f>$AC$8/SUM($AC$8:$AC9)</f>
        <v>0.50325383191933348</v>
      </c>
      <c r="AH9" s="204">
        <f>$AC$9/SUM($AC$8:$AC9)</f>
        <v>0.49674616808066646</v>
      </c>
      <c r="AI9" s="193">
        <v>0</v>
      </c>
      <c r="AJ9" s="193">
        <v>0</v>
      </c>
      <c r="AK9" s="193">
        <v>0</v>
      </c>
      <c r="AL9" s="193">
        <v>0</v>
      </c>
      <c r="AM9" s="193">
        <v>0</v>
      </c>
      <c r="AN9" s="193">
        <v>0</v>
      </c>
      <c r="AO9" s="193">
        <v>0</v>
      </c>
      <c r="AP9" s="198">
        <v>0</v>
      </c>
      <c r="AQ9" s="62"/>
      <c r="AR9" s="10" t="s">
        <v>138</v>
      </c>
      <c r="AS9" s="203">
        <v>-1.013100581860171</v>
      </c>
      <c r="AT9" s="204">
        <v>2.0131005818601713</v>
      </c>
      <c r="AU9" s="193">
        <v>0</v>
      </c>
      <c r="AV9" s="193">
        <v>0</v>
      </c>
      <c r="AW9" s="193">
        <v>0</v>
      </c>
      <c r="AX9" s="193">
        <v>0</v>
      </c>
      <c r="AY9" s="193">
        <v>0</v>
      </c>
      <c r="AZ9" s="193">
        <v>0</v>
      </c>
      <c r="BA9" s="193">
        <v>0</v>
      </c>
      <c r="BB9" s="198">
        <v>0</v>
      </c>
    </row>
    <row r="10" spans="2:54" ht="18" x14ac:dyDescent="0.25">
      <c r="B10" t="s">
        <v>298</v>
      </c>
      <c r="L10" s="107">
        <v>5</v>
      </c>
      <c r="M10" s="118" t="s">
        <v>19</v>
      </c>
      <c r="N10" s="119">
        <v>1.32192E-2</v>
      </c>
      <c r="O10" s="107">
        <v>5</v>
      </c>
      <c r="P10" s="126" t="s">
        <v>19</v>
      </c>
      <c r="Q10" s="119">
        <v>1.5736300000000002E-2</v>
      </c>
      <c r="S10" s="161" t="s">
        <v>69</v>
      </c>
      <c r="T10" s="10" t="s">
        <v>14</v>
      </c>
      <c r="U10" s="62">
        <v>3</v>
      </c>
      <c r="V10" s="182">
        <v>1.2510737606168054E-2</v>
      </c>
      <c r="W10" s="40">
        <v>1.2510737602308161E-2</v>
      </c>
      <c r="X10" s="92">
        <v>0.02</v>
      </c>
      <c r="Y10" s="40">
        <f>(SUMPRODUCT($W$8:$W10,$AC$8:$AC10)/SUM($AC$8:$AC10))-$N8</f>
        <v>-2.1679741335489666E-12</v>
      </c>
      <c r="Z10" s="162">
        <f t="shared" si="0"/>
        <v>3.859893307756046E-12</v>
      </c>
      <c r="AB10" s="176">
        <v>3</v>
      </c>
      <c r="AC10" s="185">
        <f>EXP(-AD10)</f>
        <v>0.9576710885397286</v>
      </c>
      <c r="AD10" s="177">
        <f>$AT$47*$AB10+$AT$48*$AB10^2+$AT$49*$AB10^3+$AT$50*$AB10^4+$AT$51*$AB10^5</f>
        <v>4.3250891341141656E-2</v>
      </c>
      <c r="AF10" s="10" t="s">
        <v>249</v>
      </c>
      <c r="AG10" s="203">
        <f>$AC$8/SUM($AC$8:$AC10)</f>
        <v>0.33760798977694906</v>
      </c>
      <c r="AH10" s="204">
        <f>$AC$9/SUM($AC$8:$AC10)</f>
        <v>0.33324232146531929</v>
      </c>
      <c r="AI10" s="204">
        <f>$AC$10/SUM($AC$8:$AC10)</f>
        <v>0.32914968875773154</v>
      </c>
      <c r="AJ10" s="193">
        <v>0</v>
      </c>
      <c r="AK10" s="193">
        <v>0</v>
      </c>
      <c r="AL10" s="193">
        <v>0</v>
      </c>
      <c r="AM10" s="193">
        <v>0</v>
      </c>
      <c r="AN10" s="193">
        <v>0</v>
      </c>
      <c r="AO10" s="193">
        <v>0</v>
      </c>
      <c r="AP10" s="198">
        <v>0</v>
      </c>
      <c r="AQ10" s="62"/>
      <c r="AR10" s="10" t="s">
        <v>139</v>
      </c>
      <c r="AS10" s="203">
        <v>1.6865017081063214E-16</v>
      </c>
      <c r="AT10" s="204">
        <v>-2.0381313856749337</v>
      </c>
      <c r="AU10" s="204">
        <v>3.0381313856749337</v>
      </c>
      <c r="AV10" s="193">
        <v>0</v>
      </c>
      <c r="AW10" s="193">
        <v>0</v>
      </c>
      <c r="AX10" s="193">
        <v>0</v>
      </c>
      <c r="AY10" s="193">
        <v>0</v>
      </c>
      <c r="AZ10" s="193">
        <v>0</v>
      </c>
      <c r="BA10" s="193">
        <v>0</v>
      </c>
      <c r="BB10" s="198">
        <v>0</v>
      </c>
    </row>
    <row r="11" spans="2:54" ht="18" x14ac:dyDescent="0.25">
      <c r="B11" t="s">
        <v>299</v>
      </c>
      <c r="S11" s="161" t="s">
        <v>69</v>
      </c>
      <c r="T11" s="10" t="s">
        <v>16</v>
      </c>
      <c r="U11" s="62">
        <v>4</v>
      </c>
      <c r="V11" s="182">
        <v>1.2913035464723036E-2</v>
      </c>
      <c r="W11" s="40">
        <v>1.2913035463721353E-2</v>
      </c>
      <c r="X11" s="92">
        <v>0.02</v>
      </c>
      <c r="Y11" s="40">
        <f>(SUMPRODUCT($W$8:$W11,$AC$8:$AC11)/SUM($AC$8:$AC11))-$N9</f>
        <v>-1.8819078240195353E-12</v>
      </c>
      <c r="Z11" s="162">
        <f t="shared" si="0"/>
        <v>1.0016831114567637E-12</v>
      </c>
      <c r="AB11" s="176">
        <v>4</v>
      </c>
      <c r="AC11" s="185">
        <f>EXP(-AD11)</f>
        <v>0.945574302549679</v>
      </c>
      <c r="AD11" s="177">
        <f>$AT$47*$AB11+$AT$48*$AB11^2+$AT$49*$AB11^3+$AT$50*$AB11^4+$AT$51*$AB11^5</f>
        <v>5.5962808514209698E-2</v>
      </c>
      <c r="AF11" s="10" t="s">
        <v>250</v>
      </c>
      <c r="AG11" s="203">
        <f>$AC$8/SUM($AC$8:$AC11)</f>
        <v>0.25480001223467702</v>
      </c>
      <c r="AH11" s="204">
        <f>$AC$9/SUM($AC$8:$AC11)</f>
        <v>0.25150514844916433</v>
      </c>
      <c r="AI11" s="204">
        <f>$AC$10/SUM($AC$8:$AC11)</f>
        <v>0.24841635050734326</v>
      </c>
      <c r="AJ11" s="204">
        <f>$AC$11/SUM($AC$8:$AC11)</f>
        <v>0.24527848880881523</v>
      </c>
      <c r="AK11" s="193">
        <v>0</v>
      </c>
      <c r="AL11" s="193">
        <v>0</v>
      </c>
      <c r="AM11" s="193">
        <v>0</v>
      </c>
      <c r="AN11" s="193">
        <v>0</v>
      </c>
      <c r="AO11" s="193">
        <v>0</v>
      </c>
      <c r="AP11" s="198">
        <v>0</v>
      </c>
      <c r="AQ11" s="62"/>
      <c r="AR11" s="10" t="s">
        <v>140</v>
      </c>
      <c r="AS11" s="203">
        <v>5.5511151231257852E-17</v>
      </c>
      <c r="AT11" s="204">
        <v>0</v>
      </c>
      <c r="AU11" s="204">
        <v>-3.0769983737932272</v>
      </c>
      <c r="AV11" s="204">
        <v>4.0769983737932272</v>
      </c>
      <c r="AW11" s="193">
        <v>0</v>
      </c>
      <c r="AX11" s="193">
        <v>0</v>
      </c>
      <c r="AY11" s="193">
        <v>0</v>
      </c>
      <c r="AZ11" s="193">
        <v>0</v>
      </c>
      <c r="BA11" s="193">
        <v>0</v>
      </c>
      <c r="BB11" s="198">
        <v>0</v>
      </c>
    </row>
    <row r="12" spans="2:54" ht="18" x14ac:dyDescent="0.25">
      <c r="M12" s="127" t="s">
        <v>132</v>
      </c>
      <c r="P12" s="127" t="s">
        <v>133</v>
      </c>
      <c r="S12" s="164" t="s">
        <v>69</v>
      </c>
      <c r="T12" s="165" t="s">
        <v>19</v>
      </c>
      <c r="U12" s="166">
        <v>5</v>
      </c>
      <c r="V12" s="183">
        <v>1.39781783304254E-2</v>
      </c>
      <c r="W12" s="167">
        <v>1.3978178334311966E-2</v>
      </c>
      <c r="X12" s="168">
        <v>0.02</v>
      </c>
      <c r="Y12" s="167">
        <f>(SUMPRODUCT($W$8:$W12,$AC$8:$AC12)/SUM($AC$8:$AC12))-$N10</f>
        <v>-7.5780354213961232E-13</v>
      </c>
      <c r="Z12" s="169">
        <f t="shared" si="0"/>
        <v>-3.8865664159226654E-12</v>
      </c>
      <c r="AB12" s="178">
        <v>5</v>
      </c>
      <c r="AC12" s="186">
        <f>EXP(-AD12)</f>
        <v>0.93307376587858482</v>
      </c>
      <c r="AD12" s="172">
        <f>$AT$47*$AB12+$AT$48*$AB12^2+$AT$49*$AB12^3+$AT$50*$AB12^4+$AT$51*$AB12^5</f>
        <v>6.9271018153379785E-2</v>
      </c>
      <c r="AF12" s="10" t="s">
        <v>251</v>
      </c>
      <c r="AG12" s="203">
        <f>$AC$8/SUM($AC$8:$AC12)</f>
        <v>0.20514705985760515</v>
      </c>
      <c r="AH12" s="204">
        <f>$AC$9/SUM($AC$8:$AC12)</f>
        <v>0.20249426713479049</v>
      </c>
      <c r="AI12" s="204">
        <f>$AC$10/SUM($AC$8:$AC12)</f>
        <v>0.20000738414486663</v>
      </c>
      <c r="AJ12" s="204">
        <f>$AC$11/SUM($AC$8:$AC12)</f>
        <v>0.19748099846675318</v>
      </c>
      <c r="AK12" s="204">
        <f>$AC$12/SUM($AC$8:$AC12)</f>
        <v>0.19487029039598447</v>
      </c>
      <c r="AL12" s="193">
        <v>0</v>
      </c>
      <c r="AM12" s="193">
        <v>0</v>
      </c>
      <c r="AN12" s="193">
        <v>0</v>
      </c>
      <c r="AO12" s="193">
        <v>0</v>
      </c>
      <c r="AP12" s="198">
        <v>0</v>
      </c>
      <c r="AQ12" s="62"/>
      <c r="AR12" s="10" t="s">
        <v>141</v>
      </c>
      <c r="AS12" s="203">
        <v>-2.2935090300213447E-16</v>
      </c>
      <c r="AT12" s="204">
        <v>5.697241084667845E-16</v>
      </c>
      <c r="AU12" s="204">
        <v>-5.697241084667845E-16</v>
      </c>
      <c r="AV12" s="204">
        <v>-4.1316185651899975</v>
      </c>
      <c r="AW12" s="204">
        <v>5.1316185651899975</v>
      </c>
      <c r="AX12" s="193">
        <v>0</v>
      </c>
      <c r="AY12" s="193">
        <v>0</v>
      </c>
      <c r="AZ12" s="193">
        <v>0</v>
      </c>
      <c r="BA12" s="193">
        <v>0</v>
      </c>
      <c r="BB12" s="198">
        <v>0</v>
      </c>
    </row>
    <row r="13" spans="2:54" ht="18" x14ac:dyDescent="0.25">
      <c r="B13" s="23" t="s">
        <v>125</v>
      </c>
      <c r="M13" s="10" t="s">
        <v>30</v>
      </c>
      <c r="N13" s="10" t="s">
        <v>61</v>
      </c>
      <c r="P13" s="10" t="s">
        <v>30</v>
      </c>
      <c r="Q13" s="10" t="s">
        <v>71</v>
      </c>
      <c r="S13" s="161" t="s">
        <v>65</v>
      </c>
      <c r="T13" s="10" t="s">
        <v>12</v>
      </c>
      <c r="U13" s="62">
        <v>1</v>
      </c>
      <c r="V13" s="182">
        <v>1.70896E-2</v>
      </c>
      <c r="W13" s="40">
        <v>1.70896E-2</v>
      </c>
      <c r="X13" s="92">
        <v>0.02</v>
      </c>
      <c r="Y13" s="40">
        <f>(SUMPRODUCT($W$13:$W13,$AC$8:$AC8)/SUM($AC$8:$AC8))-$Q6</f>
        <v>0</v>
      </c>
      <c r="Z13" s="162">
        <f t="shared" si="0"/>
        <v>0</v>
      </c>
      <c r="AF13" s="10" t="s">
        <v>235</v>
      </c>
      <c r="AG13" s="192">
        <v>0</v>
      </c>
      <c r="AH13" s="193">
        <v>0</v>
      </c>
      <c r="AI13" s="193">
        <v>0</v>
      </c>
      <c r="AJ13" s="193">
        <v>0</v>
      </c>
      <c r="AK13" s="193">
        <v>0</v>
      </c>
      <c r="AL13" s="204">
        <f>$AC$8/SUM($AC$8:$AC8)</f>
        <v>1</v>
      </c>
      <c r="AM13" s="193">
        <v>0</v>
      </c>
      <c r="AN13" s="193">
        <v>0</v>
      </c>
      <c r="AO13" s="193">
        <v>0</v>
      </c>
      <c r="AP13" s="198">
        <v>0</v>
      </c>
      <c r="AQ13" s="62"/>
      <c r="AR13" s="10" t="s">
        <v>142</v>
      </c>
      <c r="AS13" s="192">
        <v>0</v>
      </c>
      <c r="AT13" s="193">
        <v>0</v>
      </c>
      <c r="AU13" s="193">
        <v>0</v>
      </c>
      <c r="AV13" s="193">
        <v>0</v>
      </c>
      <c r="AW13" s="193">
        <v>0</v>
      </c>
      <c r="AX13" s="204">
        <v>1</v>
      </c>
      <c r="AY13" s="193">
        <v>0</v>
      </c>
      <c r="AZ13" s="193">
        <v>0</v>
      </c>
      <c r="BA13" s="193">
        <v>0</v>
      </c>
      <c r="BB13" s="198">
        <v>0</v>
      </c>
    </row>
    <row r="14" spans="2:54" ht="18" x14ac:dyDescent="0.25">
      <c r="B14" t="s">
        <v>128</v>
      </c>
      <c r="M14" s="114" t="s">
        <v>12</v>
      </c>
      <c r="N14" s="120">
        <v>0.98566900000000002</v>
      </c>
      <c r="O14" s="154"/>
      <c r="P14" s="114" t="s">
        <v>12</v>
      </c>
      <c r="Q14" s="124">
        <v>1.6799999999999999E-2</v>
      </c>
      <c r="R14" s="154"/>
      <c r="S14" s="161" t="s">
        <v>65</v>
      </c>
      <c r="T14" s="10" t="s">
        <v>13</v>
      </c>
      <c r="U14" s="62">
        <v>2</v>
      </c>
      <c r="V14" s="182">
        <v>1.4735882799689095E-2</v>
      </c>
      <c r="W14" s="40">
        <v>1.4735882796561463E-2</v>
      </c>
      <c r="X14" s="92">
        <v>0.02</v>
      </c>
      <c r="Y14" s="40">
        <f>(SUMPRODUCT($W$13:$W14,$AC$8:$AC9)/SUM($AC$8:$AC9))-$Q7</f>
        <v>-1.5536391617665402E-12</v>
      </c>
      <c r="Z14" s="162">
        <f t="shared" si="0"/>
        <v>3.1276318340767162E-12</v>
      </c>
      <c r="AF14" s="10" t="s">
        <v>236</v>
      </c>
      <c r="AG14" s="192">
        <v>0</v>
      </c>
      <c r="AH14" s="193">
        <v>0</v>
      </c>
      <c r="AI14" s="193">
        <v>0</v>
      </c>
      <c r="AJ14" s="193">
        <v>0</v>
      </c>
      <c r="AK14" s="193">
        <v>0</v>
      </c>
      <c r="AL14" s="204">
        <f>$AC$8/SUM($AC$8:$AC9)</f>
        <v>0.50325383191933348</v>
      </c>
      <c r="AM14" s="204">
        <f>$AC$9/SUM($AC$8:$AC9)</f>
        <v>0.49674616808066646</v>
      </c>
      <c r="AN14" s="193">
        <v>0</v>
      </c>
      <c r="AO14" s="193">
        <v>0</v>
      </c>
      <c r="AP14" s="198">
        <v>0</v>
      </c>
      <c r="AQ14" s="62"/>
      <c r="AR14" s="10" t="s">
        <v>143</v>
      </c>
      <c r="AS14" s="192">
        <v>0</v>
      </c>
      <c r="AT14" s="193">
        <v>0</v>
      </c>
      <c r="AU14" s="193">
        <v>0</v>
      </c>
      <c r="AV14" s="193">
        <v>0</v>
      </c>
      <c r="AW14" s="193">
        <v>0</v>
      </c>
      <c r="AX14" s="204">
        <v>-1.013100581860171</v>
      </c>
      <c r="AY14" s="204">
        <v>2.0131005818601713</v>
      </c>
      <c r="AZ14" s="193">
        <v>0</v>
      </c>
      <c r="BA14" s="193">
        <v>0</v>
      </c>
      <c r="BB14" s="198">
        <v>0</v>
      </c>
    </row>
    <row r="15" spans="2:54" ht="18" x14ac:dyDescent="0.25">
      <c r="B15" t="s">
        <v>126</v>
      </c>
      <c r="M15" s="116" t="s">
        <v>13</v>
      </c>
      <c r="N15" s="121">
        <v>0.97340300000000002</v>
      </c>
      <c r="O15" s="154"/>
      <c r="P15" s="116" t="s">
        <v>13</v>
      </c>
      <c r="Q15" s="117">
        <v>1.47E-2</v>
      </c>
      <c r="R15" s="154"/>
      <c r="S15" s="161" t="s">
        <v>65</v>
      </c>
      <c r="T15" s="10" t="s">
        <v>14</v>
      </c>
      <c r="U15" s="62">
        <v>3</v>
      </c>
      <c r="V15" s="182">
        <v>1.4953058966801099E-2</v>
      </c>
      <c r="W15" s="40">
        <v>1.4953058962364322E-2</v>
      </c>
      <c r="X15" s="92">
        <v>0.02</v>
      </c>
      <c r="Y15" s="40">
        <f>(SUMPRODUCT($W$13:$W15,$AC$8:$AC10)/SUM($AC$8:$AC10))-$Q8</f>
        <v>-2.5026231087466044E-12</v>
      </c>
      <c r="Z15" s="162">
        <f t="shared" si="0"/>
        <v>4.4367773344156092E-12</v>
      </c>
      <c r="AF15" s="10" t="s">
        <v>237</v>
      </c>
      <c r="AG15" s="192">
        <v>0</v>
      </c>
      <c r="AH15" s="193">
        <v>0</v>
      </c>
      <c r="AI15" s="193">
        <v>0</v>
      </c>
      <c r="AJ15" s="193">
        <v>0</v>
      </c>
      <c r="AK15" s="193">
        <v>0</v>
      </c>
      <c r="AL15" s="204">
        <f>$AC$8/SUM($AC$8:$AC10)</f>
        <v>0.33760798977694906</v>
      </c>
      <c r="AM15" s="204">
        <f>$AC$9/SUM($AC$8:$AC10)</f>
        <v>0.33324232146531929</v>
      </c>
      <c r="AN15" s="204">
        <f>$AC$10/SUM($AC$8:$AC10)</f>
        <v>0.32914968875773154</v>
      </c>
      <c r="AO15" s="193">
        <v>0</v>
      </c>
      <c r="AP15" s="198">
        <v>0</v>
      </c>
      <c r="AQ15" s="62"/>
      <c r="AR15" s="10" t="s">
        <v>144</v>
      </c>
      <c r="AS15" s="192">
        <v>0</v>
      </c>
      <c r="AT15" s="193">
        <v>0</v>
      </c>
      <c r="AU15" s="193">
        <v>0</v>
      </c>
      <c r="AV15" s="193">
        <v>0</v>
      </c>
      <c r="AW15" s="193">
        <v>0</v>
      </c>
      <c r="AX15" s="204">
        <v>1.6865017081063214E-16</v>
      </c>
      <c r="AY15" s="204">
        <v>-2.0381313856749337</v>
      </c>
      <c r="AZ15" s="204">
        <v>3.0381313856749337</v>
      </c>
      <c r="BA15" s="193">
        <v>0</v>
      </c>
      <c r="BB15" s="198">
        <v>0</v>
      </c>
    </row>
    <row r="16" spans="2:54" ht="18" x14ac:dyDescent="0.25">
      <c r="B16" t="s">
        <v>127</v>
      </c>
      <c r="M16" s="116" t="s">
        <v>14</v>
      </c>
      <c r="N16" s="121">
        <v>0.96081000000000005</v>
      </c>
      <c r="O16" s="154"/>
      <c r="P16" s="116" t="s">
        <v>14</v>
      </c>
      <c r="Q16" s="117">
        <v>1.4999999999999999E-2</v>
      </c>
      <c r="R16" s="154"/>
      <c r="S16" s="161" t="s">
        <v>65</v>
      </c>
      <c r="T16" s="10" t="s">
        <v>16</v>
      </c>
      <c r="U16" s="62">
        <v>4</v>
      </c>
      <c r="V16" s="182">
        <v>1.5593438303415037E-2</v>
      </c>
      <c r="W16" s="40">
        <v>1.5593438303362189E-2</v>
      </c>
      <c r="X16" s="92">
        <v>0.02</v>
      </c>
      <c r="Y16" s="40">
        <f>(SUMPRODUCT($W$13:$W16,$AC$8:$AC11)/SUM($AC$8:$AC11))-$Q9</f>
        <v>-1.901746121690806E-12</v>
      </c>
      <c r="Z16" s="162">
        <f t="shared" si="0"/>
        <v>5.2848350695633428E-14</v>
      </c>
      <c r="AF16" s="10" t="s">
        <v>238</v>
      </c>
      <c r="AG16" s="192">
        <v>0</v>
      </c>
      <c r="AH16" s="193">
        <v>0</v>
      </c>
      <c r="AI16" s="193">
        <v>0</v>
      </c>
      <c r="AJ16" s="193">
        <v>0</v>
      </c>
      <c r="AK16" s="193">
        <v>0</v>
      </c>
      <c r="AL16" s="204">
        <f>$AC$8/SUM($AC$8:$AC11)</f>
        <v>0.25480001223467702</v>
      </c>
      <c r="AM16" s="204">
        <f>$AC$9/SUM($AC$8:$AC11)</f>
        <v>0.25150514844916433</v>
      </c>
      <c r="AN16" s="204">
        <f>$AC$10/SUM($AC$8:$AC11)</f>
        <v>0.24841635050734326</v>
      </c>
      <c r="AO16" s="204">
        <f>$AC$11/SUM($AC$8:$AC11)</f>
        <v>0.24527848880881523</v>
      </c>
      <c r="AP16" s="198">
        <v>0</v>
      </c>
      <c r="AQ16" s="62"/>
      <c r="AR16" s="10" t="s">
        <v>145</v>
      </c>
      <c r="AS16" s="192">
        <v>0</v>
      </c>
      <c r="AT16" s="193">
        <v>0</v>
      </c>
      <c r="AU16" s="193">
        <v>0</v>
      </c>
      <c r="AV16" s="193">
        <v>0</v>
      </c>
      <c r="AW16" s="193">
        <v>0</v>
      </c>
      <c r="AX16" s="204">
        <v>5.5511151231257852E-17</v>
      </c>
      <c r="AY16" s="204">
        <v>0</v>
      </c>
      <c r="AZ16" s="204">
        <v>-3.0769983737932272</v>
      </c>
      <c r="BA16" s="204">
        <v>4.0769983737932272</v>
      </c>
      <c r="BB16" s="198">
        <v>0</v>
      </c>
    </row>
    <row r="17" spans="2:61" ht="18" x14ac:dyDescent="0.25">
      <c r="B17" t="s">
        <v>129</v>
      </c>
      <c r="M17" s="116" t="s">
        <v>16</v>
      </c>
      <c r="N17" s="121">
        <v>0.94769999999999999</v>
      </c>
      <c r="O17" s="154"/>
      <c r="P17" s="116" t="s">
        <v>16</v>
      </c>
      <c r="Q17" s="117">
        <v>1.5600000000000001E-2</v>
      </c>
      <c r="R17" s="154"/>
      <c r="S17" s="161" t="s">
        <v>65</v>
      </c>
      <c r="T17" s="10" t="s">
        <v>19</v>
      </c>
      <c r="U17" s="62">
        <v>5</v>
      </c>
      <c r="V17" s="182">
        <v>1.6299852772291925E-2</v>
      </c>
      <c r="W17" s="40">
        <v>1.6299852775177748E-2</v>
      </c>
      <c r="X17" s="92">
        <v>0.02</v>
      </c>
      <c r="Y17" s="40">
        <f>(SUMPRODUCT($W$13:$W17,$AC$8:$AC12)/SUM($AC$8:$AC12))-$Q10</f>
        <v>-9.6879101962876746E-13</v>
      </c>
      <c r="Z17" s="162">
        <f t="shared" si="0"/>
        <v>-2.8858235245898811E-12</v>
      </c>
      <c r="AA17" s="10"/>
      <c r="AF17" s="10" t="s">
        <v>239</v>
      </c>
      <c r="AG17" s="194">
        <v>0</v>
      </c>
      <c r="AH17" s="195">
        <v>0</v>
      </c>
      <c r="AI17" s="195">
        <v>0</v>
      </c>
      <c r="AJ17" s="195">
        <v>0</v>
      </c>
      <c r="AK17" s="195">
        <v>0</v>
      </c>
      <c r="AL17" s="205">
        <f>$AC$8/SUM($AC$8:$AC12)</f>
        <v>0.20514705985760515</v>
      </c>
      <c r="AM17" s="205">
        <f>$AC$9/SUM($AC$8:$AC12)</f>
        <v>0.20249426713479049</v>
      </c>
      <c r="AN17" s="205">
        <f>$AC$10/SUM($AC$8:$AC12)</f>
        <v>0.20000738414486663</v>
      </c>
      <c r="AO17" s="205">
        <f>$AC$11/SUM($AC$8:$AC12)</f>
        <v>0.19748099846675318</v>
      </c>
      <c r="AP17" s="206">
        <f>$AC$12/SUM($AC$8:$AC12)</f>
        <v>0.19487029039598447</v>
      </c>
      <c r="AQ17" s="62"/>
      <c r="AR17" s="10" t="s">
        <v>146</v>
      </c>
      <c r="AS17" s="194">
        <v>0</v>
      </c>
      <c r="AT17" s="195">
        <v>0</v>
      </c>
      <c r="AU17" s="195">
        <v>0</v>
      </c>
      <c r="AV17" s="195">
        <v>0</v>
      </c>
      <c r="AW17" s="195">
        <v>0</v>
      </c>
      <c r="AX17" s="205">
        <v>-2.2935090300213447E-16</v>
      </c>
      <c r="AY17" s="205">
        <v>5.697241084667845E-16</v>
      </c>
      <c r="AZ17" s="205">
        <v>-5.697241084667845E-16</v>
      </c>
      <c r="BA17" s="205">
        <v>-4.1316185651899975</v>
      </c>
      <c r="BB17" s="206">
        <v>5.1316185651899975</v>
      </c>
    </row>
    <row r="18" spans="2:61" x14ac:dyDescent="0.25">
      <c r="B18" t="s">
        <v>131</v>
      </c>
      <c r="M18" s="118" t="s">
        <v>19</v>
      </c>
      <c r="N18" s="122">
        <v>0.93433100000000002</v>
      </c>
      <c r="O18" s="154"/>
      <c r="P18" s="118" t="s">
        <v>19</v>
      </c>
      <c r="Q18" s="119">
        <v>1.6299999999999999E-2</v>
      </c>
      <c r="R18" s="154"/>
      <c r="S18" s="170"/>
      <c r="T18" s="171"/>
      <c r="U18" s="163"/>
      <c r="V18" s="187"/>
      <c r="W18" s="163"/>
      <c r="X18" s="173"/>
      <c r="Y18" s="199"/>
      <c r="Z18" s="200"/>
      <c r="AA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</row>
    <row r="19" spans="2:61" x14ac:dyDescent="0.25">
      <c r="B19" t="s">
        <v>130</v>
      </c>
      <c r="U19" s="10"/>
      <c r="V19" s="10"/>
      <c r="W19" s="10"/>
      <c r="X19" s="10"/>
      <c r="Y19" s="10"/>
      <c r="Z19" s="40"/>
      <c r="AA19" s="10"/>
      <c r="AB19" t="s">
        <v>107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27" t="s">
        <v>102</v>
      </c>
      <c r="AT19" s="10"/>
      <c r="AU19" s="10"/>
      <c r="AV19" s="10"/>
      <c r="AX19" s="127" t="s">
        <v>102</v>
      </c>
      <c r="BD19" s="127" t="s">
        <v>230</v>
      </c>
    </row>
    <row r="20" spans="2:61" x14ac:dyDescent="0.25">
      <c r="AB20" s="188" t="b">
        <v>1</v>
      </c>
    </row>
    <row r="21" spans="2:61" x14ac:dyDescent="0.25">
      <c r="B21" s="127" t="s">
        <v>110</v>
      </c>
      <c r="O21" s="127" t="s">
        <v>72</v>
      </c>
      <c r="P21" s="10"/>
      <c r="Q21" s="10"/>
      <c r="R21" s="10"/>
      <c r="S21" s="10"/>
      <c r="T21" s="40"/>
      <c r="U21" s="10"/>
      <c r="V21" s="10"/>
      <c r="AS21" t="s">
        <v>69</v>
      </c>
      <c r="AX21" t="s">
        <v>65</v>
      </c>
      <c r="BD21" t="s">
        <v>69</v>
      </c>
    </row>
    <row r="22" spans="2:61" ht="18" x14ac:dyDescent="0.25">
      <c r="B22" s="190" t="s">
        <v>114</v>
      </c>
      <c r="M22" s="10" t="s">
        <v>68</v>
      </c>
      <c r="N22" s="102" t="s">
        <v>60</v>
      </c>
      <c r="O22" s="10" t="s">
        <v>73</v>
      </c>
      <c r="P22" s="10" t="s">
        <v>74</v>
      </c>
      <c r="Q22" s="10" t="s">
        <v>75</v>
      </c>
      <c r="R22" s="10" t="s">
        <v>76</v>
      </c>
      <c r="S22" s="10" t="s">
        <v>77</v>
      </c>
      <c r="T22" s="10" t="s">
        <v>78</v>
      </c>
      <c r="U22" s="10" t="s">
        <v>79</v>
      </c>
      <c r="V22" s="10" t="s">
        <v>80</v>
      </c>
      <c r="W22" s="10" t="s">
        <v>81</v>
      </c>
      <c r="X22" s="10" t="s">
        <v>82</v>
      </c>
      <c r="Y22" s="10" t="s">
        <v>83</v>
      </c>
      <c r="AB22" s="127"/>
      <c r="AS22" s="10" t="s">
        <v>89</v>
      </c>
      <c r="AT22" s="10" t="s">
        <v>88</v>
      </c>
      <c r="AU22" s="10" t="s">
        <v>36</v>
      </c>
      <c r="AV22" s="10" t="s">
        <v>103</v>
      </c>
      <c r="AX22" s="10" t="s">
        <v>89</v>
      </c>
      <c r="AY22" s="10" t="s">
        <v>88</v>
      </c>
      <c r="AZ22" s="10" t="s">
        <v>36</v>
      </c>
      <c r="BA22" s="10" t="s">
        <v>103</v>
      </c>
      <c r="BD22" s="10" t="s">
        <v>89</v>
      </c>
      <c r="BE22" s="10" t="s">
        <v>104</v>
      </c>
      <c r="BF22" s="10" t="s">
        <v>70</v>
      </c>
      <c r="BH22" s="10" t="s">
        <v>229</v>
      </c>
      <c r="BI22" s="10" t="s">
        <v>232</v>
      </c>
    </row>
    <row r="23" spans="2:61" x14ac:dyDescent="0.25">
      <c r="B23" s="190" t="s">
        <v>115</v>
      </c>
      <c r="M23" s="10" t="s">
        <v>69</v>
      </c>
      <c r="N23" s="10" t="s">
        <v>12</v>
      </c>
      <c r="O23" s="128">
        <v>0.02</v>
      </c>
      <c r="P23" s="129">
        <v>1.43591E-2</v>
      </c>
      <c r="Q23" s="129">
        <v>1.43591E-2</v>
      </c>
      <c r="R23" s="129">
        <v>1.43591E-2</v>
      </c>
      <c r="S23" s="129">
        <v>1.43591E-2</v>
      </c>
      <c r="T23" s="129"/>
      <c r="U23" s="129"/>
      <c r="V23" s="129"/>
      <c r="W23" s="129"/>
      <c r="X23" s="129"/>
      <c r="Y23" s="130"/>
      <c r="AB23" s="190"/>
      <c r="AS23" s="143">
        <v>0</v>
      </c>
      <c r="AT23" s="39">
        <f t="shared" ref="AT23:AT33" si="1">$AP$47+$AP$48*$AS23+$AP$49*$AS23^2+$AP$50*$AS23^3+$AP$51*$AS23^4</f>
        <v>2.2992773723248476E-2</v>
      </c>
      <c r="AU23" s="142"/>
      <c r="AV23" s="42"/>
      <c r="AX23" s="143">
        <v>0</v>
      </c>
      <c r="AY23" s="39">
        <f t="shared" ref="AY23:AY33" si="2">$AP$55+$AP$56*$AX23+$AP$57*$AX23^2+$AP$58*$AX23^3+$AP$59*$AX23^4</f>
        <v>2.5952422915628808E-2</v>
      </c>
      <c r="AZ23" s="142"/>
      <c r="BA23" s="42"/>
      <c r="BD23" s="143">
        <f t="shared" ref="BD23:BD33" si="3">AS23</f>
        <v>0</v>
      </c>
      <c r="BE23" s="158">
        <f t="shared" ref="BE23:BE33" si="4">$AT$47*$BD23+$AT$48*$BD23^2+$AT$49*$BD23^3+$AT$50*$BD23^4+$AT$51*$BD23^5</f>
        <v>0</v>
      </c>
      <c r="BF23" s="287">
        <f t="shared" ref="BF23:BF33" si="5">EXP(-BE23)</f>
        <v>1</v>
      </c>
      <c r="BH23" s="290">
        <v>0</v>
      </c>
      <c r="BI23" s="287">
        <f t="shared" ref="BI23:BI33" si="6">EXP(-(BH23-0.0001)*BD23)</f>
        <v>1</v>
      </c>
    </row>
    <row r="24" spans="2:61" ht="18.75" x14ac:dyDescent="0.35">
      <c r="B24" s="191" t="s">
        <v>116</v>
      </c>
      <c r="M24" s="10" t="s">
        <v>69</v>
      </c>
      <c r="N24" s="10" t="s">
        <v>13</v>
      </c>
      <c r="O24" s="131">
        <v>0.02</v>
      </c>
      <c r="P24" s="91">
        <v>1.2325161290861229E-2</v>
      </c>
      <c r="Q24" s="91">
        <v>1.2332315148777489E-2</v>
      </c>
      <c r="R24" s="91">
        <v>1.2332310331489972E-2</v>
      </c>
      <c r="S24" s="91">
        <v>1.233231033418318E-2</v>
      </c>
      <c r="T24" s="91"/>
      <c r="U24" s="91"/>
      <c r="V24" s="91"/>
      <c r="W24" s="91"/>
      <c r="X24" s="91"/>
      <c r="Y24" s="132"/>
      <c r="AB24" s="190"/>
      <c r="AS24" s="144">
        <v>0.5</v>
      </c>
      <c r="AT24" s="40">
        <f t="shared" si="1"/>
        <v>1.7480428379837029E-2</v>
      </c>
      <c r="AV24" s="51"/>
      <c r="AX24" s="144">
        <v>0.5</v>
      </c>
      <c r="AY24" s="40">
        <f t="shared" si="2"/>
        <v>2.0391292700577962E-2</v>
      </c>
      <c r="BA24" s="51"/>
      <c r="BD24" s="144">
        <f t="shared" si="3"/>
        <v>0.5</v>
      </c>
      <c r="BE24" s="40">
        <f t="shared" si="4"/>
        <v>1.0000489030943478E-2</v>
      </c>
      <c r="BF24" s="288">
        <f t="shared" si="5"/>
        <v>0.99004934958428215</v>
      </c>
      <c r="BH24" s="291">
        <f t="shared" ref="BH24:BH33" si="7">-LN(BF24)/BD24</f>
        <v>2.0000978061886967E-2</v>
      </c>
      <c r="BI24" s="288">
        <f t="shared" si="6"/>
        <v>0.99009885328934366</v>
      </c>
    </row>
    <row r="25" spans="2:61" x14ac:dyDescent="0.25">
      <c r="M25" s="10" t="s">
        <v>69</v>
      </c>
      <c r="N25" s="10" t="s">
        <v>14</v>
      </c>
      <c r="O25" s="131">
        <v>0.02</v>
      </c>
      <c r="P25" s="91">
        <v>1.2504399644361154E-2</v>
      </c>
      <c r="Q25" s="91">
        <v>1.2510742929031742E-2</v>
      </c>
      <c r="R25" s="91">
        <v>1.2510737602308161E-2</v>
      </c>
      <c r="S25" s="91">
        <v>1.2510737606168054E-2</v>
      </c>
      <c r="T25" s="91"/>
      <c r="U25" s="91"/>
      <c r="V25" s="91"/>
      <c r="W25" s="91"/>
      <c r="X25" s="91"/>
      <c r="Y25" s="132"/>
      <c r="AB25" s="342"/>
      <c r="AS25" s="144">
        <f t="shared" ref="AS25:AS33" si="8">AS24+0.5</f>
        <v>1</v>
      </c>
      <c r="AT25" s="40">
        <f t="shared" si="1"/>
        <v>1.435909999972031E-2</v>
      </c>
      <c r="AU25" s="149">
        <f>V8</f>
        <v>1.43591E-2</v>
      </c>
      <c r="AV25" s="51">
        <f>AU25-AT25</f>
        <v>2.7968946603174061E-13</v>
      </c>
      <c r="AX25" s="144">
        <f t="shared" ref="AX25:AX33" si="9">AX24+0.5</f>
        <v>1</v>
      </c>
      <c r="AY25" s="40">
        <f t="shared" si="2"/>
        <v>1.7089599999667488E-2</v>
      </c>
      <c r="AZ25" s="149">
        <f>V13</f>
        <v>1.70896E-2</v>
      </c>
      <c r="BA25" s="51">
        <f>AZ25-AY25</f>
        <v>3.3251179587523438E-13</v>
      </c>
      <c r="BD25" s="144">
        <f t="shared" si="3"/>
        <v>1</v>
      </c>
      <c r="BE25" s="40">
        <f t="shared" si="4"/>
        <v>1.7878090817897496E-2</v>
      </c>
      <c r="BF25" s="288">
        <f t="shared" si="5"/>
        <v>0.98228077410510939</v>
      </c>
      <c r="BH25" s="291">
        <f t="shared" si="7"/>
        <v>1.7878090817897485E-2</v>
      </c>
      <c r="BI25" s="288">
        <f t="shared" si="6"/>
        <v>0.98237900709408754</v>
      </c>
    </row>
    <row r="26" spans="2:61" x14ac:dyDescent="0.25">
      <c r="B26" s="190" t="s">
        <v>111</v>
      </c>
      <c r="M26" s="10" t="s">
        <v>69</v>
      </c>
      <c r="N26" s="10" t="s">
        <v>16</v>
      </c>
      <c r="O26" s="131">
        <v>0.02</v>
      </c>
      <c r="P26" s="91">
        <v>1.2911210623301441E-2</v>
      </c>
      <c r="Q26" s="91">
        <v>1.2913036792530825E-2</v>
      </c>
      <c r="R26" s="91">
        <v>1.2913035463721353E-2</v>
      </c>
      <c r="S26" s="91">
        <v>1.2913035464723036E-2</v>
      </c>
      <c r="T26" s="91"/>
      <c r="U26" s="91"/>
      <c r="V26" s="91"/>
      <c r="W26" s="91"/>
      <c r="X26" s="91"/>
      <c r="Y26" s="132"/>
      <c r="AA26" s="190"/>
      <c r="AB26" s="190"/>
      <c r="AS26" s="144">
        <f t="shared" si="8"/>
        <v>1.5</v>
      </c>
      <c r="AT26" s="40">
        <f t="shared" si="1"/>
        <v>1.2851675121455186E-2</v>
      </c>
      <c r="AV26" s="51"/>
      <c r="AX26" s="144">
        <f t="shared" si="9"/>
        <v>1.5</v>
      </c>
      <c r="AY26" s="40">
        <f t="shared" si="2"/>
        <v>1.5387206818401535E-2</v>
      </c>
      <c r="BA26" s="51"/>
      <c r="BD26" s="144">
        <f t="shared" si="3"/>
        <v>1.5</v>
      </c>
      <c r="BE26" s="40">
        <f t="shared" si="4"/>
        <v>2.4627732558483734E-2</v>
      </c>
      <c r="BF26" s="288">
        <f t="shared" si="5"/>
        <v>0.97567305574306595</v>
      </c>
      <c r="BH26" s="291">
        <f t="shared" si="7"/>
        <v>1.6418488372322456E-2</v>
      </c>
      <c r="BI26" s="288">
        <f t="shared" si="6"/>
        <v>0.97581941767829816</v>
      </c>
    </row>
    <row r="27" spans="2:61" ht="18" x14ac:dyDescent="0.35">
      <c r="B27" s="190" t="s">
        <v>118</v>
      </c>
      <c r="M27" s="10" t="s">
        <v>69</v>
      </c>
      <c r="N27" s="10" t="s">
        <v>19</v>
      </c>
      <c r="O27" s="131">
        <v>0.02</v>
      </c>
      <c r="P27" s="91">
        <v>1.3991867133315846E-2</v>
      </c>
      <c r="Q27" s="91">
        <v>1.3978175463909859E-2</v>
      </c>
      <c r="R27" s="91">
        <v>1.3978178334311966E-2</v>
      </c>
      <c r="S27" s="91">
        <v>1.39781783304254E-2</v>
      </c>
      <c r="T27" s="91"/>
      <c r="U27" s="91"/>
      <c r="V27" s="91"/>
      <c r="W27" s="91"/>
      <c r="X27" s="91"/>
      <c r="Y27" s="132"/>
      <c r="AA27" s="190"/>
      <c r="AB27" s="190"/>
      <c r="AS27" s="144">
        <f t="shared" si="8"/>
        <v>2</v>
      </c>
      <c r="AT27" s="40">
        <f t="shared" si="1"/>
        <v>1.2332310331555921E-2</v>
      </c>
      <c r="AU27" s="149">
        <f>V9</f>
        <v>1.233231033418318E-2</v>
      </c>
      <c r="AV27" s="51">
        <f>AU27-AT27</f>
        <v>2.6272595210485861E-12</v>
      </c>
      <c r="AX27" s="144">
        <f t="shared" si="9"/>
        <v>2</v>
      </c>
      <c r="AY27" s="40">
        <f t="shared" si="2"/>
        <v>1.4735882796638419E-2</v>
      </c>
      <c r="AZ27" s="149">
        <f>V14</f>
        <v>1.4735882799689095E-2</v>
      </c>
      <c r="BA27" s="51">
        <f>AZ27-AY27</f>
        <v>3.0506760312354331E-12</v>
      </c>
      <c r="BD27" s="144">
        <f t="shared" si="3"/>
        <v>2</v>
      </c>
      <c r="BE27" s="40">
        <f t="shared" si="4"/>
        <v>3.0893602231591672E-2</v>
      </c>
      <c r="BF27" s="288">
        <f t="shared" si="5"/>
        <v>0.9695787286011891</v>
      </c>
      <c r="BH27" s="291">
        <f t="shared" si="7"/>
        <v>1.544680111579586E-2</v>
      </c>
      <c r="BI27" s="288">
        <f t="shared" si="6"/>
        <v>0.96977266373977677</v>
      </c>
    </row>
    <row r="28" spans="2:61" ht="18" x14ac:dyDescent="0.35">
      <c r="B28" s="190" t="s">
        <v>119</v>
      </c>
      <c r="M28" s="10" t="s">
        <v>65</v>
      </c>
      <c r="N28" s="10" t="s">
        <v>12</v>
      </c>
      <c r="O28" s="131">
        <v>0.02</v>
      </c>
      <c r="P28" s="91">
        <v>1.70896E-2</v>
      </c>
      <c r="Q28" s="91">
        <v>1.70896E-2</v>
      </c>
      <c r="R28" s="91">
        <v>1.70896E-2</v>
      </c>
      <c r="S28" s="91">
        <v>1.70896E-2</v>
      </c>
      <c r="T28" s="91"/>
      <c r="U28" s="91"/>
      <c r="V28" s="91"/>
      <c r="W28" s="91"/>
      <c r="X28" s="91"/>
      <c r="Y28" s="132"/>
      <c r="AA28" s="190"/>
      <c r="AB28" s="190"/>
      <c r="AS28" s="144">
        <f t="shared" si="8"/>
        <v>2.5</v>
      </c>
      <c r="AT28" s="40">
        <f t="shared" si="1"/>
        <v>1.2326432264494196E-2</v>
      </c>
      <c r="AV28" s="51"/>
      <c r="AX28" s="144">
        <f t="shared" si="9"/>
        <v>2.5</v>
      </c>
      <c r="AY28" s="40">
        <f t="shared" si="2"/>
        <v>1.4699305208590667E-2</v>
      </c>
      <c r="BA28" s="51"/>
      <c r="BD28" s="144">
        <f t="shared" si="3"/>
        <v>2.5</v>
      </c>
      <c r="BE28" s="40">
        <f t="shared" si="4"/>
        <v>3.7044783621357269E-2</v>
      </c>
      <c r="BF28" s="288">
        <f t="shared" si="5"/>
        <v>0.96363297940824377</v>
      </c>
      <c r="BH28" s="291">
        <f t="shared" si="7"/>
        <v>1.4817913448542924E-2</v>
      </c>
      <c r="BI28" s="288">
        <f t="shared" si="6"/>
        <v>0.96387391776913611</v>
      </c>
    </row>
    <row r="29" spans="2:61" ht="18" x14ac:dyDescent="0.35">
      <c r="B29" s="190" t="s">
        <v>120</v>
      </c>
      <c r="M29" s="10" t="s">
        <v>65</v>
      </c>
      <c r="N29" s="10" t="s">
        <v>13</v>
      </c>
      <c r="O29" s="131">
        <v>0.02</v>
      </c>
      <c r="P29" s="91">
        <v>1.4727580593240915E-2</v>
      </c>
      <c r="Q29" s="91">
        <v>1.4735888390892569E-2</v>
      </c>
      <c r="R29" s="91">
        <v>1.4735882796561463E-2</v>
      </c>
      <c r="S29" s="91">
        <v>1.4735882799689095E-2</v>
      </c>
      <c r="T29" s="91"/>
      <c r="U29" s="91"/>
      <c r="V29" s="91"/>
      <c r="W29" s="91"/>
      <c r="X29" s="91"/>
      <c r="Y29" s="132"/>
      <c r="AA29" s="190"/>
      <c r="AB29" s="190"/>
      <c r="AS29" s="144">
        <f t="shared" si="8"/>
        <v>3</v>
      </c>
      <c r="AT29" s="40">
        <f t="shared" si="1"/>
        <v>1.2510737602699116E-2</v>
      </c>
      <c r="AU29" s="149">
        <f>V10</f>
        <v>1.2510737606168054E-2</v>
      </c>
      <c r="AV29" s="51">
        <f>AU29-AT29</f>
        <v>3.468938677975153E-12</v>
      </c>
      <c r="AX29" s="144">
        <f t="shared" si="9"/>
        <v>3</v>
      </c>
      <c r="AY29" s="40">
        <f t="shared" si="2"/>
        <v>1.4953058962824992E-2</v>
      </c>
      <c r="AZ29" s="149">
        <f>V15</f>
        <v>1.4953058966801099E-2</v>
      </c>
      <c r="BA29" s="51">
        <f>AZ29-AY29</f>
        <v>3.9761076375821602E-12</v>
      </c>
      <c r="BD29" s="144">
        <f t="shared" si="3"/>
        <v>3</v>
      </c>
      <c r="BE29" s="40">
        <f t="shared" si="4"/>
        <v>4.3250891341141656E-2</v>
      </c>
      <c r="BF29" s="288">
        <f t="shared" si="5"/>
        <v>0.9576710885397286</v>
      </c>
      <c r="BH29" s="291">
        <f t="shared" si="7"/>
        <v>1.4416963780380562E-2</v>
      </c>
      <c r="BI29" s="288">
        <f t="shared" si="6"/>
        <v>0.9579584329657993</v>
      </c>
    </row>
    <row r="30" spans="2:61" ht="17.25" x14ac:dyDescent="0.25">
      <c r="B30" s="190" t="s">
        <v>121</v>
      </c>
      <c r="M30" s="10" t="s">
        <v>65</v>
      </c>
      <c r="N30" s="10" t="s">
        <v>14</v>
      </c>
      <c r="O30" s="131">
        <v>0.02</v>
      </c>
      <c r="P30" s="91">
        <v>1.4945773742832453E-2</v>
      </c>
      <c r="Q30" s="91">
        <v>1.4953065085211941E-2</v>
      </c>
      <c r="R30" s="91">
        <v>1.4953058962364322E-2</v>
      </c>
      <c r="S30" s="91">
        <v>1.4953058966801099E-2</v>
      </c>
      <c r="T30" s="91"/>
      <c r="U30" s="91"/>
      <c r="V30" s="91"/>
      <c r="W30" s="91"/>
      <c r="X30" s="91"/>
      <c r="Y30" s="132"/>
      <c r="AA30" s="190"/>
      <c r="AB30" s="190"/>
      <c r="AS30" s="144">
        <f t="shared" si="8"/>
        <v>3.5</v>
      </c>
      <c r="AT30" s="40">
        <f t="shared" si="1"/>
        <v>1.2713193076557187E-2</v>
      </c>
      <c r="AU30" s="149"/>
      <c r="AV30" s="51"/>
      <c r="AX30" s="144">
        <f t="shared" si="9"/>
        <v>3.5</v>
      </c>
      <c r="AY30" s="40">
        <f t="shared" si="2"/>
        <v>1.5284636602262262E-2</v>
      </c>
      <c r="AZ30" s="149"/>
      <c r="BA30" s="51"/>
      <c r="BD30" s="144">
        <f t="shared" si="3"/>
        <v>3.5</v>
      </c>
      <c r="BE30" s="40">
        <f t="shared" si="4"/>
        <v>4.9557705857509918E-2</v>
      </c>
      <c r="BF30" s="288">
        <f t="shared" si="5"/>
        <v>0.9516502407587577</v>
      </c>
      <c r="BH30" s="291">
        <f t="shared" si="7"/>
        <v>1.4159344530717129E-2</v>
      </c>
      <c r="BI30" s="288">
        <f t="shared" si="6"/>
        <v>0.95198337663840149</v>
      </c>
    </row>
    <row r="31" spans="2:61" x14ac:dyDescent="0.25">
      <c r="M31" s="10" t="s">
        <v>65</v>
      </c>
      <c r="N31" s="10" t="s">
        <v>16</v>
      </c>
      <c r="O31" s="131">
        <v>0.02</v>
      </c>
      <c r="P31" s="91">
        <v>1.5593342017812374E-2</v>
      </c>
      <c r="Q31" s="91">
        <v>1.5593438373475247E-2</v>
      </c>
      <c r="R31" s="91">
        <v>1.5593438303362189E-2</v>
      </c>
      <c r="S31" s="91">
        <v>1.5593438303415037E-2</v>
      </c>
      <c r="T31" s="91"/>
      <c r="U31" s="91"/>
      <c r="V31" s="91"/>
      <c r="W31" s="91"/>
      <c r="X31" s="91"/>
      <c r="Y31" s="132"/>
      <c r="AA31" s="190"/>
      <c r="AB31" s="190"/>
      <c r="AS31" s="144">
        <f t="shared" si="8"/>
        <v>4</v>
      </c>
      <c r="AT31" s="40">
        <f t="shared" si="1"/>
        <v>1.2913035464412331E-2</v>
      </c>
      <c r="AU31" s="149">
        <f>V11</f>
        <v>1.2913035464723036E-2</v>
      </c>
      <c r="AV31" s="51">
        <f>AU31-AT31</f>
        <v>3.1070458705872994E-13</v>
      </c>
      <c r="AX31" s="144">
        <f t="shared" si="9"/>
        <v>4</v>
      </c>
      <c r="AY31" s="40">
        <f t="shared" si="2"/>
        <v>1.5593438304177601E-2</v>
      </c>
      <c r="AZ31" s="149">
        <f>V16</f>
        <v>1.5593438303415037E-2</v>
      </c>
      <c r="BA31" s="51">
        <f>AZ31-AY31</f>
        <v>-7.6256362335769268E-13</v>
      </c>
      <c r="BD31" s="144">
        <f t="shared" si="3"/>
        <v>4</v>
      </c>
      <c r="BE31" s="40">
        <f t="shared" si="4"/>
        <v>5.5962808514209698E-2</v>
      </c>
      <c r="BF31" s="288">
        <f t="shared" si="5"/>
        <v>0.945574302549679</v>
      </c>
      <c r="BH31" s="291">
        <f t="shared" si="7"/>
        <v>1.3990702128552426E-2</v>
      </c>
      <c r="BI31" s="288">
        <f t="shared" si="6"/>
        <v>0.94595260792673019</v>
      </c>
    </row>
    <row r="32" spans="2:61" x14ac:dyDescent="0.25">
      <c r="B32" s="190" t="s">
        <v>112</v>
      </c>
      <c r="M32" s="10" t="s">
        <v>65</v>
      </c>
      <c r="N32" s="10" t="s">
        <v>19</v>
      </c>
      <c r="O32" s="133">
        <v>0.02</v>
      </c>
      <c r="P32" s="134">
        <v>1.6310016913360273E-2</v>
      </c>
      <c r="Q32" s="134">
        <v>1.6299850643861219E-2</v>
      </c>
      <c r="R32" s="134">
        <v>1.6299852775177748E-2</v>
      </c>
      <c r="S32" s="134">
        <v>1.6299852772291925E-2</v>
      </c>
      <c r="T32" s="134"/>
      <c r="U32" s="134"/>
      <c r="V32" s="134"/>
      <c r="W32" s="134"/>
      <c r="X32" s="134"/>
      <c r="Y32" s="135"/>
      <c r="AA32" s="190"/>
      <c r="AB32" s="190"/>
      <c r="AS32" s="144">
        <f t="shared" si="8"/>
        <v>4.5</v>
      </c>
      <c r="AT32" s="40">
        <f t="shared" si="1"/>
        <v>1.324077159256587E-2</v>
      </c>
      <c r="AU32" s="149"/>
      <c r="AV32" s="51"/>
      <c r="AX32" s="144">
        <f t="shared" si="9"/>
        <v>4.5</v>
      </c>
      <c r="AY32" s="40">
        <f t="shared" si="2"/>
        <v>1.5890771880200244E-2</v>
      </c>
      <c r="AZ32" s="149"/>
      <c r="BA32" s="51"/>
      <c r="BD32" s="144">
        <f t="shared" si="3"/>
        <v>4.5</v>
      </c>
      <c r="BE32" s="40">
        <f t="shared" si="4"/>
        <v>6.2491216556149969E-2</v>
      </c>
      <c r="BF32" s="288">
        <f t="shared" si="5"/>
        <v>0.93942131413160246</v>
      </c>
      <c r="BH32" s="291">
        <f t="shared" si="7"/>
        <v>1.3886937012477766E-2</v>
      </c>
      <c r="BI32" s="288">
        <f t="shared" si="6"/>
        <v>0.93984414885363876</v>
      </c>
    </row>
    <row r="33" spans="2:61" x14ac:dyDescent="0.25">
      <c r="B33" s="191" t="s">
        <v>117</v>
      </c>
      <c r="AS33" s="145">
        <f t="shared" si="8"/>
        <v>5</v>
      </c>
      <c r="AT33" s="41">
        <f t="shared" si="1"/>
        <v>1.397817833527662E-2</v>
      </c>
      <c r="AU33" s="150">
        <f>V12</f>
        <v>1.39781783304254E-2</v>
      </c>
      <c r="AV33" s="60">
        <f>AU33-AT33</f>
        <v>-4.8512201200612282E-12</v>
      </c>
      <c r="AX33" s="145">
        <f t="shared" si="9"/>
        <v>5</v>
      </c>
      <c r="AY33" s="41">
        <f t="shared" si="2"/>
        <v>1.6299852776313691E-2</v>
      </c>
      <c r="AZ33" s="150">
        <f>V17</f>
        <v>1.6299852772291925E-2</v>
      </c>
      <c r="BA33" s="60">
        <f>AZ33-AY33</f>
        <v>-4.0217655594698698E-12</v>
      </c>
      <c r="BD33" s="145">
        <f t="shared" si="3"/>
        <v>5</v>
      </c>
      <c r="BE33" s="41">
        <f t="shared" si="4"/>
        <v>6.9271018153379785E-2</v>
      </c>
      <c r="BF33" s="289">
        <f t="shared" si="5"/>
        <v>0.93307376587858482</v>
      </c>
      <c r="BH33" s="292">
        <f t="shared" si="7"/>
        <v>1.3854203630675957E-2</v>
      </c>
      <c r="BI33" s="289">
        <f t="shared" si="6"/>
        <v>0.93354041941518628</v>
      </c>
    </row>
    <row r="34" spans="2:61" x14ac:dyDescent="0.25">
      <c r="AS34" s="52"/>
      <c r="BH34" t="s">
        <v>231</v>
      </c>
    </row>
    <row r="35" spans="2:61" x14ac:dyDescent="0.25">
      <c r="B35" s="190" t="s">
        <v>111</v>
      </c>
      <c r="M35" s="23" t="s">
        <v>279</v>
      </c>
      <c r="AS35" s="52"/>
    </row>
    <row r="36" spans="2:61" x14ac:dyDescent="0.25">
      <c r="B36" s="190" t="s">
        <v>122</v>
      </c>
      <c r="M36" s="353" t="s">
        <v>282</v>
      </c>
      <c r="N36" s="344" t="s">
        <v>280</v>
      </c>
      <c r="O36" s="344"/>
      <c r="P36" s="344"/>
      <c r="Q36" s="344"/>
      <c r="R36" s="344"/>
      <c r="S36" s="344"/>
      <c r="T36" s="344"/>
      <c r="U36" s="344"/>
      <c r="V36" s="344"/>
      <c r="W36" s="344"/>
      <c r="X36" s="344"/>
      <c r="Y36" s="344"/>
      <c r="Z36" s="345"/>
      <c r="AS36" s="52"/>
    </row>
    <row r="37" spans="2:61" x14ac:dyDescent="0.25">
      <c r="B37" s="190" t="s">
        <v>123</v>
      </c>
      <c r="M37" s="346"/>
      <c r="N37" s="347"/>
      <c r="O37" s="347"/>
      <c r="P37" s="347"/>
      <c r="Q37" s="347"/>
      <c r="R37" s="347"/>
      <c r="S37" s="347"/>
      <c r="T37" s="347"/>
      <c r="U37" s="347"/>
      <c r="V37" s="347"/>
      <c r="W37" s="347"/>
      <c r="X37" s="347"/>
      <c r="Y37" s="347"/>
      <c r="Z37" s="348"/>
      <c r="AS37" s="40"/>
    </row>
    <row r="38" spans="2:61" x14ac:dyDescent="0.25">
      <c r="M38" s="346"/>
      <c r="N38" s="347"/>
      <c r="O38" s="347"/>
      <c r="P38" s="347"/>
      <c r="Q38" s="347"/>
      <c r="R38" s="347"/>
      <c r="S38" s="347"/>
      <c r="T38" s="347"/>
      <c r="U38" s="347"/>
      <c r="V38" s="347"/>
      <c r="W38" s="347"/>
      <c r="X38" s="347"/>
      <c r="Y38" s="347"/>
      <c r="Z38" s="348"/>
      <c r="AS38" s="40"/>
      <c r="AT38" s="40"/>
    </row>
    <row r="39" spans="2:61" ht="18" x14ac:dyDescent="0.35">
      <c r="B39" t="s">
        <v>113</v>
      </c>
      <c r="M39" s="346"/>
      <c r="N39" s="352" t="s">
        <v>333</v>
      </c>
      <c r="O39" s="347"/>
      <c r="P39" s="347" t="s">
        <v>302</v>
      </c>
      <c r="Q39" s="347"/>
      <c r="R39" s="347"/>
      <c r="S39" s="347"/>
      <c r="T39" s="347"/>
      <c r="U39" s="347"/>
      <c r="V39" s="347"/>
      <c r="W39" s="347"/>
      <c r="X39" s="347"/>
      <c r="Y39" s="347"/>
      <c r="Z39" s="348"/>
      <c r="AS39" s="40"/>
      <c r="AT39" s="40"/>
    </row>
    <row r="40" spans="2:61" ht="18" x14ac:dyDescent="0.35">
      <c r="M40" s="346"/>
      <c r="N40" s="352" t="s">
        <v>334</v>
      </c>
      <c r="O40" s="347"/>
      <c r="P40" s="347" t="s">
        <v>284</v>
      </c>
      <c r="Q40" s="347"/>
      <c r="R40" s="347"/>
      <c r="S40" s="347"/>
      <c r="T40" s="347"/>
      <c r="U40" s="347"/>
      <c r="V40" s="347"/>
      <c r="W40" s="347"/>
      <c r="X40" s="347"/>
      <c r="Y40" s="347"/>
      <c r="Z40" s="348"/>
      <c r="AC40" s="23"/>
      <c r="AQ40" s="23"/>
      <c r="AS40" s="40"/>
      <c r="AT40" s="109"/>
    </row>
    <row r="41" spans="2:61" x14ac:dyDescent="0.25">
      <c r="M41" s="346"/>
      <c r="N41" s="347"/>
      <c r="O41" s="347"/>
      <c r="P41" s="347"/>
      <c r="Q41" s="347"/>
      <c r="R41" s="347"/>
      <c r="S41" s="347"/>
      <c r="T41" s="347"/>
      <c r="U41" s="347"/>
      <c r="V41" s="347"/>
      <c r="W41" s="347"/>
      <c r="X41" s="347"/>
      <c r="Y41" s="347"/>
      <c r="Z41" s="348"/>
    </row>
    <row r="42" spans="2:61" x14ac:dyDescent="0.25">
      <c r="M42" s="354" t="s">
        <v>285</v>
      </c>
      <c r="N42" s="347" t="s">
        <v>300</v>
      </c>
      <c r="O42" s="347"/>
      <c r="P42" s="347"/>
      <c r="Q42" s="347"/>
      <c r="R42" s="347"/>
      <c r="S42" s="347"/>
      <c r="T42" s="347"/>
      <c r="U42" s="347"/>
      <c r="V42" s="347"/>
      <c r="W42" s="347"/>
      <c r="X42" s="347"/>
      <c r="Y42" s="347"/>
      <c r="Z42" s="348"/>
      <c r="AG42" s="343" t="s">
        <v>289</v>
      </c>
      <c r="AT42" s="343" t="s">
        <v>290</v>
      </c>
    </row>
    <row r="43" spans="2:61" ht="17.25" x14ac:dyDescent="0.25">
      <c r="M43" s="346"/>
      <c r="N43" s="347" t="s">
        <v>301</v>
      </c>
      <c r="O43" s="347"/>
      <c r="P43" s="347"/>
      <c r="Q43" s="347"/>
      <c r="R43" s="347"/>
      <c r="S43" s="347"/>
      <c r="T43" s="347"/>
      <c r="U43" s="347"/>
      <c r="V43" s="347"/>
      <c r="W43" s="347"/>
      <c r="X43" s="347"/>
      <c r="Y43" s="347"/>
      <c r="Z43" s="348"/>
      <c r="AG43" s="23" t="s">
        <v>94</v>
      </c>
      <c r="AP43" s="23" t="s">
        <v>134</v>
      </c>
    </row>
    <row r="44" spans="2:61" x14ac:dyDescent="0.25">
      <c r="M44" s="346"/>
      <c r="N44" s="347"/>
      <c r="O44" s="351"/>
      <c r="P44" s="347"/>
      <c r="Q44" s="347"/>
      <c r="R44" s="347"/>
      <c r="S44" s="347"/>
      <c r="T44" s="347"/>
      <c r="U44" s="347"/>
      <c r="V44" s="347"/>
      <c r="W44" s="347"/>
      <c r="X44" s="347"/>
      <c r="Y44" s="347"/>
      <c r="Z44" s="348"/>
      <c r="AP44" s="62"/>
    </row>
    <row r="45" spans="2:61" ht="18" x14ac:dyDescent="0.35">
      <c r="M45" s="354" t="s">
        <v>304</v>
      </c>
      <c r="N45" s="347" t="s">
        <v>287</v>
      </c>
      <c r="O45" s="347"/>
      <c r="P45" s="347"/>
      <c r="Q45" s="347"/>
      <c r="R45" s="347"/>
      <c r="S45" s="347"/>
      <c r="T45" s="347"/>
      <c r="U45" s="347"/>
      <c r="V45" s="347"/>
      <c r="W45" s="347"/>
      <c r="X45" s="347"/>
      <c r="Y45" s="347"/>
      <c r="Z45" s="348"/>
      <c r="AG45" t="s">
        <v>95</v>
      </c>
      <c r="AJ45" t="s">
        <v>90</v>
      </c>
      <c r="AP45" t="s">
        <v>92</v>
      </c>
      <c r="AT45" t="s">
        <v>100</v>
      </c>
    </row>
    <row r="46" spans="2:61" x14ac:dyDescent="0.25">
      <c r="M46" s="346"/>
      <c r="N46" s="347"/>
      <c r="O46" s="347"/>
      <c r="P46" s="347"/>
      <c r="Q46" s="347"/>
      <c r="R46" s="347"/>
      <c r="S46" s="347"/>
      <c r="T46" s="347"/>
      <c r="U46" s="347"/>
      <c r="V46" s="347"/>
      <c r="W46" s="347"/>
      <c r="X46" s="347"/>
      <c r="Y46" s="347"/>
      <c r="Z46" s="348"/>
      <c r="AG46" s="10" t="s">
        <v>89</v>
      </c>
      <c r="AH46" s="10" t="s">
        <v>88</v>
      </c>
      <c r="AJ46" s="10">
        <v>1</v>
      </c>
      <c r="AK46" s="10" t="s">
        <v>89</v>
      </c>
      <c r="AL46" s="10" t="s">
        <v>91</v>
      </c>
      <c r="AM46" s="10" t="s">
        <v>97</v>
      </c>
      <c r="AN46" s="10" t="s">
        <v>98</v>
      </c>
      <c r="AP46" s="10" t="s">
        <v>135</v>
      </c>
      <c r="AT46" s="10" t="s">
        <v>101</v>
      </c>
      <c r="AV46" s="152"/>
    </row>
    <row r="47" spans="2:61" x14ac:dyDescent="0.25">
      <c r="M47" s="346"/>
      <c r="N47" s="347"/>
      <c r="O47" s="347"/>
      <c r="P47" s="347"/>
      <c r="Q47" s="347"/>
      <c r="R47" s="347"/>
      <c r="S47" s="347"/>
      <c r="T47" s="347"/>
      <c r="U47" s="347"/>
      <c r="V47" s="347"/>
      <c r="W47" s="347"/>
      <c r="X47" s="347"/>
      <c r="Y47" s="347"/>
      <c r="Z47" s="348"/>
      <c r="AG47" s="136">
        <f>U8</f>
        <v>1</v>
      </c>
      <c r="AH47" s="137">
        <f>W8</f>
        <v>1.43591E-2</v>
      </c>
      <c r="AJ47" s="143">
        <v>1</v>
      </c>
      <c r="AK47" s="105">
        <f t="shared" ref="AK47:AN51" si="10">AJ47*$AG47</f>
        <v>1</v>
      </c>
      <c r="AL47" s="105">
        <f t="shared" si="10"/>
        <v>1</v>
      </c>
      <c r="AM47" s="105">
        <f t="shared" si="10"/>
        <v>1</v>
      </c>
      <c r="AN47" s="110">
        <f t="shared" si="10"/>
        <v>1</v>
      </c>
      <c r="AP47" s="146">
        <f t="array" ref="AP47:AP51">MMULT(MMULT(MINVERSE(MMULT(TRANSPOSE(AJ47:AN51),AJ47:AN51)),TRANSPOSE(AJ47:AN51)),AH47:AH51)</f>
        <v>2.2992773723248476E-2</v>
      </c>
      <c r="AQ47" s="10">
        <v>1</v>
      </c>
      <c r="AR47" s="10"/>
      <c r="AT47" s="146">
        <f>AP47</f>
        <v>2.2992773723248476E-2</v>
      </c>
      <c r="AU47" s="10" t="s">
        <v>89</v>
      </c>
      <c r="AV47" s="108"/>
    </row>
    <row r="48" spans="2:61" x14ac:dyDescent="0.25">
      <c r="M48" s="346"/>
      <c r="N48" s="347"/>
      <c r="O48" s="347"/>
      <c r="P48" s="347"/>
      <c r="Q48" s="347"/>
      <c r="R48" s="347"/>
      <c r="S48" s="347"/>
      <c r="T48" s="347"/>
      <c r="U48" s="347"/>
      <c r="V48" s="347"/>
      <c r="W48" s="347"/>
      <c r="X48" s="347"/>
      <c r="Y48" s="347"/>
      <c r="Z48" s="348"/>
      <c r="AG48" s="138">
        <f>U9</f>
        <v>2</v>
      </c>
      <c r="AH48" s="139">
        <f>W9</f>
        <v>1.2332310331489972E-2</v>
      </c>
      <c r="AJ48" s="144">
        <v>1</v>
      </c>
      <c r="AK48" s="62">
        <f t="shared" si="10"/>
        <v>2</v>
      </c>
      <c r="AL48" s="62">
        <f t="shared" si="10"/>
        <v>4</v>
      </c>
      <c r="AM48" s="62">
        <f t="shared" si="10"/>
        <v>8</v>
      </c>
      <c r="AN48" s="111">
        <f t="shared" si="10"/>
        <v>16</v>
      </c>
      <c r="AP48" s="147">
        <v>-1.400941831505844E-2</v>
      </c>
      <c r="AQ48" s="10" t="s">
        <v>89</v>
      </c>
      <c r="AR48" s="10"/>
      <c r="AT48" s="147">
        <f>AP48/2</f>
        <v>-7.0047091575292202E-3</v>
      </c>
      <c r="AU48" s="10" t="s">
        <v>91</v>
      </c>
      <c r="AV48" s="108"/>
    </row>
    <row r="49" spans="13:49" x14ac:dyDescent="0.25">
      <c r="M49" s="354" t="s">
        <v>283</v>
      </c>
      <c r="N49" s="347" t="s">
        <v>281</v>
      </c>
      <c r="O49" s="347"/>
      <c r="P49" s="347"/>
      <c r="Q49" s="347"/>
      <c r="R49" s="347"/>
      <c r="S49" s="347"/>
      <c r="T49" s="347"/>
      <c r="U49" s="347"/>
      <c r="V49" s="347"/>
      <c r="W49" s="347"/>
      <c r="X49" s="347"/>
      <c r="Y49" s="347"/>
      <c r="Z49" s="348"/>
      <c r="AG49" s="138">
        <f>U10</f>
        <v>3</v>
      </c>
      <c r="AH49" s="139">
        <f>W10</f>
        <v>1.2510737602308161E-2</v>
      </c>
      <c r="AJ49" s="144">
        <v>1</v>
      </c>
      <c r="AK49" s="62">
        <f t="shared" si="10"/>
        <v>3</v>
      </c>
      <c r="AL49" s="62">
        <f t="shared" si="10"/>
        <v>9</v>
      </c>
      <c r="AM49" s="62">
        <f t="shared" si="10"/>
        <v>27</v>
      </c>
      <c r="AN49" s="111">
        <f t="shared" si="10"/>
        <v>81</v>
      </c>
      <c r="AP49" s="147">
        <v>6.6135892707310205E-3</v>
      </c>
      <c r="AQ49" s="10" t="s">
        <v>91</v>
      </c>
      <c r="AR49" s="10"/>
      <c r="AT49" s="147">
        <f>AP49/3</f>
        <v>2.2045297569103402E-3</v>
      </c>
      <c r="AU49" s="10" t="s">
        <v>97</v>
      </c>
      <c r="AV49" s="153"/>
    </row>
    <row r="50" spans="13:49" x14ac:dyDescent="0.25">
      <c r="M50" s="346"/>
      <c r="N50" s="347"/>
      <c r="O50" s="347"/>
      <c r="P50" s="347"/>
      <c r="Q50" s="347"/>
      <c r="R50" s="347"/>
      <c r="S50" s="347"/>
      <c r="T50" s="347"/>
      <c r="U50" s="347"/>
      <c r="V50" s="347"/>
      <c r="W50" s="347"/>
      <c r="X50" s="347"/>
      <c r="Y50" s="347"/>
      <c r="Z50" s="348"/>
      <c r="AG50" s="138">
        <f>U11</f>
        <v>4</v>
      </c>
      <c r="AH50" s="139">
        <f>W11</f>
        <v>1.2913035463721353E-2</v>
      </c>
      <c r="AJ50" s="144">
        <v>1</v>
      </c>
      <c r="AK50" s="62">
        <f t="shared" si="10"/>
        <v>4</v>
      </c>
      <c r="AL50" s="62">
        <f t="shared" si="10"/>
        <v>16</v>
      </c>
      <c r="AM50" s="62">
        <f t="shared" si="10"/>
        <v>64</v>
      </c>
      <c r="AN50" s="111">
        <f t="shared" si="10"/>
        <v>256</v>
      </c>
      <c r="AP50" s="147">
        <v>-1.3386913778390217E-3</v>
      </c>
      <c r="AQ50" s="10" t="s">
        <v>97</v>
      </c>
      <c r="AR50" s="10"/>
      <c r="AT50" s="147">
        <f>AP50/4</f>
        <v>-3.3467284445975543E-4</v>
      </c>
      <c r="AU50" s="10" t="s">
        <v>98</v>
      </c>
      <c r="AV50" s="153"/>
    </row>
    <row r="51" spans="13:49" x14ac:dyDescent="0.25">
      <c r="M51" s="355" t="s">
        <v>286</v>
      </c>
      <c r="N51" s="349" t="s">
        <v>303</v>
      </c>
      <c r="O51" s="349"/>
      <c r="P51" s="349"/>
      <c r="Q51" s="349"/>
      <c r="R51" s="349"/>
      <c r="S51" s="349"/>
      <c r="T51" s="349"/>
      <c r="U51" s="349"/>
      <c r="V51" s="349"/>
      <c r="W51" s="349"/>
      <c r="X51" s="349"/>
      <c r="Y51" s="349"/>
      <c r="Z51" s="350"/>
      <c r="AG51" s="140">
        <f>U12</f>
        <v>5</v>
      </c>
      <c r="AH51" s="141">
        <f>W12</f>
        <v>1.3978178334311966E-2</v>
      </c>
      <c r="AJ51" s="145">
        <v>1</v>
      </c>
      <c r="AK51" s="106">
        <f t="shared" si="10"/>
        <v>5</v>
      </c>
      <c r="AL51" s="106">
        <f t="shared" si="10"/>
        <v>25</v>
      </c>
      <c r="AM51" s="106">
        <f t="shared" si="10"/>
        <v>125</v>
      </c>
      <c r="AN51" s="112">
        <f t="shared" si="10"/>
        <v>625</v>
      </c>
      <c r="AP51" s="148">
        <v>1.0084669863827606E-4</v>
      </c>
      <c r="AQ51" s="10" t="s">
        <v>98</v>
      </c>
      <c r="AR51" s="10"/>
      <c r="AT51" s="148">
        <f>AP51/5</f>
        <v>2.016933972765521E-5</v>
      </c>
      <c r="AU51" s="10" t="s">
        <v>99</v>
      </c>
      <c r="AV51" s="153"/>
      <c r="AW51" s="151"/>
    </row>
    <row r="53" spans="13:49" ht="18" x14ac:dyDescent="0.35">
      <c r="AG53" t="s">
        <v>96</v>
      </c>
      <c r="AJ53" t="s">
        <v>90</v>
      </c>
      <c r="AP53" t="s">
        <v>92</v>
      </c>
      <c r="AT53" t="s">
        <v>100</v>
      </c>
    </row>
    <row r="54" spans="13:49" x14ac:dyDescent="0.25">
      <c r="AG54" s="10" t="s">
        <v>89</v>
      </c>
      <c r="AH54" s="10" t="s">
        <v>88</v>
      </c>
      <c r="AJ54" s="10">
        <v>1</v>
      </c>
      <c r="AK54" s="10" t="s">
        <v>89</v>
      </c>
      <c r="AL54" s="10" t="s">
        <v>91</v>
      </c>
      <c r="AM54" s="10" t="s">
        <v>97</v>
      </c>
      <c r="AN54" s="10" t="s">
        <v>98</v>
      </c>
      <c r="AP54" s="10" t="s">
        <v>93</v>
      </c>
      <c r="AT54" s="10" t="s">
        <v>101</v>
      </c>
    </row>
    <row r="55" spans="13:49" x14ac:dyDescent="0.25">
      <c r="AG55" s="136">
        <f>U13</f>
        <v>1</v>
      </c>
      <c r="AH55" s="137">
        <f>W13</f>
        <v>1.70896E-2</v>
      </c>
      <c r="AJ55" s="143">
        <v>1</v>
      </c>
      <c r="AK55" s="105">
        <f t="shared" ref="AK55:AN59" si="11">AJ55*$AG55</f>
        <v>1</v>
      </c>
      <c r="AL55" s="105">
        <f t="shared" si="11"/>
        <v>1</v>
      </c>
      <c r="AM55" s="105">
        <f t="shared" si="11"/>
        <v>1</v>
      </c>
      <c r="AN55" s="110">
        <f t="shared" si="11"/>
        <v>1</v>
      </c>
      <c r="AP55" s="146">
        <f t="array" ref="AP55:AP59">MMULT(MMULT(MINVERSE(MMULT(TRANSPOSE(AJ55:AN59),AJ55:AN59)),TRANSPOSE(AJ55:AN59)),AH55:AH59)</f>
        <v>2.5952422915628808E-2</v>
      </c>
      <c r="AQ55" s="10">
        <v>1</v>
      </c>
      <c r="AR55" s="10"/>
      <c r="AT55" s="146">
        <f>AP55</f>
        <v>2.5952422915628808E-2</v>
      </c>
      <c r="AU55" s="10" t="s">
        <v>89</v>
      </c>
    </row>
    <row r="56" spans="13:49" x14ac:dyDescent="0.25">
      <c r="AG56" s="138">
        <f>U14</f>
        <v>2</v>
      </c>
      <c r="AH56" s="139">
        <f>W14</f>
        <v>1.4735882796561463E-2</v>
      </c>
      <c r="AJ56" s="144">
        <v>1</v>
      </c>
      <c r="AK56" s="62">
        <f t="shared" si="11"/>
        <v>2</v>
      </c>
      <c r="AL56" s="62">
        <f t="shared" si="11"/>
        <v>4</v>
      </c>
      <c r="AM56" s="62">
        <f t="shared" si="11"/>
        <v>8</v>
      </c>
      <c r="AN56" s="111">
        <f t="shared" si="11"/>
        <v>16</v>
      </c>
      <c r="AP56" s="147">
        <v>-1.3877743757749736E-2</v>
      </c>
      <c r="AQ56" s="10" t="s">
        <v>89</v>
      </c>
      <c r="AR56" s="10"/>
      <c r="AT56" s="147">
        <f>AP56/2</f>
        <v>-6.9388718788748679E-3</v>
      </c>
      <c r="AU56" s="10" t="s">
        <v>91</v>
      </c>
    </row>
    <row r="57" spans="13:49" x14ac:dyDescent="0.25">
      <c r="AG57" s="138">
        <f>U15</f>
        <v>3</v>
      </c>
      <c r="AH57" s="139">
        <f>W15</f>
        <v>1.4953058962364322E-2</v>
      </c>
      <c r="AJ57" s="144">
        <v>1</v>
      </c>
      <c r="AK57" s="62">
        <f t="shared" si="11"/>
        <v>3</v>
      </c>
      <c r="AL57" s="62">
        <f t="shared" si="11"/>
        <v>9</v>
      </c>
      <c r="AM57" s="62">
        <f t="shared" si="11"/>
        <v>27</v>
      </c>
      <c r="AN57" s="111">
        <f t="shared" si="11"/>
        <v>81</v>
      </c>
      <c r="AP57" s="147">
        <v>6.0443150135884825E-3</v>
      </c>
      <c r="AQ57" s="10" t="s">
        <v>91</v>
      </c>
      <c r="AR57" s="10"/>
      <c r="AT57" s="147">
        <f>AP57/3</f>
        <v>2.014771671196161E-3</v>
      </c>
      <c r="AU57" s="10" t="s">
        <v>97</v>
      </c>
    </row>
    <row r="58" spans="13:49" x14ac:dyDescent="0.25">
      <c r="AG58" s="138">
        <f>U16</f>
        <v>4</v>
      </c>
      <c r="AH58" s="139">
        <f>W16</f>
        <v>1.5593438303362189E-2</v>
      </c>
      <c r="AJ58" s="144">
        <v>1</v>
      </c>
      <c r="AK58" s="62">
        <f t="shared" si="11"/>
        <v>4</v>
      </c>
      <c r="AL58" s="62">
        <f t="shared" si="11"/>
        <v>16</v>
      </c>
      <c r="AM58" s="62">
        <f t="shared" si="11"/>
        <v>64</v>
      </c>
      <c r="AN58" s="111">
        <f t="shared" si="11"/>
        <v>256</v>
      </c>
      <c r="AP58" s="147">
        <v>-1.1039992613695246E-3</v>
      </c>
      <c r="AQ58" s="10" t="s">
        <v>97</v>
      </c>
      <c r="AR58" s="10"/>
      <c r="AT58" s="147">
        <f>AP58/4</f>
        <v>-2.7599981534238115E-4</v>
      </c>
      <c r="AU58" s="10" t="s">
        <v>98</v>
      </c>
    </row>
    <row r="59" spans="13:49" x14ac:dyDescent="0.25">
      <c r="AG59" s="140">
        <f>U17</f>
        <v>5</v>
      </c>
      <c r="AH59" s="141">
        <f>W17</f>
        <v>1.6299852775177748E-2</v>
      </c>
      <c r="AJ59" s="145">
        <v>1</v>
      </c>
      <c r="AK59" s="106">
        <f t="shared" si="11"/>
        <v>5</v>
      </c>
      <c r="AL59" s="106">
        <f t="shared" si="11"/>
        <v>25</v>
      </c>
      <c r="AM59" s="106">
        <f t="shared" si="11"/>
        <v>125</v>
      </c>
      <c r="AN59" s="112">
        <f t="shared" si="11"/>
        <v>625</v>
      </c>
      <c r="AP59" s="148">
        <v>7.460508956945932E-5</v>
      </c>
      <c r="AQ59" s="10" t="s">
        <v>98</v>
      </c>
      <c r="AR59" s="10"/>
      <c r="AT59" s="148">
        <f>AP59/5</f>
        <v>1.4921017913891865E-5</v>
      </c>
      <c r="AU59" s="10" t="s">
        <v>99</v>
      </c>
    </row>
    <row r="61" spans="13:49" x14ac:dyDescent="0.25">
      <c r="AG61" s="23" t="s">
        <v>94</v>
      </c>
    </row>
  </sheetData>
  <dataValidations disablePrompts="1" count="1">
    <dataValidation type="list" allowBlank="1" showInputMessage="1" showErrorMessage="1" sqref="AB20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ignoredErrors>
    <ignoredError sqref="Y10:Y11 Y9 Y12:Y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olverIteration">
                <anchor moveWithCells="1" sizeWithCells="1">
                  <from>
                    <xdr:col>26</xdr:col>
                    <xdr:colOff>600075</xdr:colOff>
                    <xdr:row>12</xdr:row>
                    <xdr:rowOff>180975</xdr:rowOff>
                  </from>
                  <to>
                    <xdr:col>29</xdr:col>
                    <xdr:colOff>161925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AF74"/>
  <sheetViews>
    <sheetView showGridLines="0" zoomScaleNormal="100" workbookViewId="0"/>
  </sheetViews>
  <sheetFormatPr defaultRowHeight="15" outlineLevelCol="1" x14ac:dyDescent="0.25"/>
  <cols>
    <col min="1" max="1" width="4.7109375" style="10" customWidth="1"/>
    <col min="2" max="2" width="17" style="10" bestFit="1" customWidth="1"/>
    <col min="3" max="3" width="19.42578125" style="10" bestFit="1" customWidth="1"/>
    <col min="4" max="4" width="4.85546875" style="10" customWidth="1" outlineLevel="1"/>
    <col min="5" max="13" width="11.7109375" style="10" customWidth="1" outlineLevel="1"/>
    <col min="15" max="15" width="4.85546875" style="10" customWidth="1" outlineLevel="1"/>
    <col min="16" max="21" width="11.7109375" style="10" customWidth="1" outlineLevel="1"/>
    <col min="22" max="22" width="11.7109375" style="109" customWidth="1" outlineLevel="1"/>
    <col min="23" max="27" width="11.7109375" style="10" customWidth="1" outlineLevel="1"/>
    <col min="29" max="29" width="9.140625" style="10" bestFit="1" customWidth="1"/>
    <col min="30" max="30" width="9.140625" style="10"/>
    <col min="31" max="31" width="11.140625" style="285" hidden="1" customWidth="1"/>
    <col min="32" max="32" width="10.7109375" style="285" hidden="1" customWidth="1"/>
    <col min="33" max="16384" width="9.140625" style="10"/>
  </cols>
  <sheetData>
    <row r="1" spans="2:32" x14ac:dyDescent="0.25">
      <c r="N1" s="283" t="s">
        <v>154</v>
      </c>
      <c r="O1" s="283"/>
      <c r="AB1" s="283" t="s">
        <v>159</v>
      </c>
      <c r="AD1" s="283"/>
    </row>
    <row r="2" spans="2:32" x14ac:dyDescent="0.25">
      <c r="B2" s="229" t="s">
        <v>163</v>
      </c>
    </row>
    <row r="4" spans="2:32" x14ac:dyDescent="0.25">
      <c r="B4" s="207" t="s">
        <v>164</v>
      </c>
      <c r="E4" s="127" t="s">
        <v>154</v>
      </c>
      <c r="K4" s="230"/>
      <c r="L4" s="230"/>
      <c r="M4" s="230"/>
      <c r="P4" s="127" t="s">
        <v>159</v>
      </c>
      <c r="AA4" s="230"/>
    </row>
    <row r="5" spans="2:32" ht="18" x14ac:dyDescent="0.25">
      <c r="B5" s="231" t="s">
        <v>165</v>
      </c>
      <c r="C5" s="232" t="s">
        <v>245</v>
      </c>
      <c r="D5" s="220" t="s">
        <v>162</v>
      </c>
      <c r="E5" s="221" t="s">
        <v>166</v>
      </c>
      <c r="F5" s="212" t="s">
        <v>167</v>
      </c>
      <c r="G5" s="212" t="s">
        <v>168</v>
      </c>
      <c r="H5" s="212" t="s">
        <v>169</v>
      </c>
      <c r="I5" s="212" t="s">
        <v>170</v>
      </c>
      <c r="J5" s="212" t="s">
        <v>171</v>
      </c>
      <c r="K5" s="212" t="s">
        <v>172</v>
      </c>
      <c r="L5" s="212" t="s">
        <v>173</v>
      </c>
      <c r="M5" s="264" t="s">
        <v>174</v>
      </c>
      <c r="O5" s="284" t="s">
        <v>162</v>
      </c>
      <c r="P5" s="221" t="s">
        <v>175</v>
      </c>
      <c r="Q5" s="212" t="s">
        <v>166</v>
      </c>
      <c r="R5" s="212" t="s">
        <v>167</v>
      </c>
      <c r="S5" s="212" t="s">
        <v>168</v>
      </c>
      <c r="T5" s="212" t="s">
        <v>176</v>
      </c>
      <c r="U5" s="212" t="s">
        <v>170</v>
      </c>
      <c r="V5" s="286" t="s">
        <v>177</v>
      </c>
      <c r="W5" s="212" t="s">
        <v>178</v>
      </c>
      <c r="X5" s="212" t="s">
        <v>179</v>
      </c>
      <c r="Y5" s="212" t="s">
        <v>180</v>
      </c>
      <c r="Z5" s="212" t="s">
        <v>181</v>
      </c>
      <c r="AA5" s="264" t="s">
        <v>182</v>
      </c>
      <c r="AE5" s="325" t="s">
        <v>271</v>
      </c>
      <c r="AF5" s="325" t="s">
        <v>272</v>
      </c>
    </row>
    <row r="6" spans="2:32" x14ac:dyDescent="0.25">
      <c r="B6" s="233" t="s">
        <v>183</v>
      </c>
      <c r="C6" s="234" t="s">
        <v>153</v>
      </c>
      <c r="D6" s="220">
        <v>1</v>
      </c>
      <c r="E6" s="222">
        <f ca="1">IF(AE6,AsOfDate,"")</f>
        <v>44996</v>
      </c>
      <c r="F6" s="235">
        <f t="shared" ref="F6:F37" ca="1" si="0">IF(AE6,E6+K6*365,"")</f>
        <v>45361</v>
      </c>
      <c r="G6" s="235">
        <f t="shared" ref="G6:G37" ca="1" si="1">IF(AE6,F6,"")</f>
        <v>45361</v>
      </c>
      <c r="H6" s="236">
        <f>IF(AE6,t_i,"")</f>
        <v>1</v>
      </c>
      <c r="I6" s="237">
        <f t="shared" ref="I6:I37" si="2">IF(AE6,N,"")</f>
        <v>1000000</v>
      </c>
      <c r="J6" s="228">
        <f t="shared" ref="J6:J37" si="3">IF(AE6,r_fixed,"")</f>
        <v>0.01</v>
      </c>
      <c r="K6" s="236">
        <f t="shared" ref="K6:K37" si="4">IF(AE6,t_i,"")</f>
        <v>1</v>
      </c>
      <c r="L6" s="238">
        <f>IF(AE6,IF(SetDiscFactToOne,1,LinearInterpolation(CurveResults.Time,IF(ApplyBump,CurveResults.DF.Bumped,CurveResults.DFs),H6)),"")</f>
        <v>0.98228077410510939</v>
      </c>
      <c r="M6" s="270">
        <f t="shared" ref="M6:M37" si="5">IF(AE6,I6*J6*K6*L6,"")</f>
        <v>9822.8077410510941</v>
      </c>
      <c r="O6" s="284">
        <v>1</v>
      </c>
      <c r="P6" s="222">
        <f t="shared" ref="P6:P37" ca="1" si="6">IF(AF6,Q6,"")</f>
        <v>44996</v>
      </c>
      <c r="Q6" s="235">
        <f ca="1">IF(AF6,AsOfDate,"")</f>
        <v>44996</v>
      </c>
      <c r="R6" s="235">
        <f t="shared" ref="R6:R37" ca="1" si="7">IF(AF6,Q6+Y6*365,"")</f>
        <v>45361</v>
      </c>
      <c r="S6" s="235">
        <f t="shared" ref="S6:S37" ca="1" si="8">IF(AF6,R6,"")</f>
        <v>45361</v>
      </c>
      <c r="T6" s="236">
        <f>IF(AF6,t_j,"")</f>
        <v>1</v>
      </c>
      <c r="U6" s="237">
        <f t="shared" ref="U6:U37" si="9">IF(AF6,N,"")</f>
        <v>1000000</v>
      </c>
      <c r="V6" s="228">
        <f>IF(AF6,LinearInterpolation(CurveResults.Time,CurveResults.USD3ML,T6)-IF(ApplyBump,0.0001,0),"")</f>
        <v>1.7089599999667488E-2</v>
      </c>
      <c r="W6" s="236">
        <f t="shared" ref="W6:W37" si="10">IF(AF6,s,"")</f>
        <v>0</v>
      </c>
      <c r="X6" s="228">
        <f t="shared" ref="X6:X37" si="11">IF(AF6,V6+(W6*0.0001),"")</f>
        <v>1.7089599999667488E-2</v>
      </c>
      <c r="Y6" s="236">
        <f t="shared" ref="Y6:Y37" si="12">IF(AF6,t_j,"")</f>
        <v>1</v>
      </c>
      <c r="Z6" s="238">
        <f>IF(AF6,IF(SetDiscFactToOne,1,LinearInterpolation(CurveResults.Time,IF(ApplyBump,CurveResults.DF.Bumped,CurveResults.DFs),T6)),"")</f>
        <v>0.98228077410510939</v>
      </c>
      <c r="AA6" s="270">
        <f t="shared" ref="AA6:AA37" si="13">IF(AF6,U6*X6*Y6*Z6,"")</f>
        <v>16786.785516820055</v>
      </c>
      <c r="AE6" s="326" t="b">
        <f>IF(t_i&lt;=T,TRUE,FALSE)</f>
        <v>1</v>
      </c>
      <c r="AF6" s="326" t="b">
        <f>IF(t_j&lt;=T,TRUE,FALSE)</f>
        <v>1</v>
      </c>
    </row>
    <row r="7" spans="2:32" x14ac:dyDescent="0.25">
      <c r="B7" s="233" t="s">
        <v>184</v>
      </c>
      <c r="C7" s="239">
        <v>1000000</v>
      </c>
      <c r="D7" s="220">
        <f>D6+1</f>
        <v>2</v>
      </c>
      <c r="E7" s="223">
        <f t="shared" ref="E7:E38" ca="1" si="14">IF(AE7,F6,"")</f>
        <v>45361</v>
      </c>
      <c r="F7" s="240">
        <f t="shared" ca="1" si="0"/>
        <v>45726</v>
      </c>
      <c r="G7" s="240">
        <f t="shared" ca="1" si="1"/>
        <v>45726</v>
      </c>
      <c r="H7" s="241">
        <f t="shared" ref="H7:H38" si="15">IF(AE7,H6+t_i,"")</f>
        <v>2</v>
      </c>
      <c r="I7" s="242">
        <f t="shared" si="2"/>
        <v>1000000</v>
      </c>
      <c r="J7" s="224">
        <f t="shared" si="3"/>
        <v>0.01</v>
      </c>
      <c r="K7" s="241">
        <f t="shared" si="4"/>
        <v>1</v>
      </c>
      <c r="L7" s="243">
        <f>IF(AE7,IF(SetDiscFactToOne,1,LinearInterpolation(CurveResults.Time,IF(ApplyBump,CurveResults.DF.Bumped,CurveResults.DFs),H7)),"")</f>
        <v>0.9695787286011891</v>
      </c>
      <c r="M7" s="271">
        <f t="shared" si="5"/>
        <v>9695.7872860118914</v>
      </c>
      <c r="O7" s="284">
        <f>O6+1</f>
        <v>2</v>
      </c>
      <c r="P7" s="223">
        <f t="shared" ca="1" si="6"/>
        <v>45361</v>
      </c>
      <c r="Q7" s="240">
        <f t="shared" ref="Q7:Q38" ca="1" si="16">IF(AF7,R6,"")</f>
        <v>45361</v>
      </c>
      <c r="R7" s="240">
        <f t="shared" ca="1" si="7"/>
        <v>45726</v>
      </c>
      <c r="S7" s="240">
        <f t="shared" ca="1" si="8"/>
        <v>45726</v>
      </c>
      <c r="T7" s="241">
        <f t="shared" ref="T7:T38" si="17">IF(AF7,T6+t_j,"")</f>
        <v>2</v>
      </c>
      <c r="U7" s="242">
        <f t="shared" si="9"/>
        <v>1000000</v>
      </c>
      <c r="V7" s="224">
        <f>IF(AF7,LinearInterpolation(CurveResults.Time,CurveResults.USD3ML,T7)-IF(ApplyBump,0.0001,0),"")</f>
        <v>1.4735882796638419E-2</v>
      </c>
      <c r="W7" s="241">
        <f t="shared" si="10"/>
        <v>0</v>
      </c>
      <c r="X7" s="224">
        <f t="shared" si="11"/>
        <v>1.4735882796638419E-2</v>
      </c>
      <c r="Y7" s="241">
        <f t="shared" si="12"/>
        <v>1</v>
      </c>
      <c r="Z7" s="243">
        <f>IF(AF7,IF(SetDiscFactToOne,1,LinearInterpolation(CurveResults.Time,IF(ApplyBump,CurveResults.DF.Bumped,CurveResults.DFs),T7)),"")</f>
        <v>0.9695787286011891</v>
      </c>
      <c r="AA7" s="271">
        <f t="shared" si="13"/>
        <v>14287.598506780814</v>
      </c>
      <c r="AE7" s="327" t="b">
        <f>IF(SUM(K$6:K6)+t_i&lt;=T,TRUE,FALSE)</f>
        <v>1</v>
      </c>
      <c r="AF7" s="327" t="b">
        <f>IF(SUM(Y$6:Y6)+t_j&lt;=T,TRUE,FALSE)</f>
        <v>1</v>
      </c>
    </row>
    <row r="8" spans="2:32" ht="17.25" x14ac:dyDescent="0.25">
      <c r="B8" s="233" t="s">
        <v>185</v>
      </c>
      <c r="C8" s="245">
        <v>0.01</v>
      </c>
      <c r="D8" s="220">
        <f t="shared" ref="D8:D55" si="18">D7+1</f>
        <v>3</v>
      </c>
      <c r="E8" s="223">
        <f t="shared" ca="1" si="14"/>
        <v>45726</v>
      </c>
      <c r="F8" s="240">
        <f t="shared" ca="1" si="0"/>
        <v>46091</v>
      </c>
      <c r="G8" s="240">
        <f t="shared" ca="1" si="1"/>
        <v>46091</v>
      </c>
      <c r="H8" s="241">
        <f t="shared" si="15"/>
        <v>3</v>
      </c>
      <c r="I8" s="242">
        <f t="shared" si="2"/>
        <v>1000000</v>
      </c>
      <c r="J8" s="224">
        <f t="shared" si="3"/>
        <v>0.01</v>
      </c>
      <c r="K8" s="241">
        <f t="shared" si="4"/>
        <v>1</v>
      </c>
      <c r="L8" s="243">
        <f>IF(AE8,IF(SetDiscFactToOne,1,LinearInterpolation(CurveResults.Time,IF(ApplyBump,CurveResults.DF.Bumped,CurveResults.DFs),H8)),"")</f>
        <v>0.9576710885397286</v>
      </c>
      <c r="M8" s="271">
        <f t="shared" si="5"/>
        <v>9576.7108853972859</v>
      </c>
      <c r="O8" s="284">
        <f t="shared" ref="O8:O55" si="19">O7+1</f>
        <v>3</v>
      </c>
      <c r="P8" s="223">
        <f t="shared" ca="1" si="6"/>
        <v>45726</v>
      </c>
      <c r="Q8" s="240">
        <f t="shared" ca="1" si="16"/>
        <v>45726</v>
      </c>
      <c r="R8" s="240">
        <f t="shared" ca="1" si="7"/>
        <v>46091</v>
      </c>
      <c r="S8" s="240">
        <f t="shared" ca="1" si="8"/>
        <v>46091</v>
      </c>
      <c r="T8" s="241">
        <f t="shared" si="17"/>
        <v>3</v>
      </c>
      <c r="U8" s="242">
        <f t="shared" si="9"/>
        <v>1000000</v>
      </c>
      <c r="V8" s="224">
        <f>IF(AF8,LinearInterpolation(CurveResults.Time,CurveResults.USD3ML,T8)-IF(ApplyBump,0.0001,0),"")</f>
        <v>1.4953058962824992E-2</v>
      </c>
      <c r="W8" s="241">
        <f t="shared" si="10"/>
        <v>0</v>
      </c>
      <c r="X8" s="224">
        <f t="shared" si="11"/>
        <v>1.4953058962824992E-2</v>
      </c>
      <c r="Y8" s="241">
        <f t="shared" si="12"/>
        <v>1</v>
      </c>
      <c r="Z8" s="243">
        <f>IF(AF8,IF(SetDiscFactToOne,1,LinearInterpolation(CurveResults.Time,IF(ApplyBump,CurveResults.DF.Bumped,CurveResults.DFs),T8)),"")</f>
        <v>0.9576710885397286</v>
      </c>
      <c r="AA8" s="271">
        <f t="shared" si="13"/>
        <v>14320.112253927355</v>
      </c>
      <c r="AE8" s="327" t="b">
        <f>IF(SUM(K$6:K7)+t_i&lt;=T,TRUE,FALSE)</f>
        <v>1</v>
      </c>
      <c r="AF8" s="327" t="b">
        <f>IF(SUM(Y$6:Y7)+t_j&lt;=T,TRUE,FALSE)</f>
        <v>1</v>
      </c>
    </row>
    <row r="9" spans="2:32" x14ac:dyDescent="0.25">
      <c r="B9" s="233" t="s">
        <v>186</v>
      </c>
      <c r="C9" s="246" t="str">
        <f>FixedLegFrequencySelected</f>
        <v>ANNUAL</v>
      </c>
      <c r="D9" s="220">
        <f t="shared" si="18"/>
        <v>4</v>
      </c>
      <c r="E9" s="223">
        <f t="shared" ca="1" si="14"/>
        <v>46091</v>
      </c>
      <c r="F9" s="240">
        <f t="shared" ca="1" si="0"/>
        <v>46456</v>
      </c>
      <c r="G9" s="240">
        <f t="shared" ca="1" si="1"/>
        <v>46456</v>
      </c>
      <c r="H9" s="241">
        <f t="shared" si="15"/>
        <v>4</v>
      </c>
      <c r="I9" s="242">
        <f t="shared" si="2"/>
        <v>1000000</v>
      </c>
      <c r="J9" s="224">
        <f t="shared" si="3"/>
        <v>0.01</v>
      </c>
      <c r="K9" s="241">
        <f t="shared" si="4"/>
        <v>1</v>
      </c>
      <c r="L9" s="243">
        <f>IF(AE9,IF(SetDiscFactToOne,1,LinearInterpolation(CurveResults.Time,IF(ApplyBump,CurveResults.DF.Bumped,CurveResults.DFs),H9)),"")</f>
        <v>0.945574302549679</v>
      </c>
      <c r="M9" s="271">
        <f t="shared" si="5"/>
        <v>9455.7430254967894</v>
      </c>
      <c r="O9" s="284">
        <f t="shared" si="19"/>
        <v>4</v>
      </c>
      <c r="P9" s="223">
        <f t="shared" ca="1" si="6"/>
        <v>46091</v>
      </c>
      <c r="Q9" s="240">
        <f t="shared" ca="1" si="16"/>
        <v>46091</v>
      </c>
      <c r="R9" s="240">
        <f t="shared" ca="1" si="7"/>
        <v>46456</v>
      </c>
      <c r="S9" s="240">
        <f t="shared" ca="1" si="8"/>
        <v>46456</v>
      </c>
      <c r="T9" s="241">
        <f t="shared" si="17"/>
        <v>4</v>
      </c>
      <c r="U9" s="242">
        <f t="shared" si="9"/>
        <v>1000000</v>
      </c>
      <c r="V9" s="224">
        <f>IF(AF9,LinearInterpolation(CurveResults.Time,CurveResults.USD3ML,T9)-IF(ApplyBump,0.0001,0),"")</f>
        <v>1.5593438304177601E-2</v>
      </c>
      <c r="W9" s="241">
        <f t="shared" si="10"/>
        <v>0</v>
      </c>
      <c r="X9" s="224">
        <f t="shared" si="11"/>
        <v>1.5593438304177601E-2</v>
      </c>
      <c r="Y9" s="241">
        <f t="shared" si="12"/>
        <v>1</v>
      </c>
      <c r="Z9" s="243">
        <f>IF(AF9,IF(SetDiscFactToOne,1,LinearInterpolation(CurveResults.Time,IF(ApplyBump,CurveResults.DF.Bumped,CurveResults.DFs),T9)),"")</f>
        <v>0.945574302549679</v>
      </c>
      <c r="AA9" s="271">
        <f t="shared" si="13"/>
        <v>14744.754548824183</v>
      </c>
      <c r="AE9" s="327" t="b">
        <f>IF(SUM(K$6:K8)+t_i&lt;=T,TRUE,FALSE)</f>
        <v>1</v>
      </c>
      <c r="AF9" s="327" t="b">
        <f>IF(SUM(Y$6:Y8)+t_j&lt;=T,TRUE,FALSE)</f>
        <v>1</v>
      </c>
    </row>
    <row r="10" spans="2:32" x14ac:dyDescent="0.25">
      <c r="B10" s="233" t="s">
        <v>187</v>
      </c>
      <c r="C10" s="246" t="str">
        <f>FloatLegFrequencySelected</f>
        <v>ANNUAL</v>
      </c>
      <c r="D10" s="220">
        <f t="shared" si="18"/>
        <v>5</v>
      </c>
      <c r="E10" s="223">
        <f t="shared" ca="1" si="14"/>
        <v>46456</v>
      </c>
      <c r="F10" s="240">
        <f t="shared" ca="1" si="0"/>
        <v>46821</v>
      </c>
      <c r="G10" s="240">
        <f t="shared" ca="1" si="1"/>
        <v>46821</v>
      </c>
      <c r="H10" s="241">
        <f t="shared" si="15"/>
        <v>5</v>
      </c>
      <c r="I10" s="242">
        <f t="shared" si="2"/>
        <v>1000000</v>
      </c>
      <c r="J10" s="224">
        <f t="shared" si="3"/>
        <v>0.01</v>
      </c>
      <c r="K10" s="241">
        <f t="shared" si="4"/>
        <v>1</v>
      </c>
      <c r="L10" s="243">
        <f>IF(AE10,IF(SetDiscFactToOne,1,LinearInterpolation(CurveResults.Time,IF(ApplyBump,CurveResults.DF.Bumped,CurveResults.DFs),H10)),"")</f>
        <v>0.93307376587858482</v>
      </c>
      <c r="M10" s="271">
        <f t="shared" si="5"/>
        <v>9330.7376587858489</v>
      </c>
      <c r="O10" s="284">
        <f t="shared" si="19"/>
        <v>5</v>
      </c>
      <c r="P10" s="223">
        <f t="shared" ca="1" si="6"/>
        <v>46456</v>
      </c>
      <c r="Q10" s="240">
        <f t="shared" ca="1" si="16"/>
        <v>46456</v>
      </c>
      <c r="R10" s="240">
        <f t="shared" ca="1" si="7"/>
        <v>46821</v>
      </c>
      <c r="S10" s="240">
        <f t="shared" ca="1" si="8"/>
        <v>46821</v>
      </c>
      <c r="T10" s="241">
        <f t="shared" si="17"/>
        <v>5</v>
      </c>
      <c r="U10" s="242">
        <f t="shared" si="9"/>
        <v>1000000</v>
      </c>
      <c r="V10" s="224">
        <f>IF(AF10,LinearInterpolation(CurveResults.Time,CurveResults.USD3ML,T10)-IF(ApplyBump,0.0001,0),"")</f>
        <v>1.6299852776313691E-2</v>
      </c>
      <c r="W10" s="241">
        <f t="shared" si="10"/>
        <v>0</v>
      </c>
      <c r="X10" s="224">
        <f t="shared" si="11"/>
        <v>1.6299852776313691E-2</v>
      </c>
      <c r="Y10" s="241">
        <f t="shared" si="12"/>
        <v>1</v>
      </c>
      <c r="Z10" s="243">
        <f>IF(AF10,IF(SetDiscFactToOne,1,LinearInterpolation(CurveResults.Time,IF(ApplyBump,CurveResults.DF.Bumped,CurveResults.DFs),T10)),"")</f>
        <v>0.93307376587858482</v>
      </c>
      <c r="AA10" s="271">
        <f t="shared" si="13"/>
        <v>15208.965013261521</v>
      </c>
      <c r="AE10" s="327" t="b">
        <f>IF(SUM(K$6:K9)+t_i&lt;=T,TRUE,FALSE)</f>
        <v>1</v>
      </c>
      <c r="AF10" s="327" t="b">
        <f>IF(SUM(Y$6:Y9)+t_j&lt;=T,TRUE,FALSE)</f>
        <v>1</v>
      </c>
    </row>
    <row r="11" spans="2:32" x14ac:dyDescent="0.25">
      <c r="B11" s="233" t="s">
        <v>188</v>
      </c>
      <c r="C11" s="247">
        <v>0</v>
      </c>
      <c r="D11" s="220">
        <f t="shared" si="18"/>
        <v>6</v>
      </c>
      <c r="E11" s="223" t="str">
        <f t="shared" si="14"/>
        <v/>
      </c>
      <c r="F11" s="240" t="str">
        <f t="shared" si="0"/>
        <v/>
      </c>
      <c r="G11" s="240" t="str">
        <f t="shared" si="1"/>
        <v/>
      </c>
      <c r="H11" s="241" t="str">
        <f t="shared" si="15"/>
        <v/>
      </c>
      <c r="I11" s="242" t="str">
        <f t="shared" si="2"/>
        <v/>
      </c>
      <c r="J11" s="224" t="str">
        <f t="shared" si="3"/>
        <v/>
      </c>
      <c r="K11" s="241" t="str">
        <f t="shared" si="4"/>
        <v/>
      </c>
      <c r="L11" s="243" t="str">
        <f>IF(AE11,IF(SetDiscFactToOne,1,LinearInterpolation(CurveResults.Time,IF(ApplyBump,CurveResults.DF.Bumped,CurveResults.DFs),H11)),"")</f>
        <v/>
      </c>
      <c r="M11" s="271" t="str">
        <f t="shared" si="5"/>
        <v/>
      </c>
      <c r="O11" s="284">
        <f t="shared" si="19"/>
        <v>6</v>
      </c>
      <c r="P11" s="223" t="str">
        <f t="shared" si="6"/>
        <v/>
      </c>
      <c r="Q11" s="240" t="str">
        <f t="shared" si="16"/>
        <v/>
      </c>
      <c r="R11" s="240" t="str">
        <f t="shared" si="7"/>
        <v/>
      </c>
      <c r="S11" s="240" t="str">
        <f t="shared" si="8"/>
        <v/>
      </c>
      <c r="T11" s="241" t="str">
        <f t="shared" si="17"/>
        <v/>
      </c>
      <c r="U11" s="242" t="str">
        <f t="shared" si="9"/>
        <v/>
      </c>
      <c r="V11" s="224" t="str">
        <f>IF(AF11,LinearInterpolation(CurveResults.Time,CurveResults.USD3ML,T11)-IF(ApplyBump,0.0001,0),"")</f>
        <v/>
      </c>
      <c r="W11" s="241" t="str">
        <f t="shared" si="10"/>
        <v/>
      </c>
      <c r="X11" s="224" t="str">
        <f t="shared" si="11"/>
        <v/>
      </c>
      <c r="Y11" s="241" t="str">
        <f t="shared" si="12"/>
        <v/>
      </c>
      <c r="Z11" s="243" t="str">
        <f>IF(AF11,IF(SetDiscFactToOne,1,LinearInterpolation(CurveResults.Time,IF(ApplyBump,CurveResults.DF.Bumped,CurveResults.DFs),T11)),"")</f>
        <v/>
      </c>
      <c r="AA11" s="271" t="str">
        <f t="shared" si="13"/>
        <v/>
      </c>
      <c r="AE11" s="327" t="b">
        <f>IF(SUM(K$6:K10)+t_i&lt;=T,TRUE,FALSE)</f>
        <v>0</v>
      </c>
      <c r="AF11" s="327" t="b">
        <f>IF(SUM(Y$6:Y10)+t_j&lt;=T,TRUE,FALSE)</f>
        <v>0</v>
      </c>
    </row>
    <row r="12" spans="2:32" x14ac:dyDescent="0.25">
      <c r="B12" s="248" t="s">
        <v>189</v>
      </c>
      <c r="C12" s="249">
        <v>5</v>
      </c>
      <c r="D12" s="220">
        <f t="shared" si="18"/>
        <v>7</v>
      </c>
      <c r="E12" s="223" t="str">
        <f t="shared" si="14"/>
        <v/>
      </c>
      <c r="F12" s="240" t="str">
        <f t="shared" si="0"/>
        <v/>
      </c>
      <c r="G12" s="240" t="str">
        <f t="shared" si="1"/>
        <v/>
      </c>
      <c r="H12" s="241" t="str">
        <f t="shared" si="15"/>
        <v/>
      </c>
      <c r="I12" s="242" t="str">
        <f t="shared" si="2"/>
        <v/>
      </c>
      <c r="J12" s="224" t="str">
        <f t="shared" si="3"/>
        <v/>
      </c>
      <c r="K12" s="241" t="str">
        <f t="shared" si="4"/>
        <v/>
      </c>
      <c r="L12" s="243" t="str">
        <f>IF(AE12,IF(SetDiscFactToOne,1,LinearInterpolation(CurveResults.Time,IF(ApplyBump,CurveResults.DF.Bumped,CurveResults.DFs),H12)),"")</f>
        <v/>
      </c>
      <c r="M12" s="271" t="str">
        <f t="shared" si="5"/>
        <v/>
      </c>
      <c r="O12" s="284">
        <f t="shared" si="19"/>
        <v>7</v>
      </c>
      <c r="P12" s="223" t="str">
        <f t="shared" si="6"/>
        <v/>
      </c>
      <c r="Q12" s="240" t="str">
        <f t="shared" si="16"/>
        <v/>
      </c>
      <c r="R12" s="240" t="str">
        <f t="shared" si="7"/>
        <v/>
      </c>
      <c r="S12" s="240" t="str">
        <f t="shared" si="8"/>
        <v/>
      </c>
      <c r="T12" s="241" t="str">
        <f t="shared" si="17"/>
        <v/>
      </c>
      <c r="U12" s="242" t="str">
        <f t="shared" si="9"/>
        <v/>
      </c>
      <c r="V12" s="224" t="str">
        <f>IF(AF12,LinearInterpolation(CurveResults.Time,CurveResults.USD3ML,T12)-IF(ApplyBump,0.0001,0),"")</f>
        <v/>
      </c>
      <c r="W12" s="241" t="str">
        <f t="shared" si="10"/>
        <v/>
      </c>
      <c r="X12" s="224" t="str">
        <f t="shared" si="11"/>
        <v/>
      </c>
      <c r="Y12" s="241" t="str">
        <f t="shared" si="12"/>
        <v/>
      </c>
      <c r="Z12" s="243" t="str">
        <f>IF(AF12,IF(SetDiscFactToOne,1,LinearInterpolation(CurveResults.Time,IF(ApplyBump,CurveResults.DF.Bumped,CurveResults.DFs),T12)),"")</f>
        <v/>
      </c>
      <c r="AA12" s="271" t="str">
        <f t="shared" si="13"/>
        <v/>
      </c>
      <c r="AE12" s="327" t="b">
        <f>IF(SUM(K$6:K11)+t_i&lt;=T,TRUE,FALSE)</f>
        <v>0</v>
      </c>
      <c r="AF12" s="327" t="b">
        <f>IF(SUM(Y$6:Y11)+t_j&lt;=T,TRUE,FALSE)</f>
        <v>0</v>
      </c>
    </row>
    <row r="13" spans="2:32" x14ac:dyDescent="0.25">
      <c r="C13" s="26"/>
      <c r="D13" s="220">
        <f t="shared" si="18"/>
        <v>8</v>
      </c>
      <c r="E13" s="223" t="str">
        <f t="shared" si="14"/>
        <v/>
      </c>
      <c r="F13" s="240" t="str">
        <f t="shared" si="0"/>
        <v/>
      </c>
      <c r="G13" s="240" t="str">
        <f t="shared" si="1"/>
        <v/>
      </c>
      <c r="H13" s="241" t="str">
        <f t="shared" si="15"/>
        <v/>
      </c>
      <c r="I13" s="242" t="str">
        <f t="shared" si="2"/>
        <v/>
      </c>
      <c r="J13" s="224" t="str">
        <f t="shared" si="3"/>
        <v/>
      </c>
      <c r="K13" s="241" t="str">
        <f t="shared" si="4"/>
        <v/>
      </c>
      <c r="L13" s="243" t="str">
        <f>IF(AE13,IF(SetDiscFactToOne,1,LinearInterpolation(CurveResults.Time,IF(ApplyBump,CurveResults.DF.Bumped,CurveResults.DFs),H13)),"")</f>
        <v/>
      </c>
      <c r="M13" s="271" t="str">
        <f t="shared" si="5"/>
        <v/>
      </c>
      <c r="O13" s="284">
        <f t="shared" si="19"/>
        <v>8</v>
      </c>
      <c r="P13" s="223" t="str">
        <f t="shared" si="6"/>
        <v/>
      </c>
      <c r="Q13" s="240" t="str">
        <f t="shared" si="16"/>
        <v/>
      </c>
      <c r="R13" s="240" t="str">
        <f t="shared" si="7"/>
        <v/>
      </c>
      <c r="S13" s="240" t="str">
        <f t="shared" si="8"/>
        <v/>
      </c>
      <c r="T13" s="241" t="str">
        <f t="shared" si="17"/>
        <v/>
      </c>
      <c r="U13" s="242" t="str">
        <f t="shared" si="9"/>
        <v/>
      </c>
      <c r="V13" s="224" t="str">
        <f>IF(AF13,LinearInterpolation(CurveResults.Time,CurveResults.USD3ML,T13)-IF(ApplyBump,0.0001,0),"")</f>
        <v/>
      </c>
      <c r="W13" s="241" t="str">
        <f t="shared" si="10"/>
        <v/>
      </c>
      <c r="X13" s="224" t="str">
        <f t="shared" si="11"/>
        <v/>
      </c>
      <c r="Y13" s="241" t="str">
        <f t="shared" si="12"/>
        <v/>
      </c>
      <c r="Z13" s="243" t="str">
        <f>IF(AF13,IF(SetDiscFactToOne,1,LinearInterpolation(CurveResults.Time,IF(ApplyBump,CurveResults.DF.Bumped,CurveResults.DFs),T13)),"")</f>
        <v/>
      </c>
      <c r="AA13" s="271" t="str">
        <f t="shared" si="13"/>
        <v/>
      </c>
      <c r="AE13" s="327" t="b">
        <f>IF(SUM(K$6:K12)+t_i&lt;=T,TRUE,FALSE)</f>
        <v>0</v>
      </c>
      <c r="AF13" s="327" t="b">
        <f>IF(SUM(Y$6:Y12)+t_j&lt;=T,TRUE,FALSE)</f>
        <v>0</v>
      </c>
    </row>
    <row r="14" spans="2:32" x14ac:dyDescent="0.25">
      <c r="B14" s="127" t="s">
        <v>190</v>
      </c>
      <c r="C14" s="250" t="b">
        <v>1</v>
      </c>
      <c r="D14" s="220">
        <f t="shared" si="18"/>
        <v>9</v>
      </c>
      <c r="E14" s="223" t="str">
        <f t="shared" si="14"/>
        <v/>
      </c>
      <c r="F14" s="240" t="str">
        <f t="shared" si="0"/>
        <v/>
      </c>
      <c r="G14" s="240" t="str">
        <f t="shared" si="1"/>
        <v/>
      </c>
      <c r="H14" s="241" t="str">
        <f t="shared" si="15"/>
        <v/>
      </c>
      <c r="I14" s="242" t="str">
        <f t="shared" si="2"/>
        <v/>
      </c>
      <c r="J14" s="224" t="str">
        <f t="shared" si="3"/>
        <v/>
      </c>
      <c r="K14" s="241" t="str">
        <f t="shared" si="4"/>
        <v/>
      </c>
      <c r="L14" s="243" t="str">
        <f>IF(AE14,IF(SetDiscFactToOne,1,LinearInterpolation(CurveResults.Time,IF(ApplyBump,CurveResults.DF.Bumped,CurveResults.DFs),H14)),"")</f>
        <v/>
      </c>
      <c r="M14" s="271" t="str">
        <f t="shared" si="5"/>
        <v/>
      </c>
      <c r="O14" s="284">
        <f t="shared" si="19"/>
        <v>9</v>
      </c>
      <c r="P14" s="223" t="str">
        <f t="shared" si="6"/>
        <v/>
      </c>
      <c r="Q14" s="240" t="str">
        <f t="shared" si="16"/>
        <v/>
      </c>
      <c r="R14" s="240" t="str">
        <f t="shared" si="7"/>
        <v/>
      </c>
      <c r="S14" s="240" t="str">
        <f t="shared" si="8"/>
        <v/>
      </c>
      <c r="T14" s="241" t="str">
        <f t="shared" si="17"/>
        <v/>
      </c>
      <c r="U14" s="242" t="str">
        <f t="shared" si="9"/>
        <v/>
      </c>
      <c r="V14" s="224" t="str">
        <f>IF(AF14,LinearInterpolation(CurveResults.Time,CurveResults.USD3ML,T14)-IF(ApplyBump,0.0001,0),"")</f>
        <v/>
      </c>
      <c r="W14" s="241" t="str">
        <f t="shared" si="10"/>
        <v/>
      </c>
      <c r="X14" s="224" t="str">
        <f t="shared" si="11"/>
        <v/>
      </c>
      <c r="Y14" s="241" t="str">
        <f t="shared" si="12"/>
        <v/>
      </c>
      <c r="Z14" s="243" t="str">
        <f>IF(AF14,IF(SetDiscFactToOne,1,LinearInterpolation(CurveResults.Time,IF(ApplyBump,CurveResults.DF.Bumped,CurveResults.DFs),T14)),"")</f>
        <v/>
      </c>
      <c r="AA14" s="271" t="str">
        <f t="shared" si="13"/>
        <v/>
      </c>
      <c r="AE14" s="327" t="b">
        <f>IF(SUM(K$6:K13)+t_i&lt;=T,TRUE,FALSE)</f>
        <v>0</v>
      </c>
      <c r="AF14" s="327" t="b">
        <f>IF(SUM(Y$6:Y13)+t_j&lt;=T,TRUE,FALSE)</f>
        <v>0</v>
      </c>
    </row>
    <row r="15" spans="2:32" x14ac:dyDescent="0.25">
      <c r="D15" s="220">
        <f t="shared" si="18"/>
        <v>10</v>
      </c>
      <c r="E15" s="223" t="str">
        <f t="shared" si="14"/>
        <v/>
      </c>
      <c r="F15" s="240" t="str">
        <f t="shared" si="0"/>
        <v/>
      </c>
      <c r="G15" s="240" t="str">
        <f t="shared" si="1"/>
        <v/>
      </c>
      <c r="H15" s="241" t="str">
        <f t="shared" si="15"/>
        <v/>
      </c>
      <c r="I15" s="242" t="str">
        <f t="shared" si="2"/>
        <v/>
      </c>
      <c r="J15" s="224" t="str">
        <f t="shared" si="3"/>
        <v/>
      </c>
      <c r="K15" s="241" t="str">
        <f t="shared" si="4"/>
        <v/>
      </c>
      <c r="L15" s="243" t="str">
        <f>IF(AE15,IF(SetDiscFactToOne,1,LinearInterpolation(CurveResults.Time,IF(ApplyBump,CurveResults.DF.Bumped,CurveResults.DFs),H15)),"")</f>
        <v/>
      </c>
      <c r="M15" s="271" t="str">
        <f t="shared" si="5"/>
        <v/>
      </c>
      <c r="O15" s="284">
        <f t="shared" si="19"/>
        <v>10</v>
      </c>
      <c r="P15" s="223" t="str">
        <f t="shared" si="6"/>
        <v/>
      </c>
      <c r="Q15" s="240" t="str">
        <f t="shared" si="16"/>
        <v/>
      </c>
      <c r="R15" s="240" t="str">
        <f t="shared" si="7"/>
        <v/>
      </c>
      <c r="S15" s="240" t="str">
        <f t="shared" si="8"/>
        <v/>
      </c>
      <c r="T15" s="241" t="str">
        <f t="shared" si="17"/>
        <v/>
      </c>
      <c r="U15" s="242" t="str">
        <f t="shared" si="9"/>
        <v/>
      </c>
      <c r="V15" s="224" t="str">
        <f>IF(AF15,LinearInterpolation(CurveResults.Time,CurveResults.USD3ML,T15)-IF(ApplyBump,0.0001,0),"")</f>
        <v/>
      </c>
      <c r="W15" s="241" t="str">
        <f t="shared" si="10"/>
        <v/>
      </c>
      <c r="X15" s="224" t="str">
        <f t="shared" si="11"/>
        <v/>
      </c>
      <c r="Y15" s="241" t="str">
        <f t="shared" si="12"/>
        <v/>
      </c>
      <c r="Z15" s="243" t="str">
        <f>IF(AF15,IF(SetDiscFactToOne,1,LinearInterpolation(CurveResults.Time,IF(ApplyBump,CurveResults.DF.Bumped,CurveResults.DFs),T15)),"")</f>
        <v/>
      </c>
      <c r="AA15" s="271" t="str">
        <f t="shared" si="13"/>
        <v/>
      </c>
      <c r="AE15" s="327" t="b">
        <f>IF(SUM(K$6:K14)+t_i&lt;=T,TRUE,FALSE)</f>
        <v>0</v>
      </c>
      <c r="AF15" s="327" t="b">
        <f>IF(SUM(Y$6:Y14)+t_j&lt;=T,TRUE,FALSE)</f>
        <v>0</v>
      </c>
    </row>
    <row r="16" spans="2:32" x14ac:dyDescent="0.25">
      <c r="B16" s="127" t="s">
        <v>191</v>
      </c>
      <c r="D16" s="220">
        <f t="shared" si="18"/>
        <v>11</v>
      </c>
      <c r="E16" s="223" t="str">
        <f t="shared" si="14"/>
        <v/>
      </c>
      <c r="F16" s="240" t="str">
        <f t="shared" si="0"/>
        <v/>
      </c>
      <c r="G16" s="240" t="str">
        <f t="shared" si="1"/>
        <v/>
      </c>
      <c r="H16" s="241" t="str">
        <f t="shared" si="15"/>
        <v/>
      </c>
      <c r="I16" s="242" t="str">
        <f t="shared" si="2"/>
        <v/>
      </c>
      <c r="J16" s="224" t="str">
        <f t="shared" si="3"/>
        <v/>
      </c>
      <c r="K16" s="241" t="str">
        <f t="shared" si="4"/>
        <v/>
      </c>
      <c r="L16" s="243" t="str">
        <f>IF(AE16,IF(SetDiscFactToOne,1,LinearInterpolation(CurveResults.Time,IF(ApplyBump,CurveResults.DF.Bumped,CurveResults.DFs),H16)),"")</f>
        <v/>
      </c>
      <c r="M16" s="271" t="str">
        <f t="shared" si="5"/>
        <v/>
      </c>
      <c r="O16" s="284">
        <f t="shared" si="19"/>
        <v>11</v>
      </c>
      <c r="P16" s="223" t="str">
        <f t="shared" si="6"/>
        <v/>
      </c>
      <c r="Q16" s="240" t="str">
        <f t="shared" si="16"/>
        <v/>
      </c>
      <c r="R16" s="240" t="str">
        <f t="shared" si="7"/>
        <v/>
      </c>
      <c r="S16" s="240" t="str">
        <f t="shared" si="8"/>
        <v/>
      </c>
      <c r="T16" s="241" t="str">
        <f t="shared" si="17"/>
        <v/>
      </c>
      <c r="U16" s="242" t="str">
        <f t="shared" si="9"/>
        <v/>
      </c>
      <c r="V16" s="224" t="str">
        <f>IF(AF16,LinearInterpolation(CurveResults.Time,CurveResults.USD3ML,T16)-IF(ApplyBump,0.0001,0),"")</f>
        <v/>
      </c>
      <c r="W16" s="241" t="str">
        <f t="shared" si="10"/>
        <v/>
      </c>
      <c r="X16" s="224" t="str">
        <f t="shared" si="11"/>
        <v/>
      </c>
      <c r="Y16" s="241" t="str">
        <f t="shared" si="12"/>
        <v/>
      </c>
      <c r="Z16" s="243" t="str">
        <f>IF(AF16,IF(SetDiscFactToOne,1,LinearInterpolation(CurveResults.Time,IF(ApplyBump,CurveResults.DF.Bumped,CurveResults.DFs),T16)),"")</f>
        <v/>
      </c>
      <c r="AA16" s="271" t="str">
        <f t="shared" si="13"/>
        <v/>
      </c>
      <c r="AE16" s="327" t="b">
        <f>IF(SUM(K$6:K15)+t_i&lt;=T,TRUE,FALSE)</f>
        <v>0</v>
      </c>
      <c r="AF16" s="327" t="b">
        <f>IF(SUM(Y$6:Y15)+t_j&lt;=T,TRUE,FALSE)</f>
        <v>0</v>
      </c>
    </row>
    <row r="17" spans="2:32" x14ac:dyDescent="0.25">
      <c r="B17" s="251" t="s">
        <v>192</v>
      </c>
      <c r="C17" s="252">
        <f>PV_Swap</f>
        <v>27466.429242871018</v>
      </c>
      <c r="D17" s="220">
        <f t="shared" si="18"/>
        <v>12</v>
      </c>
      <c r="E17" s="223" t="str">
        <f t="shared" si="14"/>
        <v/>
      </c>
      <c r="F17" s="240" t="str">
        <f t="shared" si="0"/>
        <v/>
      </c>
      <c r="G17" s="240" t="str">
        <f t="shared" si="1"/>
        <v/>
      </c>
      <c r="H17" s="241" t="str">
        <f t="shared" si="15"/>
        <v/>
      </c>
      <c r="I17" s="242" t="str">
        <f t="shared" si="2"/>
        <v/>
      </c>
      <c r="J17" s="224" t="str">
        <f t="shared" si="3"/>
        <v/>
      </c>
      <c r="K17" s="241" t="str">
        <f t="shared" si="4"/>
        <v/>
      </c>
      <c r="L17" s="243" t="str">
        <f>IF(AE17,IF(SetDiscFactToOne,1,LinearInterpolation(CurveResults.Time,IF(ApplyBump,CurveResults.DF.Bumped,CurveResults.DFs),H17)),"")</f>
        <v/>
      </c>
      <c r="M17" s="271" t="str">
        <f t="shared" si="5"/>
        <v/>
      </c>
      <c r="O17" s="284">
        <f t="shared" si="19"/>
        <v>12</v>
      </c>
      <c r="P17" s="223" t="str">
        <f t="shared" si="6"/>
        <v/>
      </c>
      <c r="Q17" s="240" t="str">
        <f t="shared" si="16"/>
        <v/>
      </c>
      <c r="R17" s="240" t="str">
        <f t="shared" si="7"/>
        <v/>
      </c>
      <c r="S17" s="240" t="str">
        <f t="shared" si="8"/>
        <v/>
      </c>
      <c r="T17" s="241" t="str">
        <f t="shared" si="17"/>
        <v/>
      </c>
      <c r="U17" s="242" t="str">
        <f t="shared" si="9"/>
        <v/>
      </c>
      <c r="V17" s="224" t="str">
        <f>IF(AF17,LinearInterpolation(CurveResults.Time,CurveResults.USD3ML,T17)-IF(ApplyBump,0.0001,0),"")</f>
        <v/>
      </c>
      <c r="W17" s="241" t="str">
        <f t="shared" si="10"/>
        <v/>
      </c>
      <c r="X17" s="224" t="str">
        <f t="shared" si="11"/>
        <v/>
      </c>
      <c r="Y17" s="241" t="str">
        <f t="shared" si="12"/>
        <v/>
      </c>
      <c r="Z17" s="243" t="str">
        <f>IF(AF17,IF(SetDiscFactToOne,1,LinearInterpolation(CurveResults.Time,IF(ApplyBump,CurveResults.DF.Bumped,CurveResults.DFs),T17)),"")</f>
        <v/>
      </c>
      <c r="AA17" s="271" t="str">
        <f t="shared" si="13"/>
        <v/>
      </c>
      <c r="AE17" s="327" t="b">
        <f>IF(SUM(K$6:K16)+t_i&lt;=T,TRUE,FALSE)</f>
        <v>0</v>
      </c>
      <c r="AF17" s="327" t="b">
        <f>IF(SUM(Y$6:Y16)+t_j&lt;=T,TRUE,FALSE)</f>
        <v>0</v>
      </c>
    </row>
    <row r="18" spans="2:32" x14ac:dyDescent="0.25">
      <c r="B18" s="253" t="s">
        <v>193</v>
      </c>
      <c r="C18" s="254">
        <f>PV_FixedLeg</f>
        <v>-47881.78659674291</v>
      </c>
      <c r="D18" s="220">
        <f t="shared" si="18"/>
        <v>13</v>
      </c>
      <c r="E18" s="223" t="str">
        <f t="shared" si="14"/>
        <v/>
      </c>
      <c r="F18" s="240" t="str">
        <f t="shared" si="0"/>
        <v/>
      </c>
      <c r="G18" s="240" t="str">
        <f t="shared" si="1"/>
        <v/>
      </c>
      <c r="H18" s="241" t="str">
        <f t="shared" si="15"/>
        <v/>
      </c>
      <c r="I18" s="242" t="str">
        <f t="shared" si="2"/>
        <v/>
      </c>
      <c r="J18" s="224" t="str">
        <f t="shared" si="3"/>
        <v/>
      </c>
      <c r="K18" s="241" t="str">
        <f t="shared" si="4"/>
        <v/>
      </c>
      <c r="L18" s="243" t="str">
        <f>IF(AE18,IF(SetDiscFactToOne,1,LinearInterpolation(CurveResults.Time,IF(ApplyBump,CurveResults.DF.Bumped,CurveResults.DFs),H18)),"")</f>
        <v/>
      </c>
      <c r="M18" s="271" t="str">
        <f t="shared" si="5"/>
        <v/>
      </c>
      <c r="O18" s="284">
        <f t="shared" si="19"/>
        <v>13</v>
      </c>
      <c r="P18" s="223" t="str">
        <f t="shared" si="6"/>
        <v/>
      </c>
      <c r="Q18" s="240" t="str">
        <f t="shared" si="16"/>
        <v/>
      </c>
      <c r="R18" s="240" t="str">
        <f t="shared" si="7"/>
        <v/>
      </c>
      <c r="S18" s="240" t="str">
        <f t="shared" si="8"/>
        <v/>
      </c>
      <c r="T18" s="241" t="str">
        <f t="shared" si="17"/>
        <v/>
      </c>
      <c r="U18" s="242" t="str">
        <f t="shared" si="9"/>
        <v/>
      </c>
      <c r="V18" s="224" t="str">
        <f>IF(AF18,LinearInterpolation(CurveResults.Time,CurveResults.USD3ML,T18)-IF(ApplyBump,0.0001,0),"")</f>
        <v/>
      </c>
      <c r="W18" s="241" t="str">
        <f t="shared" si="10"/>
        <v/>
      </c>
      <c r="X18" s="224" t="str">
        <f t="shared" si="11"/>
        <v/>
      </c>
      <c r="Y18" s="241" t="str">
        <f t="shared" si="12"/>
        <v/>
      </c>
      <c r="Z18" s="243" t="str">
        <f>IF(AF18,IF(SetDiscFactToOne,1,LinearInterpolation(CurveResults.Time,IF(ApplyBump,CurveResults.DF.Bumped,CurveResults.DFs),T18)),"")</f>
        <v/>
      </c>
      <c r="AA18" s="271" t="str">
        <f t="shared" si="13"/>
        <v/>
      </c>
      <c r="AE18" s="327" t="b">
        <f>IF(SUM(K$6:K17)+t_i&lt;=T,TRUE,FALSE)</f>
        <v>0</v>
      </c>
      <c r="AF18" s="327" t="b">
        <f>IF(SUM(Y$6:Y17)+t_j&lt;=T,TRUE,FALSE)</f>
        <v>0</v>
      </c>
    </row>
    <row r="19" spans="2:32" x14ac:dyDescent="0.25">
      <c r="B19" s="253" t="s">
        <v>194</v>
      </c>
      <c r="C19" s="254">
        <f>PV_FloatLeg</f>
        <v>75348.215839613928</v>
      </c>
      <c r="D19" s="220">
        <f t="shared" si="18"/>
        <v>14</v>
      </c>
      <c r="E19" s="223" t="str">
        <f t="shared" si="14"/>
        <v/>
      </c>
      <c r="F19" s="240" t="str">
        <f t="shared" si="0"/>
        <v/>
      </c>
      <c r="G19" s="240" t="str">
        <f t="shared" si="1"/>
        <v/>
      </c>
      <c r="H19" s="241" t="str">
        <f t="shared" si="15"/>
        <v/>
      </c>
      <c r="I19" s="242" t="str">
        <f t="shared" si="2"/>
        <v/>
      </c>
      <c r="J19" s="224" t="str">
        <f t="shared" si="3"/>
        <v/>
      </c>
      <c r="K19" s="241" t="str">
        <f t="shared" si="4"/>
        <v/>
      </c>
      <c r="L19" s="243" t="str">
        <f>IF(AE19,IF(SetDiscFactToOne,1,LinearInterpolation(CurveResults.Time,IF(ApplyBump,CurveResults.DF.Bumped,CurveResults.DFs),H19)),"")</f>
        <v/>
      </c>
      <c r="M19" s="271" t="str">
        <f t="shared" si="5"/>
        <v/>
      </c>
      <c r="O19" s="284">
        <f t="shared" si="19"/>
        <v>14</v>
      </c>
      <c r="P19" s="223" t="str">
        <f t="shared" si="6"/>
        <v/>
      </c>
      <c r="Q19" s="240" t="str">
        <f t="shared" si="16"/>
        <v/>
      </c>
      <c r="R19" s="240" t="str">
        <f t="shared" si="7"/>
        <v/>
      </c>
      <c r="S19" s="240" t="str">
        <f t="shared" si="8"/>
        <v/>
      </c>
      <c r="T19" s="241" t="str">
        <f t="shared" si="17"/>
        <v/>
      </c>
      <c r="U19" s="242" t="str">
        <f t="shared" si="9"/>
        <v/>
      </c>
      <c r="V19" s="224" t="str">
        <f>IF(AF19,LinearInterpolation(CurveResults.Time,CurveResults.USD3ML,T19)-IF(ApplyBump,0.0001,0),"")</f>
        <v/>
      </c>
      <c r="W19" s="241" t="str">
        <f t="shared" si="10"/>
        <v/>
      </c>
      <c r="X19" s="224" t="str">
        <f t="shared" si="11"/>
        <v/>
      </c>
      <c r="Y19" s="241" t="str">
        <f t="shared" si="12"/>
        <v/>
      </c>
      <c r="Z19" s="243" t="str">
        <f>IF(AF19,IF(SetDiscFactToOne,1,LinearInterpolation(CurveResults.Time,IF(ApplyBump,CurveResults.DF.Bumped,CurveResults.DFs),T19)),"")</f>
        <v/>
      </c>
      <c r="AA19" s="271" t="str">
        <f t="shared" si="13"/>
        <v/>
      </c>
      <c r="AE19" s="327" t="b">
        <f>IF(SUM(K$6:K18)+t_i&lt;=T,TRUE,FALSE)</f>
        <v>0</v>
      </c>
      <c r="AF19" s="327" t="b">
        <f>IF(SUM(Y$6:Y18)+t_j&lt;=T,TRUE,FALSE)</f>
        <v>0</v>
      </c>
    </row>
    <row r="20" spans="2:32" x14ac:dyDescent="0.25">
      <c r="B20" s="255" t="s">
        <v>195</v>
      </c>
      <c r="C20" s="293">
        <f>p</f>
        <v>1.5736299999453109E-2</v>
      </c>
      <c r="D20" s="220">
        <f t="shared" si="18"/>
        <v>15</v>
      </c>
      <c r="E20" s="223" t="str">
        <f t="shared" si="14"/>
        <v/>
      </c>
      <c r="F20" s="240" t="str">
        <f t="shared" si="0"/>
        <v/>
      </c>
      <c r="G20" s="240" t="str">
        <f t="shared" si="1"/>
        <v/>
      </c>
      <c r="H20" s="241" t="str">
        <f t="shared" si="15"/>
        <v/>
      </c>
      <c r="I20" s="242" t="str">
        <f t="shared" si="2"/>
        <v/>
      </c>
      <c r="J20" s="224" t="str">
        <f t="shared" si="3"/>
        <v/>
      </c>
      <c r="K20" s="241" t="str">
        <f t="shared" si="4"/>
        <v/>
      </c>
      <c r="L20" s="243" t="str">
        <f>IF(AE20,IF(SetDiscFactToOne,1,LinearInterpolation(CurveResults.Time,IF(ApplyBump,CurveResults.DF.Bumped,CurveResults.DFs),H20)),"")</f>
        <v/>
      </c>
      <c r="M20" s="271" t="str">
        <f t="shared" si="5"/>
        <v/>
      </c>
      <c r="O20" s="284">
        <f t="shared" si="19"/>
        <v>15</v>
      </c>
      <c r="P20" s="223" t="str">
        <f t="shared" si="6"/>
        <v/>
      </c>
      <c r="Q20" s="240" t="str">
        <f t="shared" si="16"/>
        <v/>
      </c>
      <c r="R20" s="240" t="str">
        <f t="shared" si="7"/>
        <v/>
      </c>
      <c r="S20" s="240" t="str">
        <f t="shared" si="8"/>
        <v/>
      </c>
      <c r="T20" s="241" t="str">
        <f t="shared" si="17"/>
        <v/>
      </c>
      <c r="U20" s="242" t="str">
        <f t="shared" si="9"/>
        <v/>
      </c>
      <c r="V20" s="224" t="str">
        <f>IF(AF20,LinearInterpolation(CurveResults.Time,CurveResults.USD3ML,T20)-IF(ApplyBump,0.0001,0),"")</f>
        <v/>
      </c>
      <c r="W20" s="241" t="str">
        <f t="shared" si="10"/>
        <v/>
      </c>
      <c r="X20" s="224" t="str">
        <f t="shared" si="11"/>
        <v/>
      </c>
      <c r="Y20" s="241" t="str">
        <f t="shared" si="12"/>
        <v/>
      </c>
      <c r="Z20" s="243" t="str">
        <f>IF(AF20,IF(SetDiscFactToOne,1,LinearInterpolation(CurveResults.Time,IF(ApplyBump,CurveResults.DF.Bumped,CurveResults.DFs),T20)),"")</f>
        <v/>
      </c>
      <c r="AA20" s="271" t="str">
        <f t="shared" si="13"/>
        <v/>
      </c>
      <c r="AE20" s="327" t="b">
        <f>IF(SUM(K$6:K19)+t_i&lt;=T,TRUE,FALSE)</f>
        <v>0</v>
      </c>
      <c r="AF20" s="327" t="b">
        <f>IF(SUM(Y$6:Y19)+t_j&lt;=T,TRUE,FALSE)</f>
        <v>0</v>
      </c>
    </row>
    <row r="21" spans="2:32" x14ac:dyDescent="0.25">
      <c r="D21" s="220">
        <f t="shared" si="18"/>
        <v>16</v>
      </c>
      <c r="E21" s="223" t="str">
        <f t="shared" si="14"/>
        <v/>
      </c>
      <c r="F21" s="240" t="str">
        <f t="shared" si="0"/>
        <v/>
      </c>
      <c r="G21" s="240" t="str">
        <f t="shared" si="1"/>
        <v/>
      </c>
      <c r="H21" s="241" t="str">
        <f t="shared" si="15"/>
        <v/>
      </c>
      <c r="I21" s="242" t="str">
        <f t="shared" si="2"/>
        <v/>
      </c>
      <c r="J21" s="224" t="str">
        <f t="shared" si="3"/>
        <v/>
      </c>
      <c r="K21" s="241" t="str">
        <f t="shared" si="4"/>
        <v/>
      </c>
      <c r="L21" s="243" t="str">
        <f>IF(AE21,IF(SetDiscFactToOne,1,LinearInterpolation(CurveResults.Time,IF(ApplyBump,CurveResults.DF.Bumped,CurveResults.DFs),H21)),"")</f>
        <v/>
      </c>
      <c r="M21" s="271" t="str">
        <f t="shared" si="5"/>
        <v/>
      </c>
      <c r="O21" s="284">
        <f t="shared" si="19"/>
        <v>16</v>
      </c>
      <c r="P21" s="223" t="str">
        <f t="shared" si="6"/>
        <v/>
      </c>
      <c r="Q21" s="240" t="str">
        <f t="shared" si="16"/>
        <v/>
      </c>
      <c r="R21" s="240" t="str">
        <f t="shared" si="7"/>
        <v/>
      </c>
      <c r="S21" s="240" t="str">
        <f t="shared" si="8"/>
        <v/>
      </c>
      <c r="T21" s="241" t="str">
        <f t="shared" si="17"/>
        <v/>
      </c>
      <c r="U21" s="242" t="str">
        <f t="shared" si="9"/>
        <v/>
      </c>
      <c r="V21" s="224" t="str">
        <f>IF(AF21,LinearInterpolation(CurveResults.Time,CurveResults.USD3ML,T21)-IF(ApplyBump,0.0001,0),"")</f>
        <v/>
      </c>
      <c r="W21" s="241" t="str">
        <f t="shared" si="10"/>
        <v/>
      </c>
      <c r="X21" s="224" t="str">
        <f t="shared" si="11"/>
        <v/>
      </c>
      <c r="Y21" s="241" t="str">
        <f t="shared" si="12"/>
        <v/>
      </c>
      <c r="Z21" s="243" t="str">
        <f>IF(AF21,IF(SetDiscFactToOne,1,LinearInterpolation(CurveResults.Time,IF(ApplyBump,CurveResults.DF.Bumped,CurveResults.DFs),T21)),"")</f>
        <v/>
      </c>
      <c r="AA21" s="271" t="str">
        <f t="shared" si="13"/>
        <v/>
      </c>
      <c r="AE21" s="327" t="b">
        <f>IF(SUM(K$6:K20)+t_i&lt;=T,TRUE,FALSE)</f>
        <v>0</v>
      </c>
      <c r="AF21" s="327" t="b">
        <f>IF(SUM(Y$6:Y20)+t_j&lt;=T,TRUE,FALSE)</f>
        <v>0</v>
      </c>
    </row>
    <row r="22" spans="2:32" x14ac:dyDescent="0.25">
      <c r="B22" s="127" t="s">
        <v>196</v>
      </c>
      <c r="D22" s="220">
        <f t="shared" si="18"/>
        <v>17</v>
      </c>
      <c r="E22" s="223" t="str">
        <f t="shared" si="14"/>
        <v/>
      </c>
      <c r="F22" s="240" t="str">
        <f t="shared" si="0"/>
        <v/>
      </c>
      <c r="G22" s="240" t="str">
        <f t="shared" si="1"/>
        <v/>
      </c>
      <c r="H22" s="241" t="str">
        <f t="shared" si="15"/>
        <v/>
      </c>
      <c r="I22" s="242" t="str">
        <f t="shared" si="2"/>
        <v/>
      </c>
      <c r="J22" s="224" t="str">
        <f t="shared" si="3"/>
        <v/>
      </c>
      <c r="K22" s="241" t="str">
        <f t="shared" si="4"/>
        <v/>
      </c>
      <c r="L22" s="243" t="str">
        <f>IF(AE22,IF(SetDiscFactToOne,1,LinearInterpolation(CurveResults.Time,IF(ApplyBump,CurveResults.DF.Bumped,CurveResults.DFs),H22)),"")</f>
        <v/>
      </c>
      <c r="M22" s="271" t="str">
        <f t="shared" si="5"/>
        <v/>
      </c>
      <c r="O22" s="284">
        <f t="shared" si="19"/>
        <v>17</v>
      </c>
      <c r="P22" s="223" t="str">
        <f t="shared" si="6"/>
        <v/>
      </c>
      <c r="Q22" s="240" t="str">
        <f t="shared" si="16"/>
        <v/>
      </c>
      <c r="R22" s="240" t="str">
        <f t="shared" si="7"/>
        <v/>
      </c>
      <c r="S22" s="240" t="str">
        <f t="shared" si="8"/>
        <v/>
      </c>
      <c r="T22" s="241" t="str">
        <f t="shared" si="17"/>
        <v/>
      </c>
      <c r="U22" s="242" t="str">
        <f t="shared" si="9"/>
        <v/>
      </c>
      <c r="V22" s="224" t="str">
        <f>IF(AF22,LinearInterpolation(CurveResults.Time,CurveResults.USD3ML,T22)-IF(ApplyBump,0.0001,0),"")</f>
        <v/>
      </c>
      <c r="W22" s="241" t="str">
        <f t="shared" si="10"/>
        <v/>
      </c>
      <c r="X22" s="224" t="str">
        <f t="shared" si="11"/>
        <v/>
      </c>
      <c r="Y22" s="241" t="str">
        <f t="shared" si="12"/>
        <v/>
      </c>
      <c r="Z22" s="243" t="str">
        <f>IF(AF22,IF(SetDiscFactToOne,1,LinearInterpolation(CurveResults.Time,IF(ApplyBump,CurveResults.DF.Bumped,CurveResults.DFs),T22)),"")</f>
        <v/>
      </c>
      <c r="AA22" s="271" t="str">
        <f t="shared" si="13"/>
        <v/>
      </c>
      <c r="AE22" s="327" t="b">
        <f>IF(SUM(K$6:K21)+t_i&lt;=T,TRUE,FALSE)</f>
        <v>0</v>
      </c>
      <c r="AF22" s="327" t="b">
        <f>IF(SUM(Y$6:Y21)+t_j&lt;=T,TRUE,FALSE)</f>
        <v>0</v>
      </c>
    </row>
    <row r="23" spans="2:32" x14ac:dyDescent="0.25">
      <c r="B23" s="251" t="s">
        <v>197</v>
      </c>
      <c r="C23" s="252">
        <f>PV01_</f>
        <v>-478.81786596742904</v>
      </c>
      <c r="D23" s="220">
        <f t="shared" si="18"/>
        <v>18</v>
      </c>
      <c r="E23" s="223" t="str">
        <f t="shared" si="14"/>
        <v/>
      </c>
      <c r="F23" s="240" t="str">
        <f t="shared" si="0"/>
        <v/>
      </c>
      <c r="G23" s="240" t="str">
        <f t="shared" si="1"/>
        <v/>
      </c>
      <c r="H23" s="241" t="str">
        <f t="shared" si="15"/>
        <v/>
      </c>
      <c r="I23" s="242" t="str">
        <f t="shared" si="2"/>
        <v/>
      </c>
      <c r="J23" s="224" t="str">
        <f t="shared" si="3"/>
        <v/>
      </c>
      <c r="K23" s="241" t="str">
        <f t="shared" si="4"/>
        <v/>
      </c>
      <c r="L23" s="243" t="str">
        <f>IF(AE23,IF(SetDiscFactToOne,1,LinearInterpolation(CurveResults.Time,IF(ApplyBump,CurveResults.DF.Bumped,CurveResults.DFs),H23)),"")</f>
        <v/>
      </c>
      <c r="M23" s="271" t="str">
        <f t="shared" si="5"/>
        <v/>
      </c>
      <c r="O23" s="284">
        <f t="shared" si="19"/>
        <v>18</v>
      </c>
      <c r="P23" s="223" t="str">
        <f t="shared" si="6"/>
        <v/>
      </c>
      <c r="Q23" s="240" t="str">
        <f t="shared" si="16"/>
        <v/>
      </c>
      <c r="R23" s="240" t="str">
        <f t="shared" si="7"/>
        <v/>
      </c>
      <c r="S23" s="240" t="str">
        <f t="shared" si="8"/>
        <v/>
      </c>
      <c r="T23" s="241" t="str">
        <f t="shared" si="17"/>
        <v/>
      </c>
      <c r="U23" s="242" t="str">
        <f t="shared" si="9"/>
        <v/>
      </c>
      <c r="V23" s="224" t="str">
        <f>IF(AF23,LinearInterpolation(CurveResults.Time,CurveResults.USD3ML,T23)-IF(ApplyBump,0.0001,0),"")</f>
        <v/>
      </c>
      <c r="W23" s="241" t="str">
        <f t="shared" si="10"/>
        <v/>
      </c>
      <c r="X23" s="224" t="str">
        <f t="shared" si="11"/>
        <v/>
      </c>
      <c r="Y23" s="241" t="str">
        <f t="shared" si="12"/>
        <v/>
      </c>
      <c r="Z23" s="243" t="str">
        <f>IF(AF23,IF(SetDiscFactToOne,1,LinearInterpolation(CurveResults.Time,IF(ApplyBump,CurveResults.DF.Bumped,CurveResults.DFs),T23)),"")</f>
        <v/>
      </c>
      <c r="AA23" s="271" t="str">
        <f t="shared" si="13"/>
        <v/>
      </c>
      <c r="AE23" s="327" t="b">
        <f>IF(SUM(K$6:K22)+t_i&lt;=T,TRUE,FALSE)</f>
        <v>0</v>
      </c>
      <c r="AF23" s="327" t="b">
        <f>IF(SUM(Y$6:Y22)+t_j&lt;=T,TRUE,FALSE)</f>
        <v>0</v>
      </c>
    </row>
    <row r="24" spans="2:32" x14ac:dyDescent="0.25">
      <c r="B24" s="253" t="s">
        <v>198</v>
      </c>
      <c r="C24" s="254">
        <f>NumericalDV01</f>
        <v>-287.97288980986559</v>
      </c>
      <c r="D24" s="220">
        <f t="shared" si="18"/>
        <v>19</v>
      </c>
      <c r="E24" s="223" t="str">
        <f t="shared" si="14"/>
        <v/>
      </c>
      <c r="F24" s="240" t="str">
        <f t="shared" si="0"/>
        <v/>
      </c>
      <c r="G24" s="240" t="str">
        <f t="shared" si="1"/>
        <v/>
      </c>
      <c r="H24" s="241" t="str">
        <f t="shared" si="15"/>
        <v/>
      </c>
      <c r="I24" s="242" t="str">
        <f t="shared" si="2"/>
        <v/>
      </c>
      <c r="J24" s="224" t="str">
        <f t="shared" si="3"/>
        <v/>
      </c>
      <c r="K24" s="241" t="str">
        <f t="shared" si="4"/>
        <v/>
      </c>
      <c r="L24" s="243" t="str">
        <f>IF(AE24,IF(SetDiscFactToOne,1,LinearInterpolation(CurveResults.Time,IF(ApplyBump,CurveResults.DF.Bumped,CurveResults.DFs),H24)),"")</f>
        <v/>
      </c>
      <c r="M24" s="271" t="str">
        <f t="shared" si="5"/>
        <v/>
      </c>
      <c r="O24" s="284">
        <f t="shared" si="19"/>
        <v>19</v>
      </c>
      <c r="P24" s="223" t="str">
        <f t="shared" si="6"/>
        <v/>
      </c>
      <c r="Q24" s="240" t="str">
        <f t="shared" si="16"/>
        <v/>
      </c>
      <c r="R24" s="240" t="str">
        <f t="shared" si="7"/>
        <v/>
      </c>
      <c r="S24" s="240" t="str">
        <f t="shared" si="8"/>
        <v/>
      </c>
      <c r="T24" s="241" t="str">
        <f t="shared" si="17"/>
        <v/>
      </c>
      <c r="U24" s="242" t="str">
        <f t="shared" si="9"/>
        <v/>
      </c>
      <c r="V24" s="224" t="str">
        <f>IF(AF24,LinearInterpolation(CurveResults.Time,CurveResults.USD3ML,T24)-IF(ApplyBump,0.0001,0),"")</f>
        <v/>
      </c>
      <c r="W24" s="241" t="str">
        <f t="shared" si="10"/>
        <v/>
      </c>
      <c r="X24" s="224" t="str">
        <f t="shared" si="11"/>
        <v/>
      </c>
      <c r="Y24" s="241" t="str">
        <f t="shared" si="12"/>
        <v/>
      </c>
      <c r="Z24" s="243" t="str">
        <f>IF(AF24,IF(SetDiscFactToOne,1,LinearInterpolation(CurveResults.Time,IF(ApplyBump,CurveResults.DF.Bumped,CurveResults.DFs),T24)),"")</f>
        <v/>
      </c>
      <c r="AA24" s="271" t="str">
        <f t="shared" si="13"/>
        <v/>
      </c>
      <c r="AE24" s="327" t="b">
        <f>IF(SUM(K$6:K23)+t_i&lt;=T,TRUE,FALSE)</f>
        <v>0</v>
      </c>
      <c r="AF24" s="327" t="b">
        <f>IF(SUM(Y$6:Y23)+t_j&lt;=T,TRUE,FALSE)</f>
        <v>0</v>
      </c>
    </row>
    <row r="25" spans="2:32" x14ac:dyDescent="0.25">
      <c r="B25" s="253" t="s">
        <v>199</v>
      </c>
      <c r="C25" s="254">
        <f>AnalyticalDV01</f>
        <v>-470.51959914307332</v>
      </c>
      <c r="D25" s="220">
        <f t="shared" si="18"/>
        <v>20</v>
      </c>
      <c r="E25" s="223" t="str">
        <f t="shared" si="14"/>
        <v/>
      </c>
      <c r="F25" s="240" t="str">
        <f t="shared" si="0"/>
        <v/>
      </c>
      <c r="G25" s="240" t="str">
        <f t="shared" si="1"/>
        <v/>
      </c>
      <c r="H25" s="241" t="str">
        <f t="shared" si="15"/>
        <v/>
      </c>
      <c r="I25" s="242" t="str">
        <f t="shared" si="2"/>
        <v/>
      </c>
      <c r="J25" s="224" t="str">
        <f t="shared" si="3"/>
        <v/>
      </c>
      <c r="K25" s="241" t="str">
        <f t="shared" si="4"/>
        <v/>
      </c>
      <c r="L25" s="243" t="str">
        <f>IF(AE25,IF(SetDiscFactToOne,1,LinearInterpolation(CurveResults.Time,IF(ApplyBump,CurveResults.DF.Bumped,CurveResults.DFs),H25)),"")</f>
        <v/>
      </c>
      <c r="M25" s="271" t="str">
        <f t="shared" si="5"/>
        <v/>
      </c>
      <c r="O25" s="284">
        <f t="shared" si="19"/>
        <v>20</v>
      </c>
      <c r="P25" s="223" t="str">
        <f t="shared" si="6"/>
        <v/>
      </c>
      <c r="Q25" s="240" t="str">
        <f t="shared" si="16"/>
        <v/>
      </c>
      <c r="R25" s="240" t="str">
        <f t="shared" si="7"/>
        <v/>
      </c>
      <c r="S25" s="240" t="str">
        <f t="shared" si="8"/>
        <v/>
      </c>
      <c r="T25" s="241" t="str">
        <f t="shared" si="17"/>
        <v/>
      </c>
      <c r="U25" s="242" t="str">
        <f t="shared" si="9"/>
        <v/>
      </c>
      <c r="V25" s="224" t="str">
        <f>IF(AF25,LinearInterpolation(CurveResults.Time,CurveResults.USD3ML,T25)-IF(ApplyBump,0.0001,0),"")</f>
        <v/>
      </c>
      <c r="W25" s="241" t="str">
        <f t="shared" si="10"/>
        <v/>
      </c>
      <c r="X25" s="224" t="str">
        <f t="shared" si="11"/>
        <v/>
      </c>
      <c r="Y25" s="241" t="str">
        <f t="shared" si="12"/>
        <v/>
      </c>
      <c r="Z25" s="243" t="str">
        <f>IF(AF25,IF(SetDiscFactToOne,1,LinearInterpolation(CurveResults.Time,IF(ApplyBump,CurveResults.DF.Bumped,CurveResults.DFs),T25)),"")</f>
        <v/>
      </c>
      <c r="AA25" s="271" t="str">
        <f t="shared" si="13"/>
        <v/>
      </c>
      <c r="AE25" s="327" t="b">
        <f>IF(SUM(K$6:K24)+t_i&lt;=T,TRUE,FALSE)</f>
        <v>0</v>
      </c>
      <c r="AF25" s="327" t="b">
        <f>IF(SUM(Y$6:Y24)+t_j&lt;=T,TRUE,FALSE)</f>
        <v>0</v>
      </c>
    </row>
    <row r="26" spans="2:32" x14ac:dyDescent="0.25">
      <c r="B26" s="255" t="s">
        <v>52</v>
      </c>
      <c r="C26" s="256">
        <f>C25-C24</f>
        <v>-182.54670933320773</v>
      </c>
      <c r="D26" s="220">
        <f t="shared" si="18"/>
        <v>21</v>
      </c>
      <c r="E26" s="223" t="str">
        <f t="shared" si="14"/>
        <v/>
      </c>
      <c r="F26" s="240" t="str">
        <f t="shared" si="0"/>
        <v/>
      </c>
      <c r="G26" s="240" t="str">
        <f t="shared" si="1"/>
        <v/>
      </c>
      <c r="H26" s="241" t="str">
        <f t="shared" si="15"/>
        <v/>
      </c>
      <c r="I26" s="242" t="str">
        <f t="shared" si="2"/>
        <v/>
      </c>
      <c r="J26" s="224" t="str">
        <f t="shared" si="3"/>
        <v/>
      </c>
      <c r="K26" s="241" t="str">
        <f t="shared" si="4"/>
        <v/>
      </c>
      <c r="L26" s="243" t="str">
        <f>IF(AE26,IF(SetDiscFactToOne,1,LinearInterpolation(CurveResults.Time,IF(ApplyBump,CurveResults.DF.Bumped,CurveResults.DFs),H26)),"")</f>
        <v/>
      </c>
      <c r="M26" s="271" t="str">
        <f t="shared" si="5"/>
        <v/>
      </c>
      <c r="O26" s="284">
        <f t="shared" si="19"/>
        <v>21</v>
      </c>
      <c r="P26" s="223" t="str">
        <f t="shared" si="6"/>
        <v/>
      </c>
      <c r="Q26" s="240" t="str">
        <f t="shared" si="16"/>
        <v/>
      </c>
      <c r="R26" s="240" t="str">
        <f t="shared" si="7"/>
        <v/>
      </c>
      <c r="S26" s="240" t="str">
        <f t="shared" si="8"/>
        <v/>
      </c>
      <c r="T26" s="241" t="str">
        <f t="shared" si="17"/>
        <v/>
      </c>
      <c r="U26" s="242" t="str">
        <f t="shared" si="9"/>
        <v/>
      </c>
      <c r="V26" s="224" t="str">
        <f>IF(AF26,LinearInterpolation(CurveResults.Time,CurveResults.USD3ML,T26)-IF(ApplyBump,0.0001,0),"")</f>
        <v/>
      </c>
      <c r="W26" s="241" t="str">
        <f t="shared" si="10"/>
        <v/>
      </c>
      <c r="X26" s="224" t="str">
        <f t="shared" si="11"/>
        <v/>
      </c>
      <c r="Y26" s="241" t="str">
        <f t="shared" si="12"/>
        <v/>
      </c>
      <c r="Z26" s="243" t="str">
        <f>IF(AF26,IF(SetDiscFactToOne,1,LinearInterpolation(CurveResults.Time,IF(ApplyBump,CurveResults.DF.Bumped,CurveResults.DFs),T26)),"")</f>
        <v/>
      </c>
      <c r="AA26" s="271" t="str">
        <f t="shared" si="13"/>
        <v/>
      </c>
      <c r="AE26" s="327" t="b">
        <f>IF(SUM(K$6:K25)+t_i&lt;=T,TRUE,FALSE)</f>
        <v>0</v>
      </c>
      <c r="AF26" s="327" t="b">
        <f>IF(SUM(Y$6:Y25)+t_j&lt;=T,TRUE,FALSE)</f>
        <v>0</v>
      </c>
    </row>
    <row r="27" spans="2:32" x14ac:dyDescent="0.25">
      <c r="D27" s="220">
        <f t="shared" si="18"/>
        <v>22</v>
      </c>
      <c r="E27" s="223" t="str">
        <f t="shared" si="14"/>
        <v/>
      </c>
      <c r="F27" s="240" t="str">
        <f t="shared" si="0"/>
        <v/>
      </c>
      <c r="G27" s="240" t="str">
        <f t="shared" si="1"/>
        <v/>
      </c>
      <c r="H27" s="241" t="str">
        <f t="shared" si="15"/>
        <v/>
      </c>
      <c r="I27" s="242" t="str">
        <f t="shared" si="2"/>
        <v/>
      </c>
      <c r="J27" s="224" t="str">
        <f t="shared" si="3"/>
        <v/>
      </c>
      <c r="K27" s="241" t="str">
        <f t="shared" si="4"/>
        <v/>
      </c>
      <c r="L27" s="243" t="str">
        <f>IF(AE27,IF(SetDiscFactToOne,1,LinearInterpolation(CurveResults.Time,IF(ApplyBump,CurveResults.DF.Bumped,CurveResults.DFs),H27)),"")</f>
        <v/>
      </c>
      <c r="M27" s="271" t="str">
        <f t="shared" si="5"/>
        <v/>
      </c>
      <c r="O27" s="284">
        <f t="shared" si="19"/>
        <v>22</v>
      </c>
      <c r="P27" s="223" t="str">
        <f t="shared" si="6"/>
        <v/>
      </c>
      <c r="Q27" s="240" t="str">
        <f t="shared" si="16"/>
        <v/>
      </c>
      <c r="R27" s="240" t="str">
        <f t="shared" si="7"/>
        <v/>
      </c>
      <c r="S27" s="240" t="str">
        <f t="shared" si="8"/>
        <v/>
      </c>
      <c r="T27" s="241" t="str">
        <f t="shared" si="17"/>
        <v/>
      </c>
      <c r="U27" s="242" t="str">
        <f t="shared" si="9"/>
        <v/>
      </c>
      <c r="V27" s="224" t="str">
        <f>IF(AF27,LinearInterpolation(CurveResults.Time,CurveResults.USD3ML,T27)-IF(ApplyBump,0.0001,0),"")</f>
        <v/>
      </c>
      <c r="W27" s="241" t="str">
        <f t="shared" si="10"/>
        <v/>
      </c>
      <c r="X27" s="224" t="str">
        <f t="shared" si="11"/>
        <v/>
      </c>
      <c r="Y27" s="241" t="str">
        <f t="shared" si="12"/>
        <v/>
      </c>
      <c r="Z27" s="243" t="str">
        <f>IF(AF27,IF(SetDiscFactToOne,1,LinearInterpolation(CurveResults.Time,IF(ApplyBump,CurveResults.DF.Bumped,CurveResults.DFs),T27)),"")</f>
        <v/>
      </c>
      <c r="AA27" s="271" t="str">
        <f t="shared" si="13"/>
        <v/>
      </c>
      <c r="AE27" s="327" t="b">
        <f>IF(SUM(K$6:K26)+t_i&lt;=T,TRUE,FALSE)</f>
        <v>0</v>
      </c>
      <c r="AF27" s="327" t="b">
        <f>IF(SUM(Y$6:Y26)+t_j&lt;=T,TRUE,FALSE)</f>
        <v>0</v>
      </c>
    </row>
    <row r="28" spans="2:32" x14ac:dyDescent="0.25">
      <c r="B28" s="127" t="s">
        <v>200</v>
      </c>
      <c r="D28" s="220">
        <f t="shared" si="18"/>
        <v>23</v>
      </c>
      <c r="E28" s="223" t="str">
        <f t="shared" si="14"/>
        <v/>
      </c>
      <c r="F28" s="240" t="str">
        <f t="shared" si="0"/>
        <v/>
      </c>
      <c r="G28" s="240" t="str">
        <f t="shared" si="1"/>
        <v/>
      </c>
      <c r="H28" s="241" t="str">
        <f t="shared" si="15"/>
        <v/>
      </c>
      <c r="I28" s="242" t="str">
        <f t="shared" si="2"/>
        <v/>
      </c>
      <c r="J28" s="224" t="str">
        <f t="shared" si="3"/>
        <v/>
      </c>
      <c r="K28" s="241" t="str">
        <f t="shared" si="4"/>
        <v/>
      </c>
      <c r="L28" s="243" t="str">
        <f>IF(AE28,IF(SetDiscFactToOne,1,LinearInterpolation(CurveResults.Time,IF(ApplyBump,CurveResults.DF.Bumped,CurveResults.DFs),H28)),"")</f>
        <v/>
      </c>
      <c r="M28" s="271" t="str">
        <f t="shared" si="5"/>
        <v/>
      </c>
      <c r="O28" s="284">
        <f t="shared" si="19"/>
        <v>23</v>
      </c>
      <c r="P28" s="223" t="str">
        <f t="shared" si="6"/>
        <v/>
      </c>
      <c r="Q28" s="240" t="str">
        <f t="shared" si="16"/>
        <v/>
      </c>
      <c r="R28" s="240" t="str">
        <f t="shared" si="7"/>
        <v/>
      </c>
      <c r="S28" s="240" t="str">
        <f t="shared" si="8"/>
        <v/>
      </c>
      <c r="T28" s="241" t="str">
        <f t="shared" si="17"/>
        <v/>
      </c>
      <c r="U28" s="242" t="str">
        <f t="shared" si="9"/>
        <v/>
      </c>
      <c r="V28" s="224" t="str">
        <f>IF(AF28,LinearInterpolation(CurveResults.Time,CurveResults.USD3ML,T28)-IF(ApplyBump,0.0001,0),"")</f>
        <v/>
      </c>
      <c r="W28" s="241" t="str">
        <f t="shared" si="10"/>
        <v/>
      </c>
      <c r="X28" s="224" t="str">
        <f t="shared" si="11"/>
        <v/>
      </c>
      <c r="Y28" s="241" t="str">
        <f t="shared" si="12"/>
        <v/>
      </c>
      <c r="Z28" s="243" t="str">
        <f>IF(AF28,IF(SetDiscFactToOne,1,LinearInterpolation(CurveResults.Time,IF(ApplyBump,CurveResults.DF.Bumped,CurveResults.DFs),T28)),"")</f>
        <v/>
      </c>
      <c r="AA28" s="271" t="str">
        <f t="shared" si="13"/>
        <v/>
      </c>
      <c r="AE28" s="327" t="b">
        <f>IF(SUM(K$6:K27)+t_i&lt;=T,TRUE,FALSE)</f>
        <v>0</v>
      </c>
      <c r="AF28" s="327" t="b">
        <f>IF(SUM(Y$6:Y27)+t_j&lt;=T,TRUE,FALSE)</f>
        <v>0</v>
      </c>
    </row>
    <row r="29" spans="2:32" x14ac:dyDescent="0.25">
      <c r="B29" s="257" t="s">
        <v>201</v>
      </c>
      <c r="C29" s="258" t="str">
        <f>Currency&amp;IF(Currency="USD","3ML","6ML")</f>
        <v>USD3ML</v>
      </c>
      <c r="D29" s="220">
        <f t="shared" si="18"/>
        <v>24</v>
      </c>
      <c r="E29" s="223" t="str">
        <f t="shared" si="14"/>
        <v/>
      </c>
      <c r="F29" s="240" t="str">
        <f t="shared" si="0"/>
        <v/>
      </c>
      <c r="G29" s="240" t="str">
        <f t="shared" si="1"/>
        <v/>
      </c>
      <c r="H29" s="241" t="str">
        <f t="shared" si="15"/>
        <v/>
      </c>
      <c r="I29" s="242" t="str">
        <f t="shared" si="2"/>
        <v/>
      </c>
      <c r="J29" s="224" t="str">
        <f t="shared" si="3"/>
        <v/>
      </c>
      <c r="K29" s="241" t="str">
        <f t="shared" si="4"/>
        <v/>
      </c>
      <c r="L29" s="243" t="str">
        <f>IF(AE29,IF(SetDiscFactToOne,1,LinearInterpolation(CurveResults.Time,IF(ApplyBump,CurveResults.DF.Bumped,CurveResults.DFs),H29)),"")</f>
        <v/>
      </c>
      <c r="M29" s="271" t="str">
        <f t="shared" si="5"/>
        <v/>
      </c>
      <c r="O29" s="284">
        <f t="shared" si="19"/>
        <v>24</v>
      </c>
      <c r="P29" s="223" t="str">
        <f t="shared" si="6"/>
        <v/>
      </c>
      <c r="Q29" s="240" t="str">
        <f t="shared" si="16"/>
        <v/>
      </c>
      <c r="R29" s="240" t="str">
        <f t="shared" si="7"/>
        <v/>
      </c>
      <c r="S29" s="240" t="str">
        <f t="shared" si="8"/>
        <v/>
      </c>
      <c r="T29" s="241" t="str">
        <f t="shared" si="17"/>
        <v/>
      </c>
      <c r="U29" s="242" t="str">
        <f t="shared" si="9"/>
        <v/>
      </c>
      <c r="V29" s="224" t="str">
        <f>IF(AF29,LinearInterpolation(CurveResults.Time,CurveResults.USD3ML,T29)-IF(ApplyBump,0.0001,0),"")</f>
        <v/>
      </c>
      <c r="W29" s="241" t="str">
        <f t="shared" si="10"/>
        <v/>
      </c>
      <c r="X29" s="224" t="str">
        <f t="shared" si="11"/>
        <v/>
      </c>
      <c r="Y29" s="241" t="str">
        <f t="shared" si="12"/>
        <v/>
      </c>
      <c r="Z29" s="243" t="str">
        <f>IF(AF29,IF(SetDiscFactToOne,1,LinearInterpolation(CurveResults.Time,IF(ApplyBump,CurveResults.DF.Bumped,CurveResults.DFs),T29)),"")</f>
        <v/>
      </c>
      <c r="AA29" s="271" t="str">
        <f t="shared" si="13"/>
        <v/>
      </c>
      <c r="AE29" s="327" t="b">
        <f>IF(SUM(K$6:K28)+t_i&lt;=T,TRUE,FALSE)</f>
        <v>0</v>
      </c>
      <c r="AF29" s="327" t="b">
        <f>IF(SUM(Y$6:Y28)+t_j&lt;=T,TRUE,FALSE)</f>
        <v>0</v>
      </c>
    </row>
    <row r="30" spans="2:32" x14ac:dyDescent="0.25">
      <c r="B30" s="259" t="s">
        <v>202</v>
      </c>
      <c r="C30" s="260" t="str">
        <f>Currency&amp;"DiscFact"&amp;IF(ApplyBump,"Bumped","")</f>
        <v>USDDiscFact</v>
      </c>
      <c r="D30" s="220">
        <f t="shared" si="18"/>
        <v>25</v>
      </c>
      <c r="E30" s="223" t="str">
        <f t="shared" si="14"/>
        <v/>
      </c>
      <c r="F30" s="240" t="str">
        <f t="shared" si="0"/>
        <v/>
      </c>
      <c r="G30" s="240" t="str">
        <f t="shared" si="1"/>
        <v/>
      </c>
      <c r="H30" s="241" t="str">
        <f t="shared" si="15"/>
        <v/>
      </c>
      <c r="I30" s="242" t="str">
        <f t="shared" si="2"/>
        <v/>
      </c>
      <c r="J30" s="224" t="str">
        <f t="shared" si="3"/>
        <v/>
      </c>
      <c r="K30" s="241" t="str">
        <f t="shared" si="4"/>
        <v/>
      </c>
      <c r="L30" s="243" t="str">
        <f>IF(AE30,IF(SetDiscFactToOne,1,LinearInterpolation(CurveResults.Time,IF(ApplyBump,CurveResults.DF.Bumped,CurveResults.DFs),H30)),"")</f>
        <v/>
      </c>
      <c r="M30" s="271" t="str">
        <f t="shared" si="5"/>
        <v/>
      </c>
      <c r="O30" s="284">
        <f t="shared" si="19"/>
        <v>25</v>
      </c>
      <c r="P30" s="223" t="str">
        <f t="shared" si="6"/>
        <v/>
      </c>
      <c r="Q30" s="240" t="str">
        <f t="shared" si="16"/>
        <v/>
      </c>
      <c r="R30" s="240" t="str">
        <f t="shared" si="7"/>
        <v/>
      </c>
      <c r="S30" s="240" t="str">
        <f t="shared" si="8"/>
        <v/>
      </c>
      <c r="T30" s="241" t="str">
        <f t="shared" si="17"/>
        <v/>
      </c>
      <c r="U30" s="242" t="str">
        <f t="shared" si="9"/>
        <v/>
      </c>
      <c r="V30" s="224" t="str">
        <f>IF(AF30,LinearInterpolation(CurveResults.Time,CurveResults.USD3ML,T30)-IF(ApplyBump,0.0001,0),"")</f>
        <v/>
      </c>
      <c r="W30" s="241" t="str">
        <f t="shared" si="10"/>
        <v/>
      </c>
      <c r="X30" s="224" t="str">
        <f t="shared" si="11"/>
        <v/>
      </c>
      <c r="Y30" s="241" t="str">
        <f t="shared" si="12"/>
        <v/>
      </c>
      <c r="Z30" s="243" t="str">
        <f>IF(AF30,IF(SetDiscFactToOne,1,LinearInterpolation(CurveResults.Time,IF(ApplyBump,CurveResults.DF.Bumped,CurveResults.DFs),T30)),"")</f>
        <v/>
      </c>
      <c r="AA30" s="271" t="str">
        <f t="shared" si="13"/>
        <v/>
      </c>
      <c r="AE30" s="327" t="b">
        <f>IF(SUM(K$6:K29)+t_i&lt;=T,TRUE,FALSE)</f>
        <v>0</v>
      </c>
      <c r="AF30" s="327" t="b">
        <f>IF(SUM(Y$6:Y29)+t_j&lt;=T,TRUE,FALSE)</f>
        <v>0</v>
      </c>
    </row>
    <row r="31" spans="2:32" x14ac:dyDescent="0.25">
      <c r="B31" s="261" t="s">
        <v>203</v>
      </c>
      <c r="C31" s="262" t="b">
        <v>0</v>
      </c>
      <c r="D31" s="220">
        <f t="shared" si="18"/>
        <v>26</v>
      </c>
      <c r="E31" s="223" t="str">
        <f t="shared" si="14"/>
        <v/>
      </c>
      <c r="F31" s="240" t="str">
        <f t="shared" si="0"/>
        <v/>
      </c>
      <c r="G31" s="240" t="str">
        <f t="shared" si="1"/>
        <v/>
      </c>
      <c r="H31" s="241" t="str">
        <f t="shared" si="15"/>
        <v/>
      </c>
      <c r="I31" s="242" t="str">
        <f t="shared" si="2"/>
        <v/>
      </c>
      <c r="J31" s="224" t="str">
        <f t="shared" si="3"/>
        <v/>
      </c>
      <c r="K31" s="241" t="str">
        <f t="shared" si="4"/>
        <v/>
      </c>
      <c r="L31" s="243" t="str">
        <f>IF(AE31,IF(SetDiscFactToOne,1,LinearInterpolation(CurveResults.Time,IF(ApplyBump,CurveResults.DF.Bumped,CurveResults.DFs),H31)),"")</f>
        <v/>
      </c>
      <c r="M31" s="271" t="str">
        <f t="shared" si="5"/>
        <v/>
      </c>
      <c r="O31" s="284">
        <f t="shared" si="19"/>
        <v>26</v>
      </c>
      <c r="P31" s="223" t="str">
        <f t="shared" si="6"/>
        <v/>
      </c>
      <c r="Q31" s="240" t="str">
        <f t="shared" si="16"/>
        <v/>
      </c>
      <c r="R31" s="240" t="str">
        <f t="shared" si="7"/>
        <v/>
      </c>
      <c r="S31" s="240" t="str">
        <f t="shared" si="8"/>
        <v/>
      </c>
      <c r="T31" s="241" t="str">
        <f t="shared" si="17"/>
        <v/>
      </c>
      <c r="U31" s="242" t="str">
        <f t="shared" si="9"/>
        <v/>
      </c>
      <c r="V31" s="224" t="str">
        <f>IF(AF31,LinearInterpolation(CurveResults.Time,CurveResults.USD3ML,T31)-IF(ApplyBump,0.0001,0),"")</f>
        <v/>
      </c>
      <c r="W31" s="241" t="str">
        <f t="shared" si="10"/>
        <v/>
      </c>
      <c r="X31" s="224" t="str">
        <f t="shared" si="11"/>
        <v/>
      </c>
      <c r="Y31" s="241" t="str">
        <f t="shared" si="12"/>
        <v/>
      </c>
      <c r="Z31" s="243" t="str">
        <f>IF(AF31,IF(SetDiscFactToOne,1,LinearInterpolation(CurveResults.Time,IF(ApplyBump,CurveResults.DF.Bumped,CurveResults.DFs),T31)),"")</f>
        <v/>
      </c>
      <c r="AA31" s="271" t="str">
        <f t="shared" si="13"/>
        <v/>
      </c>
      <c r="AE31" s="327" t="b">
        <f>IF(SUM(K$6:K30)+t_i&lt;=T,TRUE,FALSE)</f>
        <v>0</v>
      </c>
      <c r="AF31" s="327" t="b">
        <f>IF(SUM(Y$6:Y30)+t_j&lt;=T,TRUE,FALSE)</f>
        <v>0</v>
      </c>
    </row>
    <row r="32" spans="2:32" x14ac:dyDescent="0.25">
      <c r="D32" s="220">
        <f t="shared" si="18"/>
        <v>27</v>
      </c>
      <c r="E32" s="223" t="str">
        <f t="shared" si="14"/>
        <v/>
      </c>
      <c r="F32" s="240" t="str">
        <f t="shared" si="0"/>
        <v/>
      </c>
      <c r="G32" s="240" t="str">
        <f t="shared" si="1"/>
        <v/>
      </c>
      <c r="H32" s="241" t="str">
        <f t="shared" si="15"/>
        <v/>
      </c>
      <c r="I32" s="242" t="str">
        <f t="shared" si="2"/>
        <v/>
      </c>
      <c r="J32" s="224" t="str">
        <f t="shared" si="3"/>
        <v/>
      </c>
      <c r="K32" s="241" t="str">
        <f t="shared" si="4"/>
        <v/>
      </c>
      <c r="L32" s="243" t="str">
        <f>IF(AE32,IF(SetDiscFactToOne,1,LinearInterpolation(CurveResults.Time,IF(ApplyBump,CurveResults.DF.Bumped,CurveResults.DFs),H32)),"")</f>
        <v/>
      </c>
      <c r="M32" s="271" t="str">
        <f t="shared" si="5"/>
        <v/>
      </c>
      <c r="O32" s="284">
        <f t="shared" si="19"/>
        <v>27</v>
      </c>
      <c r="P32" s="223" t="str">
        <f t="shared" si="6"/>
        <v/>
      </c>
      <c r="Q32" s="240" t="str">
        <f t="shared" si="16"/>
        <v/>
      </c>
      <c r="R32" s="240" t="str">
        <f t="shared" si="7"/>
        <v/>
      </c>
      <c r="S32" s="240" t="str">
        <f t="shared" si="8"/>
        <v/>
      </c>
      <c r="T32" s="241" t="str">
        <f t="shared" si="17"/>
        <v/>
      </c>
      <c r="U32" s="242" t="str">
        <f t="shared" si="9"/>
        <v/>
      </c>
      <c r="V32" s="224" t="str">
        <f>IF(AF32,LinearInterpolation(CurveResults.Time,CurveResults.USD3ML,T32)-IF(ApplyBump,0.0001,0),"")</f>
        <v/>
      </c>
      <c r="W32" s="241" t="str">
        <f t="shared" si="10"/>
        <v/>
      </c>
      <c r="X32" s="224" t="str">
        <f t="shared" si="11"/>
        <v/>
      </c>
      <c r="Y32" s="241" t="str">
        <f t="shared" si="12"/>
        <v/>
      </c>
      <c r="Z32" s="243" t="str">
        <f>IF(AF32,IF(SetDiscFactToOne,1,LinearInterpolation(CurveResults.Time,IF(ApplyBump,CurveResults.DF.Bumped,CurveResults.DFs),T32)),"")</f>
        <v/>
      </c>
      <c r="AA32" s="271" t="str">
        <f t="shared" si="13"/>
        <v/>
      </c>
      <c r="AE32" s="327" t="b">
        <f>IF(SUM(K$6:K31)+t_i&lt;=T,TRUE,FALSE)</f>
        <v>0</v>
      </c>
      <c r="AF32" s="327" t="b">
        <f>IF(SUM(Y$6:Y31)+t_j&lt;=T,TRUE,FALSE)</f>
        <v>0</v>
      </c>
    </row>
    <row r="33" spans="2:32" x14ac:dyDescent="0.25">
      <c r="B33" s="127" t="s">
        <v>204</v>
      </c>
      <c r="D33" s="220">
        <f t="shared" si="18"/>
        <v>28</v>
      </c>
      <c r="E33" s="223" t="str">
        <f t="shared" si="14"/>
        <v/>
      </c>
      <c r="F33" s="240" t="str">
        <f t="shared" si="0"/>
        <v/>
      </c>
      <c r="G33" s="240" t="str">
        <f t="shared" si="1"/>
        <v/>
      </c>
      <c r="H33" s="241" t="str">
        <f t="shared" si="15"/>
        <v/>
      </c>
      <c r="I33" s="242" t="str">
        <f t="shared" si="2"/>
        <v/>
      </c>
      <c r="J33" s="224" t="str">
        <f t="shared" si="3"/>
        <v/>
      </c>
      <c r="K33" s="241" t="str">
        <f t="shared" si="4"/>
        <v/>
      </c>
      <c r="L33" s="243" t="str">
        <f>IF(AE33,IF(SetDiscFactToOne,1,LinearInterpolation(CurveResults.Time,IF(ApplyBump,CurveResults.DF.Bumped,CurveResults.DFs),H33)),"")</f>
        <v/>
      </c>
      <c r="M33" s="271" t="str">
        <f t="shared" si="5"/>
        <v/>
      </c>
      <c r="O33" s="284">
        <f t="shared" si="19"/>
        <v>28</v>
      </c>
      <c r="P33" s="223" t="str">
        <f t="shared" si="6"/>
        <v/>
      </c>
      <c r="Q33" s="240" t="str">
        <f t="shared" si="16"/>
        <v/>
      </c>
      <c r="R33" s="240" t="str">
        <f t="shared" si="7"/>
        <v/>
      </c>
      <c r="S33" s="240" t="str">
        <f t="shared" si="8"/>
        <v/>
      </c>
      <c r="T33" s="241" t="str">
        <f t="shared" si="17"/>
        <v/>
      </c>
      <c r="U33" s="242" t="str">
        <f t="shared" si="9"/>
        <v/>
      </c>
      <c r="V33" s="224" t="str">
        <f>IF(AF33,LinearInterpolation(CurveResults.Time,CurveResults.USD3ML,T33)-IF(ApplyBump,0.0001,0),"")</f>
        <v/>
      </c>
      <c r="W33" s="241" t="str">
        <f t="shared" si="10"/>
        <v/>
      </c>
      <c r="X33" s="224" t="str">
        <f t="shared" si="11"/>
        <v/>
      </c>
      <c r="Y33" s="241" t="str">
        <f t="shared" si="12"/>
        <v/>
      </c>
      <c r="Z33" s="243" t="str">
        <f>IF(AF33,IF(SetDiscFactToOne,1,LinearInterpolation(CurveResults.Time,IF(ApplyBump,CurveResults.DF.Bumped,CurveResults.DFs),T33)),"")</f>
        <v/>
      </c>
      <c r="AA33" s="271" t="str">
        <f t="shared" si="13"/>
        <v/>
      </c>
      <c r="AE33" s="327" t="b">
        <f>IF(SUM(K$6:K32)+t_i&lt;=T,TRUE,FALSE)</f>
        <v>0</v>
      </c>
      <c r="AF33" s="327" t="b">
        <f>IF(SUM(Y$6:Y32)+t_j&lt;=T,TRUE,FALSE)</f>
        <v>0</v>
      </c>
    </row>
    <row r="34" spans="2:32" x14ac:dyDescent="0.25">
      <c r="B34" s="263" t="s">
        <v>205</v>
      </c>
      <c r="C34" s="264"/>
      <c r="D34" s="220">
        <f t="shared" si="18"/>
        <v>29</v>
      </c>
      <c r="E34" s="223" t="str">
        <f t="shared" si="14"/>
        <v/>
      </c>
      <c r="F34" s="240" t="str">
        <f t="shared" si="0"/>
        <v/>
      </c>
      <c r="G34" s="240" t="str">
        <f t="shared" si="1"/>
        <v/>
      </c>
      <c r="H34" s="241" t="str">
        <f t="shared" si="15"/>
        <v/>
      </c>
      <c r="I34" s="242" t="str">
        <f t="shared" si="2"/>
        <v/>
      </c>
      <c r="J34" s="224" t="str">
        <f t="shared" si="3"/>
        <v/>
      </c>
      <c r="K34" s="241" t="str">
        <f t="shared" si="4"/>
        <v/>
      </c>
      <c r="L34" s="243" t="str">
        <f>IF(AE34,IF(SetDiscFactToOne,1,LinearInterpolation(CurveResults.Time,IF(ApplyBump,CurveResults.DF.Bumped,CurveResults.DFs),H34)),"")</f>
        <v/>
      </c>
      <c r="M34" s="271" t="str">
        <f t="shared" si="5"/>
        <v/>
      </c>
      <c r="O34" s="284">
        <f t="shared" si="19"/>
        <v>29</v>
      </c>
      <c r="P34" s="223" t="str">
        <f t="shared" si="6"/>
        <v/>
      </c>
      <c r="Q34" s="240" t="str">
        <f t="shared" si="16"/>
        <v/>
      </c>
      <c r="R34" s="240" t="str">
        <f t="shared" si="7"/>
        <v/>
      </c>
      <c r="S34" s="240" t="str">
        <f t="shared" si="8"/>
        <v/>
      </c>
      <c r="T34" s="241" t="str">
        <f t="shared" si="17"/>
        <v/>
      </c>
      <c r="U34" s="242" t="str">
        <f t="shared" si="9"/>
        <v/>
      </c>
      <c r="V34" s="224" t="str">
        <f>IF(AF34,LinearInterpolation(CurveResults.Time,CurveResults.USD3ML,T34)-IF(ApplyBump,0.0001,0),"")</f>
        <v/>
      </c>
      <c r="W34" s="241" t="str">
        <f t="shared" si="10"/>
        <v/>
      </c>
      <c r="X34" s="224" t="str">
        <f t="shared" si="11"/>
        <v/>
      </c>
      <c r="Y34" s="241" t="str">
        <f t="shared" si="12"/>
        <v/>
      </c>
      <c r="Z34" s="243" t="str">
        <f>IF(AF34,IF(SetDiscFactToOne,1,LinearInterpolation(CurveResults.Time,IF(ApplyBump,CurveResults.DF.Bumped,CurveResults.DFs),T34)),"")</f>
        <v/>
      </c>
      <c r="AA34" s="271" t="str">
        <f t="shared" si="13"/>
        <v/>
      </c>
      <c r="AE34" s="327" t="b">
        <f>IF(SUM(K$6:K33)+t_i&lt;=T,TRUE,FALSE)</f>
        <v>0</v>
      </c>
      <c r="AF34" s="327" t="b">
        <f>IF(SUM(Y$6:Y33)+t_j&lt;=T,TRUE,FALSE)</f>
        <v>0</v>
      </c>
    </row>
    <row r="35" spans="2:32" x14ac:dyDescent="0.25">
      <c r="B35" s="265" t="s">
        <v>206</v>
      </c>
      <c r="C35" s="266">
        <f>IF(C5="PAYER",-1,1)</f>
        <v>-1</v>
      </c>
      <c r="D35" s="220">
        <f t="shared" si="18"/>
        <v>30</v>
      </c>
      <c r="E35" s="223" t="str">
        <f t="shared" si="14"/>
        <v/>
      </c>
      <c r="F35" s="240" t="str">
        <f t="shared" si="0"/>
        <v/>
      </c>
      <c r="G35" s="240" t="str">
        <f t="shared" si="1"/>
        <v/>
      </c>
      <c r="H35" s="241" t="str">
        <f t="shared" si="15"/>
        <v/>
      </c>
      <c r="I35" s="242" t="str">
        <f t="shared" si="2"/>
        <v/>
      </c>
      <c r="J35" s="224" t="str">
        <f t="shared" si="3"/>
        <v/>
      </c>
      <c r="K35" s="241" t="str">
        <f t="shared" si="4"/>
        <v/>
      </c>
      <c r="L35" s="243" t="str">
        <f>IF(AE35,IF(SetDiscFactToOne,1,LinearInterpolation(CurveResults.Time,IF(ApplyBump,CurveResults.DF.Bumped,CurveResults.DFs),H35)),"")</f>
        <v/>
      </c>
      <c r="M35" s="271" t="str">
        <f t="shared" si="5"/>
        <v/>
      </c>
      <c r="O35" s="284">
        <f t="shared" si="19"/>
        <v>30</v>
      </c>
      <c r="P35" s="223" t="str">
        <f t="shared" si="6"/>
        <v/>
      </c>
      <c r="Q35" s="240" t="str">
        <f t="shared" si="16"/>
        <v/>
      </c>
      <c r="R35" s="240" t="str">
        <f t="shared" si="7"/>
        <v/>
      </c>
      <c r="S35" s="240" t="str">
        <f t="shared" si="8"/>
        <v/>
      </c>
      <c r="T35" s="241" t="str">
        <f t="shared" si="17"/>
        <v/>
      </c>
      <c r="U35" s="242" t="str">
        <f t="shared" si="9"/>
        <v/>
      </c>
      <c r="V35" s="224" t="str">
        <f>IF(AF35,LinearInterpolation(CurveResults.Time,CurveResults.USD3ML,T35)-IF(ApplyBump,0.0001,0),"")</f>
        <v/>
      </c>
      <c r="W35" s="241" t="str">
        <f t="shared" si="10"/>
        <v/>
      </c>
      <c r="X35" s="224" t="str">
        <f t="shared" si="11"/>
        <v/>
      </c>
      <c r="Y35" s="241" t="str">
        <f t="shared" si="12"/>
        <v/>
      </c>
      <c r="Z35" s="243" t="str">
        <f>IF(AF35,IF(SetDiscFactToOne,1,LinearInterpolation(CurveResults.Time,IF(ApplyBump,CurveResults.DF.Bumped,CurveResults.DFs),T35)),"")</f>
        <v/>
      </c>
      <c r="AA35" s="271" t="str">
        <f t="shared" si="13"/>
        <v/>
      </c>
      <c r="AE35" s="327" t="b">
        <f>IF(SUM(K$6:K34)+t_i&lt;=T,TRUE,FALSE)</f>
        <v>0</v>
      </c>
      <c r="AF35" s="327" t="b">
        <f>IF(SUM(Y$6:Y34)+t_j&lt;=T,TRUE,FALSE)</f>
        <v>0</v>
      </c>
    </row>
    <row r="36" spans="2:32" x14ac:dyDescent="0.25">
      <c r="D36" s="220">
        <f t="shared" si="18"/>
        <v>31</v>
      </c>
      <c r="E36" s="223" t="str">
        <f t="shared" si="14"/>
        <v/>
      </c>
      <c r="F36" s="240" t="str">
        <f t="shared" si="0"/>
        <v/>
      </c>
      <c r="G36" s="240" t="str">
        <f t="shared" si="1"/>
        <v/>
      </c>
      <c r="H36" s="241" t="str">
        <f t="shared" si="15"/>
        <v/>
      </c>
      <c r="I36" s="242" t="str">
        <f t="shared" si="2"/>
        <v/>
      </c>
      <c r="J36" s="224" t="str">
        <f t="shared" si="3"/>
        <v/>
      </c>
      <c r="K36" s="241" t="str">
        <f t="shared" si="4"/>
        <v/>
      </c>
      <c r="L36" s="243" t="str">
        <f>IF(AE36,IF(SetDiscFactToOne,1,LinearInterpolation(CurveResults.Time,IF(ApplyBump,CurveResults.DF.Bumped,CurveResults.DFs),H36)),"")</f>
        <v/>
      </c>
      <c r="M36" s="271" t="str">
        <f t="shared" si="5"/>
        <v/>
      </c>
      <c r="O36" s="284">
        <f t="shared" si="19"/>
        <v>31</v>
      </c>
      <c r="P36" s="223" t="str">
        <f t="shared" si="6"/>
        <v/>
      </c>
      <c r="Q36" s="240" t="str">
        <f t="shared" si="16"/>
        <v/>
      </c>
      <c r="R36" s="240" t="str">
        <f t="shared" si="7"/>
        <v/>
      </c>
      <c r="S36" s="240" t="str">
        <f t="shared" si="8"/>
        <v/>
      </c>
      <c r="T36" s="241" t="str">
        <f t="shared" si="17"/>
        <v/>
      </c>
      <c r="U36" s="242" t="str">
        <f t="shared" si="9"/>
        <v/>
      </c>
      <c r="V36" s="224" t="str">
        <f>IF(AF36,LinearInterpolation(CurveResults.Time,CurveResults.USD3ML,T36)-IF(ApplyBump,0.0001,0),"")</f>
        <v/>
      </c>
      <c r="W36" s="241" t="str">
        <f t="shared" si="10"/>
        <v/>
      </c>
      <c r="X36" s="224" t="str">
        <f t="shared" si="11"/>
        <v/>
      </c>
      <c r="Y36" s="241" t="str">
        <f t="shared" si="12"/>
        <v/>
      </c>
      <c r="Z36" s="243" t="str">
        <f>IF(AF36,IF(SetDiscFactToOne,1,LinearInterpolation(CurveResults.Time,IF(ApplyBump,CurveResults.DF.Bumped,CurveResults.DFs),T36)),"")</f>
        <v/>
      </c>
      <c r="AA36" s="271" t="str">
        <f t="shared" si="13"/>
        <v/>
      </c>
      <c r="AE36" s="327" t="b">
        <f>IF(SUM(K$6:K35)+t_i&lt;=T,TRUE,FALSE)</f>
        <v>0</v>
      </c>
      <c r="AF36" s="327" t="b">
        <f>IF(SUM(Y$6:Y35)+t_j&lt;=T,TRUE,FALSE)</f>
        <v>0</v>
      </c>
    </row>
    <row r="37" spans="2:32" x14ac:dyDescent="0.25">
      <c r="B37" s="263" t="s">
        <v>207</v>
      </c>
      <c r="C37" s="264"/>
      <c r="D37" s="220">
        <f t="shared" si="18"/>
        <v>32</v>
      </c>
      <c r="E37" s="223" t="str">
        <f t="shared" si="14"/>
        <v/>
      </c>
      <c r="F37" s="240" t="str">
        <f t="shared" si="0"/>
        <v/>
      </c>
      <c r="G37" s="240" t="str">
        <f t="shared" si="1"/>
        <v/>
      </c>
      <c r="H37" s="241" t="str">
        <f t="shared" si="15"/>
        <v/>
      </c>
      <c r="I37" s="242" t="str">
        <f t="shared" si="2"/>
        <v/>
      </c>
      <c r="J37" s="224" t="str">
        <f t="shared" si="3"/>
        <v/>
      </c>
      <c r="K37" s="241" t="str">
        <f t="shared" si="4"/>
        <v/>
      </c>
      <c r="L37" s="243" t="str">
        <f>IF(AE37,IF(SetDiscFactToOne,1,LinearInterpolation(CurveResults.Time,IF(ApplyBump,CurveResults.DF.Bumped,CurveResults.DFs),H37)),"")</f>
        <v/>
      </c>
      <c r="M37" s="271" t="str">
        <f t="shared" si="5"/>
        <v/>
      </c>
      <c r="O37" s="284">
        <f t="shared" si="19"/>
        <v>32</v>
      </c>
      <c r="P37" s="223" t="str">
        <f t="shared" si="6"/>
        <v/>
      </c>
      <c r="Q37" s="240" t="str">
        <f t="shared" si="16"/>
        <v/>
      </c>
      <c r="R37" s="240" t="str">
        <f t="shared" si="7"/>
        <v/>
      </c>
      <c r="S37" s="240" t="str">
        <f t="shared" si="8"/>
        <v/>
      </c>
      <c r="T37" s="241" t="str">
        <f t="shared" si="17"/>
        <v/>
      </c>
      <c r="U37" s="242" t="str">
        <f t="shared" si="9"/>
        <v/>
      </c>
      <c r="V37" s="224" t="str">
        <f>IF(AF37,LinearInterpolation(CurveResults.Time,CurveResults.USD3ML,T37)-IF(ApplyBump,0.0001,0),"")</f>
        <v/>
      </c>
      <c r="W37" s="241" t="str">
        <f t="shared" si="10"/>
        <v/>
      </c>
      <c r="X37" s="224" t="str">
        <f t="shared" si="11"/>
        <v/>
      </c>
      <c r="Y37" s="241" t="str">
        <f t="shared" si="12"/>
        <v/>
      </c>
      <c r="Z37" s="243" t="str">
        <f>IF(AF37,IF(SetDiscFactToOne,1,LinearInterpolation(CurveResults.Time,IF(ApplyBump,CurveResults.DF.Bumped,CurveResults.DFs),T37)),"")</f>
        <v/>
      </c>
      <c r="AA37" s="271" t="str">
        <f t="shared" si="13"/>
        <v/>
      </c>
      <c r="AE37" s="327" t="b">
        <f>IF(SUM(K$6:K36)+t_i&lt;=T,TRUE,FALSE)</f>
        <v>0</v>
      </c>
      <c r="AF37" s="327" t="b">
        <f>IF(SUM(Y$6:Y36)+t_j&lt;=T,TRUE,FALSE)</f>
        <v>0</v>
      </c>
    </row>
    <row r="38" spans="2:32" x14ac:dyDescent="0.25">
      <c r="B38" s="267" t="s">
        <v>208</v>
      </c>
      <c r="C38" s="268" t="b">
        <f>Approximate</f>
        <v>1</v>
      </c>
      <c r="D38" s="220">
        <f t="shared" si="18"/>
        <v>33</v>
      </c>
      <c r="E38" s="223" t="str">
        <f t="shared" si="14"/>
        <v/>
      </c>
      <c r="F38" s="240" t="str">
        <f t="shared" ref="F38:F55" si="20">IF(AE38,E38+K38*365,"")</f>
        <v/>
      </c>
      <c r="G38" s="240" t="str">
        <f t="shared" ref="G38:G55" si="21">IF(AE38,F38,"")</f>
        <v/>
      </c>
      <c r="H38" s="241" t="str">
        <f t="shared" si="15"/>
        <v/>
      </c>
      <c r="I38" s="242" t="str">
        <f t="shared" ref="I38:I55" si="22">IF(AE38,N,"")</f>
        <v/>
      </c>
      <c r="J38" s="224" t="str">
        <f t="shared" ref="J38:J55" si="23">IF(AE38,r_fixed,"")</f>
        <v/>
      </c>
      <c r="K38" s="241" t="str">
        <f t="shared" ref="K38:K55" si="24">IF(AE38,t_i,"")</f>
        <v/>
      </c>
      <c r="L38" s="243" t="str">
        <f>IF(AE38,IF(SetDiscFactToOne,1,LinearInterpolation(CurveResults.Time,IF(ApplyBump,CurveResults.DF.Bumped,CurveResults.DFs),H38)),"")</f>
        <v/>
      </c>
      <c r="M38" s="271" t="str">
        <f t="shared" ref="M38:M55" si="25">IF(AE38,I38*J38*K38*L38,"")</f>
        <v/>
      </c>
      <c r="O38" s="284">
        <f t="shared" si="19"/>
        <v>33</v>
      </c>
      <c r="P38" s="223" t="str">
        <f t="shared" ref="P38:P55" si="26">IF(AF38,Q38,"")</f>
        <v/>
      </c>
      <c r="Q38" s="240" t="str">
        <f t="shared" si="16"/>
        <v/>
      </c>
      <c r="R38" s="240" t="str">
        <f t="shared" ref="R38:R55" si="27">IF(AF38,Q38+Y38*365,"")</f>
        <v/>
      </c>
      <c r="S38" s="240" t="str">
        <f t="shared" ref="S38:S55" si="28">IF(AF38,R38,"")</f>
        <v/>
      </c>
      <c r="T38" s="241" t="str">
        <f t="shared" si="17"/>
        <v/>
      </c>
      <c r="U38" s="242" t="str">
        <f t="shared" ref="U38:U55" si="29">IF(AF38,N,"")</f>
        <v/>
      </c>
      <c r="V38" s="224" t="str">
        <f>IF(AF38,LinearInterpolation(CurveResults.Time,CurveResults.USD3ML,T38)-IF(ApplyBump,0.0001,0),"")</f>
        <v/>
      </c>
      <c r="W38" s="241" t="str">
        <f t="shared" ref="W38:W55" si="30">IF(AF38,s,"")</f>
        <v/>
      </c>
      <c r="X38" s="224" t="str">
        <f t="shared" ref="X38:X55" si="31">IF(AF38,V38+(W38*0.0001),"")</f>
        <v/>
      </c>
      <c r="Y38" s="241" t="str">
        <f t="shared" ref="Y38:Y55" si="32">IF(AF38,t_j,"")</f>
        <v/>
      </c>
      <c r="Z38" s="243" t="str">
        <f>IF(AF38,IF(SetDiscFactToOne,1,LinearInterpolation(CurveResults.Time,IF(ApplyBump,CurveResults.DF.Bumped,CurveResults.DFs),T38)),"")</f>
        <v/>
      </c>
      <c r="AA38" s="271" t="str">
        <f t="shared" ref="AA38:AA55" si="33">IF(AF38,U38*X38*Y38*Z38,"")</f>
        <v/>
      </c>
      <c r="AE38" s="327" t="b">
        <f>IF(SUM(K$6:K37)+t_i&lt;=T,TRUE,FALSE)</f>
        <v>0</v>
      </c>
      <c r="AF38" s="327" t="b">
        <f>IF(SUM(Y$6:Y37)+t_j&lt;=T,TRUE,FALSE)</f>
        <v>0</v>
      </c>
    </row>
    <row r="39" spans="2:32" x14ac:dyDescent="0.25">
      <c r="D39" s="220">
        <f t="shared" si="18"/>
        <v>34</v>
      </c>
      <c r="E39" s="223" t="str">
        <f t="shared" ref="E39:E55" si="34">IF(AE39,F38,"")</f>
        <v/>
      </c>
      <c r="F39" s="240" t="str">
        <f t="shared" si="20"/>
        <v/>
      </c>
      <c r="G39" s="240" t="str">
        <f t="shared" si="21"/>
        <v/>
      </c>
      <c r="H39" s="241" t="str">
        <f t="shared" ref="H39:H55" si="35">IF(AE39,H38+t_i,"")</f>
        <v/>
      </c>
      <c r="I39" s="242" t="str">
        <f t="shared" si="22"/>
        <v/>
      </c>
      <c r="J39" s="224" t="str">
        <f t="shared" si="23"/>
        <v/>
      </c>
      <c r="K39" s="241" t="str">
        <f t="shared" si="24"/>
        <v/>
      </c>
      <c r="L39" s="243" t="str">
        <f>IF(AE39,IF(SetDiscFactToOne,1,LinearInterpolation(CurveResults.Time,IF(ApplyBump,CurveResults.DF.Bumped,CurveResults.DFs),H39)),"")</f>
        <v/>
      </c>
      <c r="M39" s="271" t="str">
        <f t="shared" si="25"/>
        <v/>
      </c>
      <c r="O39" s="284">
        <f t="shared" si="19"/>
        <v>34</v>
      </c>
      <c r="P39" s="223" t="str">
        <f t="shared" si="26"/>
        <v/>
      </c>
      <c r="Q39" s="240" t="str">
        <f t="shared" ref="Q39:Q55" si="36">IF(AF39,R38,"")</f>
        <v/>
      </c>
      <c r="R39" s="240" t="str">
        <f t="shared" si="27"/>
        <v/>
      </c>
      <c r="S39" s="240" t="str">
        <f t="shared" si="28"/>
        <v/>
      </c>
      <c r="T39" s="241" t="str">
        <f t="shared" ref="T39:T55" si="37">IF(AF39,T38+t_j,"")</f>
        <v/>
      </c>
      <c r="U39" s="242" t="str">
        <f t="shared" si="29"/>
        <v/>
      </c>
      <c r="V39" s="224" t="str">
        <f>IF(AF39,LinearInterpolation(CurveResults.Time,CurveResults.USD3ML,T39)-IF(ApplyBump,0.0001,0),"")</f>
        <v/>
      </c>
      <c r="W39" s="241" t="str">
        <f t="shared" si="30"/>
        <v/>
      </c>
      <c r="X39" s="224" t="str">
        <f t="shared" si="31"/>
        <v/>
      </c>
      <c r="Y39" s="241" t="str">
        <f t="shared" si="32"/>
        <v/>
      </c>
      <c r="Z39" s="243" t="str">
        <f>IF(AF39,IF(SetDiscFactToOne,1,LinearInterpolation(CurveResults.Time,IF(ApplyBump,CurveResults.DF.Bumped,CurveResults.DFs),T39)),"")</f>
        <v/>
      </c>
      <c r="AA39" s="271" t="str">
        <f t="shared" si="33"/>
        <v/>
      </c>
      <c r="AE39" s="327" t="b">
        <f>IF(SUM(K$6:K38)+t_i&lt;=T,TRUE,FALSE)</f>
        <v>0</v>
      </c>
      <c r="AF39" s="327" t="b">
        <f>IF(SUM(Y$6:Y38)+t_j&lt;=T,TRUE,FALSE)</f>
        <v>0</v>
      </c>
    </row>
    <row r="40" spans="2:32" x14ac:dyDescent="0.25">
      <c r="B40" s="263" t="s">
        <v>154</v>
      </c>
      <c r="C40" s="264"/>
      <c r="D40" s="220">
        <f t="shared" si="18"/>
        <v>35</v>
      </c>
      <c r="E40" s="223" t="str">
        <f t="shared" si="34"/>
        <v/>
      </c>
      <c r="F40" s="240" t="str">
        <f t="shared" si="20"/>
        <v/>
      </c>
      <c r="G40" s="240" t="str">
        <f t="shared" si="21"/>
        <v/>
      </c>
      <c r="H40" s="241" t="str">
        <f t="shared" si="35"/>
        <v/>
      </c>
      <c r="I40" s="242" t="str">
        <f t="shared" si="22"/>
        <v/>
      </c>
      <c r="J40" s="224" t="str">
        <f t="shared" si="23"/>
        <v/>
      </c>
      <c r="K40" s="241" t="str">
        <f t="shared" si="24"/>
        <v/>
      </c>
      <c r="L40" s="243" t="str">
        <f>IF(AE40,IF(SetDiscFactToOne,1,LinearInterpolation(CurveResults.Time,IF(ApplyBump,CurveResults.DF.Bumped,CurveResults.DFs),H40)),"")</f>
        <v/>
      </c>
      <c r="M40" s="271" t="str">
        <f t="shared" si="25"/>
        <v/>
      </c>
      <c r="O40" s="284">
        <f t="shared" si="19"/>
        <v>35</v>
      </c>
      <c r="P40" s="223" t="str">
        <f t="shared" si="26"/>
        <v/>
      </c>
      <c r="Q40" s="240" t="str">
        <f t="shared" si="36"/>
        <v/>
      </c>
      <c r="R40" s="240" t="str">
        <f t="shared" si="27"/>
        <v/>
      </c>
      <c r="S40" s="240" t="str">
        <f t="shared" si="28"/>
        <v/>
      </c>
      <c r="T40" s="241" t="str">
        <f t="shared" si="37"/>
        <v/>
      </c>
      <c r="U40" s="242" t="str">
        <f t="shared" si="29"/>
        <v/>
      </c>
      <c r="V40" s="224" t="str">
        <f>IF(AF40,LinearInterpolation(CurveResults.Time,CurveResults.USD3ML,T40)-IF(ApplyBump,0.0001,0),"")</f>
        <v/>
      </c>
      <c r="W40" s="241" t="str">
        <f t="shared" si="30"/>
        <v/>
      </c>
      <c r="X40" s="224" t="str">
        <f t="shared" si="31"/>
        <v/>
      </c>
      <c r="Y40" s="241" t="str">
        <f t="shared" si="32"/>
        <v/>
      </c>
      <c r="Z40" s="243" t="str">
        <f>IF(AF40,IF(SetDiscFactToOne,1,LinearInterpolation(CurveResults.Time,IF(ApplyBump,CurveResults.DF.Bumped,CurveResults.DFs),T40)),"")</f>
        <v/>
      </c>
      <c r="AA40" s="271" t="str">
        <f t="shared" si="33"/>
        <v/>
      </c>
      <c r="AE40" s="327" t="b">
        <f>IF(SUM(K$6:K39)+t_i&lt;=T,TRUE,FALSE)</f>
        <v>0</v>
      </c>
      <c r="AF40" s="327" t="b">
        <f>IF(SUM(Y$6:Y39)+t_j&lt;=T,TRUE,FALSE)</f>
        <v>0</v>
      </c>
    </row>
    <row r="41" spans="2:32" x14ac:dyDescent="0.25">
      <c r="B41" s="269" t="s">
        <v>209</v>
      </c>
      <c r="C41" s="244" t="str">
        <f ca="1">INDIRECT(Currency&amp;".Fixed.Period")</f>
        <v>SEMI-ANNUAL</v>
      </c>
      <c r="D41" s="220">
        <f t="shared" si="18"/>
        <v>36</v>
      </c>
      <c r="E41" s="223" t="str">
        <f t="shared" si="34"/>
        <v/>
      </c>
      <c r="F41" s="240" t="str">
        <f t="shared" si="20"/>
        <v/>
      </c>
      <c r="G41" s="240" t="str">
        <f t="shared" si="21"/>
        <v/>
      </c>
      <c r="H41" s="241" t="str">
        <f t="shared" si="35"/>
        <v/>
      </c>
      <c r="I41" s="242" t="str">
        <f t="shared" si="22"/>
        <v/>
      </c>
      <c r="J41" s="224" t="str">
        <f t="shared" si="23"/>
        <v/>
      </c>
      <c r="K41" s="241" t="str">
        <f t="shared" si="24"/>
        <v/>
      </c>
      <c r="L41" s="243" t="str">
        <f>IF(AE41,IF(SetDiscFactToOne,1,LinearInterpolation(CurveResults.Time,IF(ApplyBump,CurveResults.DF.Bumped,CurveResults.DFs),H41)),"")</f>
        <v/>
      </c>
      <c r="M41" s="271" t="str">
        <f t="shared" si="25"/>
        <v/>
      </c>
      <c r="O41" s="284">
        <f t="shared" si="19"/>
        <v>36</v>
      </c>
      <c r="P41" s="223" t="str">
        <f t="shared" si="26"/>
        <v/>
      </c>
      <c r="Q41" s="240" t="str">
        <f t="shared" si="36"/>
        <v/>
      </c>
      <c r="R41" s="240" t="str">
        <f t="shared" si="27"/>
        <v/>
      </c>
      <c r="S41" s="240" t="str">
        <f t="shared" si="28"/>
        <v/>
      </c>
      <c r="T41" s="241" t="str">
        <f t="shared" si="37"/>
        <v/>
      </c>
      <c r="U41" s="242" t="str">
        <f t="shared" si="29"/>
        <v/>
      </c>
      <c r="V41" s="224" t="str">
        <f>IF(AF41,LinearInterpolation(CurveResults.Time,CurveResults.USD3ML,T41)-IF(ApplyBump,0.0001,0),"")</f>
        <v/>
      </c>
      <c r="W41" s="241" t="str">
        <f t="shared" si="30"/>
        <v/>
      </c>
      <c r="X41" s="224" t="str">
        <f t="shared" si="31"/>
        <v/>
      </c>
      <c r="Y41" s="241" t="str">
        <f t="shared" si="32"/>
        <v/>
      </c>
      <c r="Z41" s="243" t="str">
        <f>IF(AF41,IF(SetDiscFactToOne,1,LinearInterpolation(CurveResults.Time,IF(ApplyBump,CurveResults.DF.Bumped,CurveResults.DFs),T41)),"")</f>
        <v/>
      </c>
      <c r="AA41" s="271" t="str">
        <f t="shared" si="33"/>
        <v/>
      </c>
      <c r="AE41" s="327" t="b">
        <f>IF(SUM(K$6:K40)+t_i&lt;=T,TRUE,FALSE)</f>
        <v>0</v>
      </c>
      <c r="AF41" s="327" t="b">
        <f>IF(SUM(Y$6:Y40)+t_j&lt;=T,TRUE,FALSE)</f>
        <v>0</v>
      </c>
    </row>
    <row r="42" spans="2:32" x14ac:dyDescent="0.25">
      <c r="B42" s="269" t="s">
        <v>210</v>
      </c>
      <c r="C42" s="244" t="str">
        <f>IF(OverrideMarketFrequency,"ANNUAL",C41)</f>
        <v>ANNUAL</v>
      </c>
      <c r="D42" s="220">
        <f t="shared" si="18"/>
        <v>37</v>
      </c>
      <c r="E42" s="223" t="str">
        <f t="shared" si="34"/>
        <v/>
      </c>
      <c r="F42" s="240" t="str">
        <f t="shared" si="20"/>
        <v/>
      </c>
      <c r="G42" s="240" t="str">
        <f t="shared" si="21"/>
        <v/>
      </c>
      <c r="H42" s="241" t="str">
        <f t="shared" si="35"/>
        <v/>
      </c>
      <c r="I42" s="242" t="str">
        <f t="shared" si="22"/>
        <v/>
      </c>
      <c r="J42" s="224" t="str">
        <f t="shared" si="23"/>
        <v/>
      </c>
      <c r="K42" s="241" t="str">
        <f t="shared" si="24"/>
        <v/>
      </c>
      <c r="L42" s="243" t="str">
        <f>IF(AE42,IF(SetDiscFactToOne,1,LinearInterpolation(CurveResults.Time,IF(ApplyBump,CurveResults.DF.Bumped,CurveResults.DFs),H42)),"")</f>
        <v/>
      </c>
      <c r="M42" s="271" t="str">
        <f t="shared" si="25"/>
        <v/>
      </c>
      <c r="O42" s="284">
        <f t="shared" si="19"/>
        <v>37</v>
      </c>
      <c r="P42" s="223" t="str">
        <f t="shared" si="26"/>
        <v/>
      </c>
      <c r="Q42" s="240" t="str">
        <f t="shared" si="36"/>
        <v/>
      </c>
      <c r="R42" s="240" t="str">
        <f t="shared" si="27"/>
        <v/>
      </c>
      <c r="S42" s="240" t="str">
        <f t="shared" si="28"/>
        <v/>
      </c>
      <c r="T42" s="241" t="str">
        <f t="shared" si="37"/>
        <v/>
      </c>
      <c r="U42" s="242" t="str">
        <f t="shared" si="29"/>
        <v/>
      </c>
      <c r="V42" s="224" t="str">
        <f>IF(AF42,LinearInterpolation(CurveResults.Time,CurveResults.USD3ML,T42)-IF(ApplyBump,0.0001,0),"")</f>
        <v/>
      </c>
      <c r="W42" s="241" t="str">
        <f t="shared" si="30"/>
        <v/>
      </c>
      <c r="X42" s="224" t="str">
        <f t="shared" si="31"/>
        <v/>
      </c>
      <c r="Y42" s="241" t="str">
        <f t="shared" si="32"/>
        <v/>
      </c>
      <c r="Z42" s="243" t="str">
        <f>IF(AF42,IF(SetDiscFactToOne,1,LinearInterpolation(CurveResults.Time,IF(ApplyBump,CurveResults.DF.Bumped,CurveResults.DFs),T42)),"")</f>
        <v/>
      </c>
      <c r="AA42" s="271" t="str">
        <f t="shared" si="33"/>
        <v/>
      </c>
      <c r="AE42" s="327" t="b">
        <f>IF(SUM(K$6:K41)+t_i&lt;=T,TRUE,FALSE)</f>
        <v>0</v>
      </c>
      <c r="AF42" s="327" t="b">
        <f>IF(SUM(Y$6:Y41)+t_j&lt;=T,TRUE,FALSE)</f>
        <v>0</v>
      </c>
    </row>
    <row r="43" spans="2:32" x14ac:dyDescent="0.25">
      <c r="B43" s="267" t="s">
        <v>211</v>
      </c>
      <c r="C43" s="268">
        <f>IF(C42="ANNUAL",1,IF(C42="SEMI-ANNUAL",0.5,IF(C42="QUARTERLY",0.25,1/12)))</f>
        <v>1</v>
      </c>
      <c r="D43" s="220">
        <f t="shared" si="18"/>
        <v>38</v>
      </c>
      <c r="E43" s="223" t="str">
        <f t="shared" si="34"/>
        <v/>
      </c>
      <c r="F43" s="240" t="str">
        <f t="shared" si="20"/>
        <v/>
      </c>
      <c r="G43" s="240" t="str">
        <f t="shared" si="21"/>
        <v/>
      </c>
      <c r="H43" s="241" t="str">
        <f t="shared" si="35"/>
        <v/>
      </c>
      <c r="I43" s="242" t="str">
        <f t="shared" si="22"/>
        <v/>
      </c>
      <c r="J43" s="224" t="str">
        <f t="shared" si="23"/>
        <v/>
      </c>
      <c r="K43" s="241" t="str">
        <f t="shared" si="24"/>
        <v/>
      </c>
      <c r="L43" s="243" t="str">
        <f>IF(AE43,IF(SetDiscFactToOne,1,LinearInterpolation(CurveResults.Time,IF(ApplyBump,CurveResults.DF.Bumped,CurveResults.DFs),H43)),"")</f>
        <v/>
      </c>
      <c r="M43" s="271" t="str">
        <f t="shared" si="25"/>
        <v/>
      </c>
      <c r="O43" s="284">
        <f t="shared" si="19"/>
        <v>38</v>
      </c>
      <c r="P43" s="223" t="str">
        <f t="shared" si="26"/>
        <v/>
      </c>
      <c r="Q43" s="240" t="str">
        <f t="shared" si="36"/>
        <v/>
      </c>
      <c r="R43" s="240" t="str">
        <f t="shared" si="27"/>
        <v/>
      </c>
      <c r="S43" s="240" t="str">
        <f t="shared" si="28"/>
        <v/>
      </c>
      <c r="T43" s="241" t="str">
        <f t="shared" si="37"/>
        <v/>
      </c>
      <c r="U43" s="242" t="str">
        <f t="shared" si="29"/>
        <v/>
      </c>
      <c r="V43" s="224" t="str">
        <f>IF(AF43,LinearInterpolation(CurveResults.Time,CurveResults.USD3ML,T43)-IF(ApplyBump,0.0001,0),"")</f>
        <v/>
      </c>
      <c r="W43" s="241" t="str">
        <f t="shared" si="30"/>
        <v/>
      </c>
      <c r="X43" s="224" t="str">
        <f t="shared" si="31"/>
        <v/>
      </c>
      <c r="Y43" s="241" t="str">
        <f t="shared" si="32"/>
        <v/>
      </c>
      <c r="Z43" s="243" t="str">
        <f>IF(AF43,IF(SetDiscFactToOne,1,LinearInterpolation(CurveResults.Time,IF(ApplyBump,CurveResults.DF.Bumped,CurveResults.DFs),T43)),"")</f>
        <v/>
      </c>
      <c r="AA43" s="271" t="str">
        <f t="shared" si="33"/>
        <v/>
      </c>
      <c r="AE43" s="327" t="b">
        <f>IF(SUM(K$6:K42)+t_i&lt;=T,TRUE,FALSE)</f>
        <v>0</v>
      </c>
      <c r="AF43" s="327" t="b">
        <f>IF(SUM(Y$6:Y42)+t_j&lt;=T,TRUE,FALSE)</f>
        <v>0</v>
      </c>
    </row>
    <row r="44" spans="2:32" x14ac:dyDescent="0.25">
      <c r="B44" s="24"/>
      <c r="D44" s="220">
        <f t="shared" si="18"/>
        <v>39</v>
      </c>
      <c r="E44" s="223" t="str">
        <f t="shared" si="34"/>
        <v/>
      </c>
      <c r="F44" s="240" t="str">
        <f t="shared" si="20"/>
        <v/>
      </c>
      <c r="G44" s="240" t="str">
        <f t="shared" si="21"/>
        <v/>
      </c>
      <c r="H44" s="241" t="str">
        <f t="shared" si="35"/>
        <v/>
      </c>
      <c r="I44" s="242" t="str">
        <f t="shared" si="22"/>
        <v/>
      </c>
      <c r="J44" s="224" t="str">
        <f t="shared" si="23"/>
        <v/>
      </c>
      <c r="K44" s="241" t="str">
        <f t="shared" si="24"/>
        <v/>
      </c>
      <c r="L44" s="243" t="str">
        <f>IF(AE44,IF(SetDiscFactToOne,1,LinearInterpolation(CurveResults.Time,IF(ApplyBump,CurveResults.DF.Bumped,CurveResults.DFs),H44)),"")</f>
        <v/>
      </c>
      <c r="M44" s="271" t="str">
        <f t="shared" si="25"/>
        <v/>
      </c>
      <c r="O44" s="284">
        <f t="shared" si="19"/>
        <v>39</v>
      </c>
      <c r="P44" s="223" t="str">
        <f t="shared" si="26"/>
        <v/>
      </c>
      <c r="Q44" s="240" t="str">
        <f t="shared" si="36"/>
        <v/>
      </c>
      <c r="R44" s="240" t="str">
        <f t="shared" si="27"/>
        <v/>
      </c>
      <c r="S44" s="240" t="str">
        <f t="shared" si="28"/>
        <v/>
      </c>
      <c r="T44" s="241" t="str">
        <f t="shared" si="37"/>
        <v/>
      </c>
      <c r="U44" s="242" t="str">
        <f t="shared" si="29"/>
        <v/>
      </c>
      <c r="V44" s="224" t="str">
        <f>IF(AF44,LinearInterpolation(CurveResults.Time,CurveResults.USD3ML,T44)-IF(ApplyBump,0.0001,0),"")</f>
        <v/>
      </c>
      <c r="W44" s="241" t="str">
        <f t="shared" si="30"/>
        <v/>
      </c>
      <c r="X44" s="224" t="str">
        <f t="shared" si="31"/>
        <v/>
      </c>
      <c r="Y44" s="241" t="str">
        <f t="shared" si="32"/>
        <v/>
      </c>
      <c r="Z44" s="243" t="str">
        <f>IF(AF44,IF(SetDiscFactToOne,1,LinearInterpolation(CurveResults.Time,IF(ApplyBump,CurveResults.DF.Bumped,CurveResults.DFs),T44)),"")</f>
        <v/>
      </c>
      <c r="AA44" s="271" t="str">
        <f t="shared" si="33"/>
        <v/>
      </c>
      <c r="AE44" s="327" t="b">
        <f>IF(SUM(K$6:K43)+t_i&lt;=T,TRUE,FALSE)</f>
        <v>0</v>
      </c>
      <c r="AF44" s="327" t="b">
        <f>IF(SUM(Y$6:Y43)+t_j&lt;=T,TRUE,FALSE)</f>
        <v>0</v>
      </c>
    </row>
    <row r="45" spans="2:32" x14ac:dyDescent="0.25">
      <c r="B45" s="263" t="s">
        <v>159</v>
      </c>
      <c r="C45" s="264"/>
      <c r="D45" s="220">
        <f t="shared" si="18"/>
        <v>40</v>
      </c>
      <c r="E45" s="223" t="str">
        <f t="shared" si="34"/>
        <v/>
      </c>
      <c r="F45" s="240" t="str">
        <f t="shared" si="20"/>
        <v/>
      </c>
      <c r="G45" s="240" t="str">
        <f t="shared" si="21"/>
        <v/>
      </c>
      <c r="H45" s="241" t="str">
        <f t="shared" si="35"/>
        <v/>
      </c>
      <c r="I45" s="242" t="str">
        <f t="shared" si="22"/>
        <v/>
      </c>
      <c r="J45" s="224" t="str">
        <f t="shared" si="23"/>
        <v/>
      </c>
      <c r="K45" s="241" t="str">
        <f t="shared" si="24"/>
        <v/>
      </c>
      <c r="L45" s="243" t="str">
        <f>IF(AE45,IF(SetDiscFactToOne,1,LinearInterpolation(CurveResults.Time,IF(ApplyBump,CurveResults.DF.Bumped,CurveResults.DFs),H45)),"")</f>
        <v/>
      </c>
      <c r="M45" s="271" t="str">
        <f t="shared" si="25"/>
        <v/>
      </c>
      <c r="O45" s="284">
        <f t="shared" si="19"/>
        <v>40</v>
      </c>
      <c r="P45" s="223" t="str">
        <f t="shared" si="26"/>
        <v/>
      </c>
      <c r="Q45" s="240" t="str">
        <f t="shared" si="36"/>
        <v/>
      </c>
      <c r="R45" s="240" t="str">
        <f t="shared" si="27"/>
        <v/>
      </c>
      <c r="S45" s="240" t="str">
        <f t="shared" si="28"/>
        <v/>
      </c>
      <c r="T45" s="241" t="str">
        <f t="shared" si="37"/>
        <v/>
      </c>
      <c r="U45" s="242" t="str">
        <f t="shared" si="29"/>
        <v/>
      </c>
      <c r="V45" s="224" t="str">
        <f>IF(AF45,LinearInterpolation(CurveResults.Time,CurveResults.USD3ML,T45)-IF(ApplyBump,0.0001,0),"")</f>
        <v/>
      </c>
      <c r="W45" s="241" t="str">
        <f t="shared" si="30"/>
        <v/>
      </c>
      <c r="X45" s="224" t="str">
        <f t="shared" si="31"/>
        <v/>
      </c>
      <c r="Y45" s="241" t="str">
        <f t="shared" si="32"/>
        <v/>
      </c>
      <c r="Z45" s="243" t="str">
        <f>IF(AF45,IF(SetDiscFactToOne,1,LinearInterpolation(CurveResults.Time,IF(ApplyBump,CurveResults.DF.Bumped,CurveResults.DFs),T45)),"")</f>
        <v/>
      </c>
      <c r="AA45" s="271" t="str">
        <f t="shared" si="33"/>
        <v/>
      </c>
      <c r="AE45" s="327" t="b">
        <f>IF(SUM(K$6:K44)+t_i&lt;=T,TRUE,FALSE)</f>
        <v>0</v>
      </c>
      <c r="AF45" s="327" t="b">
        <f>IF(SUM(Y$6:Y44)+t_j&lt;=T,TRUE,FALSE)</f>
        <v>0</v>
      </c>
    </row>
    <row r="46" spans="2:32" x14ac:dyDescent="0.25">
      <c r="B46" s="269" t="s">
        <v>209</v>
      </c>
      <c r="C46" s="244" t="str">
        <f ca="1">INDIRECT(Currency&amp;".Float.Period")</f>
        <v>QUARTERLY</v>
      </c>
      <c r="D46" s="220">
        <f t="shared" si="18"/>
        <v>41</v>
      </c>
      <c r="E46" s="223" t="str">
        <f t="shared" si="34"/>
        <v/>
      </c>
      <c r="F46" s="240" t="str">
        <f t="shared" si="20"/>
        <v/>
      </c>
      <c r="G46" s="240" t="str">
        <f t="shared" si="21"/>
        <v/>
      </c>
      <c r="H46" s="241" t="str">
        <f t="shared" si="35"/>
        <v/>
      </c>
      <c r="I46" s="242" t="str">
        <f t="shared" si="22"/>
        <v/>
      </c>
      <c r="J46" s="224" t="str">
        <f t="shared" si="23"/>
        <v/>
      </c>
      <c r="K46" s="241" t="str">
        <f t="shared" si="24"/>
        <v/>
      </c>
      <c r="L46" s="243" t="str">
        <f>IF(AE46,IF(SetDiscFactToOne,1,LinearInterpolation(CurveResults.Time,IF(ApplyBump,CurveResults.DF.Bumped,CurveResults.DFs),H46)),"")</f>
        <v/>
      </c>
      <c r="M46" s="271" t="str">
        <f t="shared" si="25"/>
        <v/>
      </c>
      <c r="O46" s="284">
        <f t="shared" si="19"/>
        <v>41</v>
      </c>
      <c r="P46" s="223" t="str">
        <f t="shared" si="26"/>
        <v/>
      </c>
      <c r="Q46" s="240" t="str">
        <f t="shared" si="36"/>
        <v/>
      </c>
      <c r="R46" s="240" t="str">
        <f t="shared" si="27"/>
        <v/>
      </c>
      <c r="S46" s="240" t="str">
        <f t="shared" si="28"/>
        <v/>
      </c>
      <c r="T46" s="241" t="str">
        <f t="shared" si="37"/>
        <v/>
      </c>
      <c r="U46" s="242" t="str">
        <f t="shared" si="29"/>
        <v/>
      </c>
      <c r="V46" s="224" t="str">
        <f>IF(AF46,LinearInterpolation(CurveResults.Time,CurveResults.USD3ML,T46)-IF(ApplyBump,0.0001,0),"")</f>
        <v/>
      </c>
      <c r="W46" s="241" t="str">
        <f t="shared" si="30"/>
        <v/>
      </c>
      <c r="X46" s="224" t="str">
        <f t="shared" si="31"/>
        <v/>
      </c>
      <c r="Y46" s="241" t="str">
        <f t="shared" si="32"/>
        <v/>
      </c>
      <c r="Z46" s="243" t="str">
        <f>IF(AF46,IF(SetDiscFactToOne,1,LinearInterpolation(CurveResults.Time,IF(ApplyBump,CurveResults.DF.Bumped,CurveResults.DFs),T46)),"")</f>
        <v/>
      </c>
      <c r="AA46" s="271" t="str">
        <f t="shared" si="33"/>
        <v/>
      </c>
      <c r="AE46" s="327" t="b">
        <f>IF(SUM(K$6:K45)+t_i&lt;=T,TRUE,FALSE)</f>
        <v>0</v>
      </c>
      <c r="AF46" s="327" t="b">
        <f>IF(SUM(Y$6:Y45)+t_j&lt;=T,TRUE,FALSE)</f>
        <v>0</v>
      </c>
    </row>
    <row r="47" spans="2:32" x14ac:dyDescent="0.25">
      <c r="B47" s="269" t="s">
        <v>210</v>
      </c>
      <c r="C47" s="244" t="str">
        <f>IF(OverrideMarketFrequency,"ANNUAL",C46)</f>
        <v>ANNUAL</v>
      </c>
      <c r="D47" s="220">
        <f t="shared" si="18"/>
        <v>42</v>
      </c>
      <c r="E47" s="223" t="str">
        <f t="shared" si="34"/>
        <v/>
      </c>
      <c r="F47" s="240" t="str">
        <f t="shared" si="20"/>
        <v/>
      </c>
      <c r="G47" s="240" t="str">
        <f t="shared" si="21"/>
        <v/>
      </c>
      <c r="H47" s="241" t="str">
        <f t="shared" si="35"/>
        <v/>
      </c>
      <c r="I47" s="242" t="str">
        <f t="shared" si="22"/>
        <v/>
      </c>
      <c r="J47" s="224" t="str">
        <f t="shared" si="23"/>
        <v/>
      </c>
      <c r="K47" s="241" t="str">
        <f t="shared" si="24"/>
        <v/>
      </c>
      <c r="L47" s="243" t="str">
        <f>IF(AE47,IF(SetDiscFactToOne,1,LinearInterpolation(CurveResults.Time,IF(ApplyBump,CurveResults.DF.Bumped,CurveResults.DFs),H47)),"")</f>
        <v/>
      </c>
      <c r="M47" s="271" t="str">
        <f t="shared" si="25"/>
        <v/>
      </c>
      <c r="O47" s="284">
        <f t="shared" si="19"/>
        <v>42</v>
      </c>
      <c r="P47" s="223" t="str">
        <f t="shared" si="26"/>
        <v/>
      </c>
      <c r="Q47" s="240" t="str">
        <f t="shared" si="36"/>
        <v/>
      </c>
      <c r="R47" s="240" t="str">
        <f t="shared" si="27"/>
        <v/>
      </c>
      <c r="S47" s="240" t="str">
        <f t="shared" si="28"/>
        <v/>
      </c>
      <c r="T47" s="241" t="str">
        <f t="shared" si="37"/>
        <v/>
      </c>
      <c r="U47" s="242" t="str">
        <f t="shared" si="29"/>
        <v/>
      </c>
      <c r="V47" s="224" t="str">
        <f>IF(AF47,LinearInterpolation(CurveResults.Time,CurveResults.USD3ML,T47)-IF(ApplyBump,0.0001,0),"")</f>
        <v/>
      </c>
      <c r="W47" s="241" t="str">
        <f t="shared" si="30"/>
        <v/>
      </c>
      <c r="X47" s="224" t="str">
        <f t="shared" si="31"/>
        <v/>
      </c>
      <c r="Y47" s="241" t="str">
        <f t="shared" si="32"/>
        <v/>
      </c>
      <c r="Z47" s="243" t="str">
        <f>IF(AF47,IF(SetDiscFactToOne,1,LinearInterpolation(CurveResults.Time,IF(ApplyBump,CurveResults.DF.Bumped,CurveResults.DFs),T47)),"")</f>
        <v/>
      </c>
      <c r="AA47" s="271" t="str">
        <f t="shared" si="33"/>
        <v/>
      </c>
      <c r="AE47" s="327" t="b">
        <f>IF(SUM(K$6:K46)+t_i&lt;=T,TRUE,FALSE)</f>
        <v>0</v>
      </c>
      <c r="AF47" s="327" t="b">
        <f>IF(SUM(Y$6:Y46)+t_j&lt;=T,TRUE,FALSE)</f>
        <v>0</v>
      </c>
    </row>
    <row r="48" spans="2:32" x14ac:dyDescent="0.25">
      <c r="B48" s="267" t="s">
        <v>211</v>
      </c>
      <c r="C48" s="268">
        <f>IF(C47="ANNUAL",1,IF(C47="SEMI-ANNUAL",0.5,IF(C47="QUARTERLY",0.25,1/12)))</f>
        <v>1</v>
      </c>
      <c r="D48" s="220">
        <f t="shared" si="18"/>
        <v>43</v>
      </c>
      <c r="E48" s="223" t="str">
        <f t="shared" si="34"/>
        <v/>
      </c>
      <c r="F48" s="240" t="str">
        <f t="shared" si="20"/>
        <v/>
      </c>
      <c r="G48" s="240" t="str">
        <f t="shared" si="21"/>
        <v/>
      </c>
      <c r="H48" s="241" t="str">
        <f t="shared" si="35"/>
        <v/>
      </c>
      <c r="I48" s="242" t="str">
        <f t="shared" si="22"/>
        <v/>
      </c>
      <c r="J48" s="224" t="str">
        <f t="shared" si="23"/>
        <v/>
      </c>
      <c r="K48" s="241" t="str">
        <f t="shared" si="24"/>
        <v/>
      </c>
      <c r="L48" s="243" t="str">
        <f>IF(AE48,IF(SetDiscFactToOne,1,LinearInterpolation(CurveResults.Time,IF(ApplyBump,CurveResults.DF.Bumped,CurveResults.DFs),H48)),"")</f>
        <v/>
      </c>
      <c r="M48" s="271" t="str">
        <f t="shared" si="25"/>
        <v/>
      </c>
      <c r="O48" s="284">
        <f t="shared" si="19"/>
        <v>43</v>
      </c>
      <c r="P48" s="223" t="str">
        <f t="shared" si="26"/>
        <v/>
      </c>
      <c r="Q48" s="240" t="str">
        <f t="shared" si="36"/>
        <v/>
      </c>
      <c r="R48" s="240" t="str">
        <f t="shared" si="27"/>
        <v/>
      </c>
      <c r="S48" s="240" t="str">
        <f t="shared" si="28"/>
        <v/>
      </c>
      <c r="T48" s="241" t="str">
        <f t="shared" si="37"/>
        <v/>
      </c>
      <c r="U48" s="242" t="str">
        <f t="shared" si="29"/>
        <v/>
      </c>
      <c r="V48" s="224" t="str">
        <f>IF(AF48,LinearInterpolation(CurveResults.Time,CurveResults.USD3ML,T48)-IF(ApplyBump,0.0001,0),"")</f>
        <v/>
      </c>
      <c r="W48" s="241" t="str">
        <f t="shared" si="30"/>
        <v/>
      </c>
      <c r="X48" s="224" t="str">
        <f t="shared" si="31"/>
        <v/>
      </c>
      <c r="Y48" s="241" t="str">
        <f t="shared" si="32"/>
        <v/>
      </c>
      <c r="Z48" s="243" t="str">
        <f>IF(AF48,IF(SetDiscFactToOne,1,LinearInterpolation(CurveResults.Time,IF(ApplyBump,CurveResults.DF.Bumped,CurveResults.DFs),T48)),"")</f>
        <v/>
      </c>
      <c r="AA48" s="271" t="str">
        <f t="shared" si="33"/>
        <v/>
      </c>
      <c r="AE48" s="327" t="b">
        <f>IF(SUM(K$6:K47)+t_i&lt;=T,TRUE,FALSE)</f>
        <v>0</v>
      </c>
      <c r="AF48" s="327" t="b">
        <f>IF(SUM(Y$6:Y47)+t_j&lt;=T,TRUE,FALSE)</f>
        <v>0</v>
      </c>
    </row>
    <row r="49" spans="2:32" x14ac:dyDescent="0.25">
      <c r="D49" s="220">
        <f t="shared" si="18"/>
        <v>44</v>
      </c>
      <c r="E49" s="223" t="str">
        <f t="shared" si="34"/>
        <v/>
      </c>
      <c r="F49" s="240" t="str">
        <f t="shared" si="20"/>
        <v/>
      </c>
      <c r="G49" s="240" t="str">
        <f t="shared" si="21"/>
        <v/>
      </c>
      <c r="H49" s="241" t="str">
        <f t="shared" si="35"/>
        <v/>
      </c>
      <c r="I49" s="242" t="str">
        <f t="shared" si="22"/>
        <v/>
      </c>
      <c r="J49" s="224" t="str">
        <f t="shared" si="23"/>
        <v/>
      </c>
      <c r="K49" s="241" t="str">
        <f t="shared" si="24"/>
        <v/>
      </c>
      <c r="L49" s="243" t="str">
        <f>IF(AE49,IF(SetDiscFactToOne,1,LinearInterpolation(CurveResults.Time,IF(ApplyBump,CurveResults.DF.Bumped,CurveResults.DFs),H49)),"")</f>
        <v/>
      </c>
      <c r="M49" s="271" t="str">
        <f t="shared" si="25"/>
        <v/>
      </c>
      <c r="O49" s="284">
        <f t="shared" si="19"/>
        <v>44</v>
      </c>
      <c r="P49" s="223" t="str">
        <f t="shared" si="26"/>
        <v/>
      </c>
      <c r="Q49" s="240" t="str">
        <f t="shared" si="36"/>
        <v/>
      </c>
      <c r="R49" s="240" t="str">
        <f t="shared" si="27"/>
        <v/>
      </c>
      <c r="S49" s="240" t="str">
        <f t="shared" si="28"/>
        <v/>
      </c>
      <c r="T49" s="241" t="str">
        <f t="shared" si="37"/>
        <v/>
      </c>
      <c r="U49" s="242" t="str">
        <f t="shared" si="29"/>
        <v/>
      </c>
      <c r="V49" s="224" t="str">
        <f>IF(AF49,LinearInterpolation(CurveResults.Time,CurveResults.USD3ML,T49)-IF(ApplyBump,0.0001,0),"")</f>
        <v/>
      </c>
      <c r="W49" s="241" t="str">
        <f t="shared" si="30"/>
        <v/>
      </c>
      <c r="X49" s="224" t="str">
        <f t="shared" si="31"/>
        <v/>
      </c>
      <c r="Y49" s="241" t="str">
        <f t="shared" si="32"/>
        <v/>
      </c>
      <c r="Z49" s="243" t="str">
        <f>IF(AF49,IF(SetDiscFactToOne,1,LinearInterpolation(CurveResults.Time,IF(ApplyBump,CurveResults.DF.Bumped,CurveResults.DFs),T49)),"")</f>
        <v/>
      </c>
      <c r="AA49" s="271" t="str">
        <f t="shared" si="33"/>
        <v/>
      </c>
      <c r="AE49" s="327" t="b">
        <f>IF(SUM(K$6:K48)+t_i&lt;=T,TRUE,FALSE)</f>
        <v>0</v>
      </c>
      <c r="AF49" s="327" t="b">
        <f>IF(SUM(Y$6:Y48)+t_j&lt;=T,TRUE,FALSE)</f>
        <v>0</v>
      </c>
    </row>
    <row r="50" spans="2:32" x14ac:dyDescent="0.25">
      <c r="B50" s="127" t="s">
        <v>212</v>
      </c>
      <c r="D50" s="220">
        <f t="shared" si="18"/>
        <v>45</v>
      </c>
      <c r="E50" s="223" t="str">
        <f t="shared" si="34"/>
        <v/>
      </c>
      <c r="F50" s="240" t="str">
        <f t="shared" si="20"/>
        <v/>
      </c>
      <c r="G50" s="240" t="str">
        <f t="shared" si="21"/>
        <v/>
      </c>
      <c r="H50" s="241" t="str">
        <f t="shared" si="35"/>
        <v/>
      </c>
      <c r="I50" s="242" t="str">
        <f t="shared" si="22"/>
        <v/>
      </c>
      <c r="J50" s="224" t="str">
        <f t="shared" si="23"/>
        <v/>
      </c>
      <c r="K50" s="241" t="str">
        <f t="shared" si="24"/>
        <v/>
      </c>
      <c r="L50" s="243" t="str">
        <f>IF(AE50,IF(SetDiscFactToOne,1,LinearInterpolation(CurveResults.Time,IF(ApplyBump,CurveResults.DF.Bumped,CurveResults.DFs),H50)),"")</f>
        <v/>
      </c>
      <c r="M50" s="271" t="str">
        <f t="shared" si="25"/>
        <v/>
      </c>
      <c r="O50" s="284">
        <f t="shared" si="19"/>
        <v>45</v>
      </c>
      <c r="P50" s="223" t="str">
        <f t="shared" si="26"/>
        <v/>
      </c>
      <c r="Q50" s="240" t="str">
        <f t="shared" si="36"/>
        <v/>
      </c>
      <c r="R50" s="240" t="str">
        <f t="shared" si="27"/>
        <v/>
      </c>
      <c r="S50" s="240" t="str">
        <f t="shared" si="28"/>
        <v/>
      </c>
      <c r="T50" s="241" t="str">
        <f t="shared" si="37"/>
        <v/>
      </c>
      <c r="U50" s="242" t="str">
        <f t="shared" si="29"/>
        <v/>
      </c>
      <c r="V50" s="224" t="str">
        <f>IF(AF50,LinearInterpolation(CurveResults.Time,CurveResults.USD3ML,T50)-IF(ApplyBump,0.0001,0),"")</f>
        <v/>
      </c>
      <c r="W50" s="241" t="str">
        <f t="shared" si="30"/>
        <v/>
      </c>
      <c r="X50" s="224" t="str">
        <f t="shared" si="31"/>
        <v/>
      </c>
      <c r="Y50" s="241" t="str">
        <f t="shared" si="32"/>
        <v/>
      </c>
      <c r="Z50" s="243" t="str">
        <f>IF(AF50,IF(SetDiscFactToOne,1,LinearInterpolation(CurveResults.Time,IF(ApplyBump,CurveResults.DF.Bumped,CurveResults.DFs),T50)),"")</f>
        <v/>
      </c>
      <c r="AA50" s="271" t="str">
        <f t="shared" si="33"/>
        <v/>
      </c>
      <c r="AE50" s="327" t="b">
        <f>IF(SUM(K$6:K49)+t_i&lt;=T,TRUE,FALSE)</f>
        <v>0</v>
      </c>
      <c r="AF50" s="327" t="b">
        <f>IF(SUM(Y$6:Y49)+t_j&lt;=T,TRUE,FALSE)</f>
        <v>0</v>
      </c>
    </row>
    <row r="51" spans="2:32" x14ac:dyDescent="0.25">
      <c r="B51" s="263" t="s">
        <v>191</v>
      </c>
      <c r="C51" s="264"/>
      <c r="D51" s="220">
        <f t="shared" si="18"/>
        <v>46</v>
      </c>
      <c r="E51" s="223" t="str">
        <f t="shared" si="34"/>
        <v/>
      </c>
      <c r="F51" s="240" t="str">
        <f t="shared" si="20"/>
        <v/>
      </c>
      <c r="G51" s="240" t="str">
        <f t="shared" si="21"/>
        <v/>
      </c>
      <c r="H51" s="241" t="str">
        <f t="shared" si="35"/>
        <v/>
      </c>
      <c r="I51" s="242" t="str">
        <f t="shared" si="22"/>
        <v/>
      </c>
      <c r="J51" s="224" t="str">
        <f t="shared" si="23"/>
        <v/>
      </c>
      <c r="K51" s="241" t="str">
        <f t="shared" si="24"/>
        <v/>
      </c>
      <c r="L51" s="243" t="str">
        <f>IF(AE51,IF(SetDiscFactToOne,1,LinearInterpolation(CurveResults.Time,IF(ApplyBump,CurveResults.DF.Bumped,CurveResults.DFs),H51)),"")</f>
        <v/>
      </c>
      <c r="M51" s="271" t="str">
        <f t="shared" si="25"/>
        <v/>
      </c>
      <c r="O51" s="284">
        <f t="shared" si="19"/>
        <v>46</v>
      </c>
      <c r="P51" s="223" t="str">
        <f t="shared" si="26"/>
        <v/>
      </c>
      <c r="Q51" s="240" t="str">
        <f t="shared" si="36"/>
        <v/>
      </c>
      <c r="R51" s="240" t="str">
        <f t="shared" si="27"/>
        <v/>
      </c>
      <c r="S51" s="240" t="str">
        <f t="shared" si="28"/>
        <v/>
      </c>
      <c r="T51" s="241" t="str">
        <f t="shared" si="37"/>
        <v/>
      </c>
      <c r="U51" s="242" t="str">
        <f t="shared" si="29"/>
        <v/>
      </c>
      <c r="V51" s="224" t="str">
        <f>IF(AF51,LinearInterpolation(CurveResults.Time,CurveResults.USD3ML,T51)-IF(ApplyBump,0.0001,0),"")</f>
        <v/>
      </c>
      <c r="W51" s="241" t="str">
        <f t="shared" si="30"/>
        <v/>
      </c>
      <c r="X51" s="224" t="str">
        <f t="shared" si="31"/>
        <v/>
      </c>
      <c r="Y51" s="241" t="str">
        <f t="shared" si="32"/>
        <v/>
      </c>
      <c r="Z51" s="243" t="str">
        <f>IF(AF51,IF(SetDiscFactToOne,1,LinearInterpolation(CurveResults.Time,IF(ApplyBump,CurveResults.DF.Bumped,CurveResults.DFs),T51)),"")</f>
        <v/>
      </c>
      <c r="AA51" s="271" t="str">
        <f t="shared" si="33"/>
        <v/>
      </c>
      <c r="AE51" s="327" t="b">
        <f>IF(SUM(K$6:K50)+t_i&lt;=T,TRUE,FALSE)</f>
        <v>0</v>
      </c>
      <c r="AF51" s="327" t="b">
        <f>IF(SUM(Y$6:Y50)+t_j&lt;=T,TRUE,FALSE)</f>
        <v>0</v>
      </c>
    </row>
    <row r="52" spans="2:32" x14ac:dyDescent="0.25">
      <c r="B52" s="231" t="s">
        <v>193</v>
      </c>
      <c r="C52" s="270">
        <f>Phi*SUM(PVlets_Fixed)</f>
        <v>-47881.78659674291</v>
      </c>
      <c r="D52" s="220">
        <f t="shared" si="18"/>
        <v>47</v>
      </c>
      <c r="E52" s="223" t="str">
        <f t="shared" si="34"/>
        <v/>
      </c>
      <c r="F52" s="240" t="str">
        <f t="shared" si="20"/>
        <v/>
      </c>
      <c r="G52" s="240" t="str">
        <f t="shared" si="21"/>
        <v/>
      </c>
      <c r="H52" s="241" t="str">
        <f t="shared" si="35"/>
        <v/>
      </c>
      <c r="I52" s="242" t="str">
        <f t="shared" si="22"/>
        <v/>
      </c>
      <c r="J52" s="224" t="str">
        <f t="shared" si="23"/>
        <v/>
      </c>
      <c r="K52" s="241" t="str">
        <f t="shared" si="24"/>
        <v/>
      </c>
      <c r="L52" s="243" t="str">
        <f>IF(AE52,IF(SetDiscFactToOne,1,LinearInterpolation(CurveResults.Time,IF(ApplyBump,CurveResults.DF.Bumped,CurveResults.DFs),H52)),"")</f>
        <v/>
      </c>
      <c r="M52" s="271" t="str">
        <f t="shared" si="25"/>
        <v/>
      </c>
      <c r="O52" s="284">
        <f t="shared" si="19"/>
        <v>47</v>
      </c>
      <c r="P52" s="223" t="str">
        <f t="shared" si="26"/>
        <v/>
      </c>
      <c r="Q52" s="240" t="str">
        <f t="shared" si="36"/>
        <v/>
      </c>
      <c r="R52" s="240" t="str">
        <f t="shared" si="27"/>
        <v/>
      </c>
      <c r="S52" s="240" t="str">
        <f t="shared" si="28"/>
        <v/>
      </c>
      <c r="T52" s="241" t="str">
        <f t="shared" si="37"/>
        <v/>
      </c>
      <c r="U52" s="242" t="str">
        <f t="shared" si="29"/>
        <v/>
      </c>
      <c r="V52" s="224" t="str">
        <f>IF(AF52,LinearInterpolation(CurveResults.Time,CurveResults.USD3ML,T52)-IF(ApplyBump,0.0001,0),"")</f>
        <v/>
      </c>
      <c r="W52" s="241" t="str">
        <f t="shared" si="30"/>
        <v/>
      </c>
      <c r="X52" s="224" t="str">
        <f t="shared" si="31"/>
        <v/>
      </c>
      <c r="Y52" s="241" t="str">
        <f t="shared" si="32"/>
        <v/>
      </c>
      <c r="Z52" s="243" t="str">
        <f>IF(AF52,IF(SetDiscFactToOne,1,LinearInterpolation(CurveResults.Time,IF(ApplyBump,CurveResults.DF.Bumped,CurveResults.DFs),T52)),"")</f>
        <v/>
      </c>
      <c r="AA52" s="271" t="str">
        <f t="shared" si="33"/>
        <v/>
      </c>
      <c r="AE52" s="327" t="b">
        <f>IF(SUM(K$6:K51)+t_i&lt;=T,TRUE,FALSE)</f>
        <v>0</v>
      </c>
      <c r="AF52" s="327" t="b">
        <f>IF(SUM(Y$6:Y51)+t_j&lt;=T,TRUE,FALSE)</f>
        <v>0</v>
      </c>
    </row>
    <row r="53" spans="2:32" x14ac:dyDescent="0.25">
      <c r="B53" s="233" t="s">
        <v>194</v>
      </c>
      <c r="C53" s="271">
        <f>-Phi*SUM(PVlets_Float)</f>
        <v>75348.215839613928</v>
      </c>
      <c r="D53" s="220">
        <f t="shared" si="18"/>
        <v>48</v>
      </c>
      <c r="E53" s="223" t="str">
        <f t="shared" si="34"/>
        <v/>
      </c>
      <c r="F53" s="240" t="str">
        <f t="shared" si="20"/>
        <v/>
      </c>
      <c r="G53" s="240" t="str">
        <f t="shared" si="21"/>
        <v/>
      </c>
      <c r="H53" s="241" t="str">
        <f t="shared" si="35"/>
        <v/>
      </c>
      <c r="I53" s="242" t="str">
        <f t="shared" si="22"/>
        <v/>
      </c>
      <c r="J53" s="224" t="str">
        <f t="shared" si="23"/>
        <v/>
      </c>
      <c r="K53" s="241" t="str">
        <f t="shared" si="24"/>
        <v/>
      </c>
      <c r="L53" s="243" t="str">
        <f>IF(AE53,IF(SetDiscFactToOne,1,LinearInterpolation(CurveResults.Time,IF(ApplyBump,CurveResults.DF.Bumped,CurveResults.DFs),H53)),"")</f>
        <v/>
      </c>
      <c r="M53" s="271" t="str">
        <f t="shared" si="25"/>
        <v/>
      </c>
      <c r="O53" s="284">
        <f t="shared" si="19"/>
        <v>48</v>
      </c>
      <c r="P53" s="223" t="str">
        <f t="shared" si="26"/>
        <v/>
      </c>
      <c r="Q53" s="240" t="str">
        <f t="shared" si="36"/>
        <v/>
      </c>
      <c r="R53" s="240" t="str">
        <f t="shared" si="27"/>
        <v/>
      </c>
      <c r="S53" s="240" t="str">
        <f t="shared" si="28"/>
        <v/>
      </c>
      <c r="T53" s="241" t="str">
        <f t="shared" si="37"/>
        <v/>
      </c>
      <c r="U53" s="242" t="str">
        <f t="shared" si="29"/>
        <v/>
      </c>
      <c r="V53" s="224" t="str">
        <f>IF(AF53,LinearInterpolation(CurveResults.Time,CurveResults.USD3ML,T53)-IF(ApplyBump,0.0001,0),"")</f>
        <v/>
      </c>
      <c r="W53" s="241" t="str">
        <f t="shared" si="30"/>
        <v/>
      </c>
      <c r="X53" s="224" t="str">
        <f t="shared" si="31"/>
        <v/>
      </c>
      <c r="Y53" s="241" t="str">
        <f t="shared" si="32"/>
        <v/>
      </c>
      <c r="Z53" s="243" t="str">
        <f>IF(AF53,IF(SetDiscFactToOne,1,LinearInterpolation(CurveResults.Time,IF(ApplyBump,CurveResults.DF.Bumped,CurveResults.DFs),T53)),"")</f>
        <v/>
      </c>
      <c r="AA53" s="271" t="str">
        <f t="shared" si="33"/>
        <v/>
      </c>
      <c r="AE53" s="327" t="b">
        <f>IF(SUM(K$6:K52)+t_i&lt;=T,TRUE,FALSE)</f>
        <v>0</v>
      </c>
      <c r="AF53" s="327" t="b">
        <f>IF(SUM(Y$6:Y52)+t_j&lt;=T,TRUE,FALSE)</f>
        <v>0</v>
      </c>
    </row>
    <row r="54" spans="2:32" x14ac:dyDescent="0.25">
      <c r="B54" s="233" t="s">
        <v>213</v>
      </c>
      <c r="C54" s="271">
        <f>-Phi*SUMPRODUCT(U6:U55,W6:W55,Y6:Y55,Z6:Z55)/10000</f>
        <v>0</v>
      </c>
      <c r="D54" s="220">
        <f t="shared" si="18"/>
        <v>49</v>
      </c>
      <c r="E54" s="223" t="str">
        <f t="shared" si="34"/>
        <v/>
      </c>
      <c r="F54" s="240" t="str">
        <f t="shared" si="20"/>
        <v/>
      </c>
      <c r="G54" s="240" t="str">
        <f t="shared" si="21"/>
        <v/>
      </c>
      <c r="H54" s="241" t="str">
        <f t="shared" si="35"/>
        <v/>
      </c>
      <c r="I54" s="242" t="str">
        <f t="shared" si="22"/>
        <v/>
      </c>
      <c r="J54" s="224" t="str">
        <f t="shared" si="23"/>
        <v/>
      </c>
      <c r="K54" s="241" t="str">
        <f t="shared" si="24"/>
        <v/>
      </c>
      <c r="L54" s="243" t="str">
        <f>IF(AE54,IF(SetDiscFactToOne,1,LinearInterpolation(CurveResults.Time,IF(ApplyBump,CurveResults.DF.Bumped,CurveResults.DFs),H54)),"")</f>
        <v/>
      </c>
      <c r="M54" s="271" t="str">
        <f t="shared" si="25"/>
        <v/>
      </c>
      <c r="O54" s="284">
        <f t="shared" si="19"/>
        <v>49</v>
      </c>
      <c r="P54" s="223" t="str">
        <f t="shared" si="26"/>
        <v/>
      </c>
      <c r="Q54" s="240" t="str">
        <f t="shared" si="36"/>
        <v/>
      </c>
      <c r="R54" s="240" t="str">
        <f t="shared" si="27"/>
        <v/>
      </c>
      <c r="S54" s="240" t="str">
        <f t="shared" si="28"/>
        <v/>
      </c>
      <c r="T54" s="241" t="str">
        <f t="shared" si="37"/>
        <v/>
      </c>
      <c r="U54" s="242" t="str">
        <f t="shared" si="29"/>
        <v/>
      </c>
      <c r="V54" s="224" t="str">
        <f>IF(AF54,LinearInterpolation(CurveResults.Time,CurveResults.USD3ML,T54)-IF(ApplyBump,0.0001,0),"")</f>
        <v/>
      </c>
      <c r="W54" s="241" t="str">
        <f t="shared" si="30"/>
        <v/>
      </c>
      <c r="X54" s="224" t="str">
        <f t="shared" si="31"/>
        <v/>
      </c>
      <c r="Y54" s="241" t="str">
        <f t="shared" si="32"/>
        <v/>
      </c>
      <c r="Z54" s="243" t="str">
        <f>IF(AF54,IF(SetDiscFactToOne,1,LinearInterpolation(CurveResults.Time,IF(ApplyBump,CurveResults.DF.Bumped,CurveResults.DFs),T54)),"")</f>
        <v/>
      </c>
      <c r="AA54" s="271" t="str">
        <f t="shared" si="33"/>
        <v/>
      </c>
      <c r="AE54" s="327" t="b">
        <f>IF(SUM(K$6:K53)+t_i&lt;=T,TRUE,FALSE)</f>
        <v>0</v>
      </c>
      <c r="AF54" s="327" t="b">
        <f>IF(SUM(Y$6:Y53)+t_j&lt;=T,TRUE,FALSE)</f>
        <v>0</v>
      </c>
    </row>
    <row r="55" spans="2:32" x14ac:dyDescent="0.25">
      <c r="B55" s="233" t="s">
        <v>214</v>
      </c>
      <c r="C55" s="271">
        <f>PV_FixedLeg+PV_FloatLeg</f>
        <v>27466.429242871018</v>
      </c>
      <c r="D55" s="220">
        <f t="shared" si="18"/>
        <v>50</v>
      </c>
      <c r="E55" s="225" t="str">
        <f t="shared" si="34"/>
        <v/>
      </c>
      <c r="F55" s="272" t="str">
        <f t="shared" si="20"/>
        <v/>
      </c>
      <c r="G55" s="272" t="str">
        <f t="shared" si="21"/>
        <v/>
      </c>
      <c r="H55" s="273" t="str">
        <f t="shared" si="35"/>
        <v/>
      </c>
      <c r="I55" s="274" t="str">
        <f t="shared" si="22"/>
        <v/>
      </c>
      <c r="J55" s="226" t="str">
        <f t="shared" si="23"/>
        <v/>
      </c>
      <c r="K55" s="273" t="str">
        <f t="shared" si="24"/>
        <v/>
      </c>
      <c r="L55" s="275" t="str">
        <f>IF(AE55,IF(SetDiscFactToOne,1,LinearInterpolation(CurveResults.Time,IF(ApplyBump,CurveResults.DF.Bumped,CurveResults.DFs),H55)),"")</f>
        <v/>
      </c>
      <c r="M55" s="277" t="str">
        <f t="shared" si="25"/>
        <v/>
      </c>
      <c r="O55" s="284">
        <f t="shared" si="19"/>
        <v>50</v>
      </c>
      <c r="P55" s="225" t="str">
        <f t="shared" si="26"/>
        <v/>
      </c>
      <c r="Q55" s="272" t="str">
        <f t="shared" si="36"/>
        <v/>
      </c>
      <c r="R55" s="272" t="str">
        <f t="shared" si="27"/>
        <v/>
      </c>
      <c r="S55" s="272" t="str">
        <f t="shared" si="28"/>
        <v/>
      </c>
      <c r="T55" s="273" t="str">
        <f t="shared" si="37"/>
        <v/>
      </c>
      <c r="U55" s="274" t="str">
        <f t="shared" si="29"/>
        <v/>
      </c>
      <c r="V55" s="226" t="str">
        <f>IF(AF55,LinearInterpolation(CurveResults.Time,CurveResults.USD3ML,T55)-IF(ApplyBump,0.0001,0),"")</f>
        <v/>
      </c>
      <c r="W55" s="273" t="str">
        <f t="shared" si="30"/>
        <v/>
      </c>
      <c r="X55" s="226" t="str">
        <f t="shared" si="31"/>
        <v/>
      </c>
      <c r="Y55" s="273" t="str">
        <f t="shared" si="32"/>
        <v/>
      </c>
      <c r="Z55" s="275" t="str">
        <f>IF(AF55,IF(SetDiscFactToOne,1,LinearInterpolation(CurveResults.Time,IF(ApplyBump,CurveResults.DF.Bumped,CurveResults.DFs),T55)),"")</f>
        <v/>
      </c>
      <c r="AA55" s="277" t="str">
        <f t="shared" si="33"/>
        <v/>
      </c>
      <c r="AE55" s="328" t="b">
        <f>IF(SUM(K$6:K54)+t_i&lt;=T,TRUE,FALSE)</f>
        <v>0</v>
      </c>
      <c r="AF55" s="328" t="b">
        <f>IF(SUM(Y$6:Y54)+t_j&lt;=T,TRUE,FALSE)</f>
        <v>0</v>
      </c>
    </row>
    <row r="56" spans="2:32" x14ac:dyDescent="0.25">
      <c r="B56" s="248" t="s">
        <v>215</v>
      </c>
      <c r="C56" s="227">
        <f>ABS(PV_FloatLeg)/Annuity_Fixed</f>
        <v>1.5736299999453109E-2</v>
      </c>
    </row>
    <row r="58" spans="2:32" x14ac:dyDescent="0.25">
      <c r="B58" s="263" t="s">
        <v>216</v>
      </c>
      <c r="C58" s="264"/>
    </row>
    <row r="59" spans="2:32" ht="17.25" x14ac:dyDescent="0.25">
      <c r="B59" s="233" t="s">
        <v>217</v>
      </c>
      <c r="C59" s="276">
        <f>SUMPRODUCT(K6:K55,L6:L55)</f>
        <v>4.7881786596742915</v>
      </c>
    </row>
    <row r="60" spans="2:32" ht="17.25" x14ac:dyDescent="0.25">
      <c r="B60" s="233" t="s">
        <v>218</v>
      </c>
      <c r="C60" s="276">
        <f>SUMPRODUCT(Y6:Y55,Z6:Z55)</f>
        <v>4.7881786596742915</v>
      </c>
    </row>
    <row r="61" spans="2:32" ht="18" x14ac:dyDescent="0.25">
      <c r="B61" s="233" t="s">
        <v>219</v>
      </c>
      <c r="C61" s="271">
        <f>SUMPRODUCT(K6:K55,L6:L55,I6:I55)</f>
        <v>4788178.6596742906</v>
      </c>
    </row>
    <row r="62" spans="2:32" ht="18" x14ac:dyDescent="0.25">
      <c r="B62" s="248" t="s">
        <v>220</v>
      </c>
      <c r="C62" s="277">
        <f>SUMPRODUCT(Y6:Y55,Z6:Z55,U6:U55)</f>
        <v>4788178.6596742906</v>
      </c>
    </row>
    <row r="64" spans="2:32" x14ac:dyDescent="0.25">
      <c r="B64" s="263" t="s">
        <v>221</v>
      </c>
      <c r="C64" s="264"/>
    </row>
    <row r="65" spans="2:3" ht="18" x14ac:dyDescent="0.25">
      <c r="B65" s="233" t="s">
        <v>222</v>
      </c>
      <c r="C65" s="278">
        <f>SUMPRODUCT(H6:H55,I6:I55,J6:J55,K6:K55,L6:L55)/SUMPRODUCT(I6:I55,J6:J55,K6:K55,L6:L55)*(1+p)</f>
        <v>3.0212397654527954</v>
      </c>
    </row>
    <row r="66" spans="2:3" ht="18" x14ac:dyDescent="0.25">
      <c r="B66" s="233" t="s">
        <v>223</v>
      </c>
      <c r="C66" s="278">
        <f>SUMPRODUCT(T6:T55,U6:U55,Y6:Y55,X6:X55,Z6:Z55)/SUMPRODUCT(U6:U55,X6:X55,Y6:Y55,Z6:Z55)*(1+p)</f>
        <v>3.0108318059492776</v>
      </c>
    </row>
    <row r="67" spans="2:3" x14ac:dyDescent="0.25">
      <c r="B67" s="233" t="s">
        <v>197</v>
      </c>
      <c r="C67" s="271">
        <f>Phi*Annuity_Fixed/10000</f>
        <v>-478.81786596742904</v>
      </c>
    </row>
    <row r="68" spans="2:3" x14ac:dyDescent="0.25">
      <c r="B68" s="248" t="s">
        <v>224</v>
      </c>
      <c r="C68" s="277">
        <f>((Phi*Annuity_Fixed)+((PV_Swap-PV_FloatSpread)*DurationFixed)+(PV_FloatSpread*DurationFloat))/10000</f>
        <v>-470.51959914307332</v>
      </c>
    </row>
    <row r="70" spans="2:3" x14ac:dyDescent="0.25">
      <c r="B70" s="279" t="s">
        <v>225</v>
      </c>
      <c r="C70" s="280"/>
    </row>
    <row r="71" spans="2:3" x14ac:dyDescent="0.25">
      <c r="B71" s="257" t="s">
        <v>226</v>
      </c>
      <c r="C71" s="281" t="b">
        <v>0</v>
      </c>
    </row>
    <row r="72" spans="2:3" x14ac:dyDescent="0.25">
      <c r="B72" s="259" t="s">
        <v>227</v>
      </c>
      <c r="C72" s="271">
        <v>16299.190365067956</v>
      </c>
    </row>
    <row r="73" spans="2:3" x14ac:dyDescent="0.25">
      <c r="B73" s="259" t="s">
        <v>228</v>
      </c>
      <c r="C73" s="271">
        <v>16011.21747525809</v>
      </c>
    </row>
    <row r="74" spans="2:3" x14ac:dyDescent="0.25">
      <c r="B74" s="261" t="s">
        <v>198</v>
      </c>
      <c r="C74" s="282">
        <f>C73-C72</f>
        <v>-287.97288980986559</v>
      </c>
    </row>
  </sheetData>
  <dataValidations count="5">
    <dataValidation type="decimal" allowBlank="1" showInputMessage="1" showErrorMessage="1" sqref="C12" xr:uid="{00000000-0002-0000-0200-000000000000}">
      <formula1>0</formula1>
      <formula2>10</formula2>
    </dataValidation>
    <dataValidation type="list" allowBlank="1" showInputMessage="1" showErrorMessage="1" sqref="C5" xr:uid="{00000000-0002-0000-0200-000001000000}">
      <formula1>"PAYER,RECEIVER"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41:C42 C9:C10 C46:C47" xr:uid="{00000000-0002-0000-0200-000003000000}">
      <formula1>"ANNUAL,SEMI-ANNUAL,QUARTERLY,MONTHLY"</formula1>
    </dataValidation>
    <dataValidation type="list" allowBlank="1" showInputMessage="1" showErrorMessage="1" sqref="C71 C31 C38 C14" xr:uid="{00000000-0002-0000-0200-000004000000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Q31"/>
  <sheetViews>
    <sheetView showGridLines="0" zoomScaleNormal="100" workbookViewId="0"/>
  </sheetViews>
  <sheetFormatPr defaultRowHeight="15" x14ac:dyDescent="0.25"/>
  <cols>
    <col min="2" max="2" width="10.85546875" customWidth="1"/>
    <col min="3" max="7" width="10.7109375" customWidth="1"/>
    <col min="9" max="9" width="12" bestFit="1" customWidth="1"/>
    <col min="10" max="10" width="12.7109375" bestFit="1" customWidth="1"/>
    <col min="11" max="15" width="10.7109375" customWidth="1"/>
    <col min="16" max="17" width="12.7109375" bestFit="1" customWidth="1"/>
  </cols>
  <sheetData>
    <row r="2" spans="2:17" x14ac:dyDescent="0.25">
      <c r="C2" s="330" t="s">
        <v>331</v>
      </c>
      <c r="J2" s="331" t="s">
        <v>257</v>
      </c>
    </row>
    <row r="3" spans="2:17" x14ac:dyDescent="0.25">
      <c r="C3" s="189" t="s">
        <v>275</v>
      </c>
      <c r="J3" s="3" t="s">
        <v>276</v>
      </c>
    </row>
    <row r="4" spans="2:17" x14ac:dyDescent="0.25">
      <c r="J4" s="23"/>
    </row>
    <row r="5" spans="2:17" ht="18" x14ac:dyDescent="0.25">
      <c r="C5" s="10" t="s">
        <v>235</v>
      </c>
      <c r="D5" s="10" t="s">
        <v>236</v>
      </c>
      <c r="E5" s="10" t="s">
        <v>237</v>
      </c>
      <c r="F5" s="10" t="s">
        <v>238</v>
      </c>
      <c r="G5" s="10" t="s">
        <v>239</v>
      </c>
      <c r="J5" s="10" t="s">
        <v>259</v>
      </c>
      <c r="K5" s="10" t="s">
        <v>270</v>
      </c>
    </row>
    <row r="6" spans="2:17" ht="18" x14ac:dyDescent="0.25">
      <c r="B6" s="10" t="s">
        <v>142</v>
      </c>
      <c r="C6" s="202">
        <f>'USD Curve'!AX13</f>
        <v>1</v>
      </c>
      <c r="D6" s="196">
        <f>'USD Curve'!AY13</f>
        <v>0</v>
      </c>
      <c r="E6" s="196">
        <f>'USD Curve'!AZ13</f>
        <v>0</v>
      </c>
      <c r="F6" s="196">
        <f>'USD Curve'!BA13</f>
        <v>0</v>
      </c>
      <c r="G6" s="197">
        <f>'USD Curve'!BB13</f>
        <v>0</v>
      </c>
      <c r="I6" s="10" t="s">
        <v>235</v>
      </c>
      <c r="J6" s="332">
        <v>1</v>
      </c>
      <c r="K6" s="337">
        <f>J6/10000</f>
        <v>1E-4</v>
      </c>
      <c r="P6" s="52"/>
      <c r="Q6" s="52"/>
    </row>
    <row r="7" spans="2:17" ht="18" x14ac:dyDescent="0.25">
      <c r="B7" s="10" t="s">
        <v>143</v>
      </c>
      <c r="C7" s="203">
        <f>'USD Curve'!AX14</f>
        <v>-1.013100581860171</v>
      </c>
      <c r="D7" s="204">
        <f>'USD Curve'!AY14</f>
        <v>2.0131005818601713</v>
      </c>
      <c r="E7" s="193">
        <f>'USD Curve'!AZ14</f>
        <v>0</v>
      </c>
      <c r="F7" s="193">
        <f>'USD Curve'!BA14</f>
        <v>0</v>
      </c>
      <c r="G7" s="198">
        <f>'USD Curve'!BB14</f>
        <v>0</v>
      </c>
      <c r="I7" s="10" t="s">
        <v>236</v>
      </c>
      <c r="J7" s="333">
        <v>1</v>
      </c>
      <c r="K7" s="338">
        <f>J7/10000</f>
        <v>1E-4</v>
      </c>
      <c r="P7" s="52"/>
      <c r="Q7" s="52"/>
    </row>
    <row r="8" spans="2:17" ht="18" x14ac:dyDescent="0.25">
      <c r="B8" s="10" t="s">
        <v>144</v>
      </c>
      <c r="C8" s="203">
        <f>'USD Curve'!AX15</f>
        <v>1.6865017081063214E-16</v>
      </c>
      <c r="D8" s="204">
        <f>'USD Curve'!AY15</f>
        <v>-2.0381313856749337</v>
      </c>
      <c r="E8" s="204">
        <f>'USD Curve'!AZ15</f>
        <v>3.0381313856749337</v>
      </c>
      <c r="F8" s="193">
        <f>'USD Curve'!BA15</f>
        <v>0</v>
      </c>
      <c r="G8" s="198">
        <f>'USD Curve'!BB15</f>
        <v>0</v>
      </c>
      <c r="I8" s="10" t="s">
        <v>237</v>
      </c>
      <c r="J8" s="333">
        <v>1</v>
      </c>
      <c r="K8" s="338">
        <f>J8/10000</f>
        <v>1E-4</v>
      </c>
      <c r="P8" s="52"/>
      <c r="Q8" s="52"/>
    </row>
    <row r="9" spans="2:17" ht="18" x14ac:dyDescent="0.25">
      <c r="B9" s="10" t="s">
        <v>145</v>
      </c>
      <c r="C9" s="203">
        <f>'USD Curve'!AX16</f>
        <v>5.5511151231257852E-17</v>
      </c>
      <c r="D9" s="204">
        <f>'USD Curve'!AY16</f>
        <v>0</v>
      </c>
      <c r="E9" s="204">
        <f>'USD Curve'!AZ16</f>
        <v>-3.0769983737932272</v>
      </c>
      <c r="F9" s="204">
        <f>'USD Curve'!BA16</f>
        <v>4.0769983737932272</v>
      </c>
      <c r="G9" s="198">
        <f>'USD Curve'!BB16</f>
        <v>0</v>
      </c>
      <c r="I9" s="10" t="s">
        <v>238</v>
      </c>
      <c r="J9" s="333">
        <v>1</v>
      </c>
      <c r="K9" s="338">
        <f>J9/10000</f>
        <v>1E-4</v>
      </c>
      <c r="P9" s="52"/>
      <c r="Q9" s="52"/>
    </row>
    <row r="10" spans="2:17" ht="18" x14ac:dyDescent="0.25">
      <c r="B10" s="10" t="s">
        <v>146</v>
      </c>
      <c r="C10" s="294">
        <f>'USD Curve'!AX17</f>
        <v>-2.2935090300213447E-16</v>
      </c>
      <c r="D10" s="205">
        <f>'USD Curve'!AY17</f>
        <v>5.697241084667845E-16</v>
      </c>
      <c r="E10" s="205">
        <f>'USD Curve'!AZ17</f>
        <v>-5.697241084667845E-16</v>
      </c>
      <c r="F10" s="205">
        <f>'USD Curve'!BA17</f>
        <v>-4.1316185651899975</v>
      </c>
      <c r="G10" s="206">
        <f>'USD Curve'!BB17</f>
        <v>5.1316185651899975</v>
      </c>
      <c r="I10" s="10" t="s">
        <v>239</v>
      </c>
      <c r="J10" s="334">
        <v>1</v>
      </c>
      <c r="K10" s="339">
        <f>J10/10000</f>
        <v>1E-4</v>
      </c>
      <c r="P10" s="52"/>
      <c r="Q10" s="52"/>
    </row>
    <row r="13" spans="2:17" x14ac:dyDescent="0.25">
      <c r="C13" s="330" t="s">
        <v>234</v>
      </c>
      <c r="J13" s="329" t="s">
        <v>246</v>
      </c>
      <c r="K13" s="62"/>
      <c r="L13" s="62"/>
      <c r="M13" s="62"/>
      <c r="P13" s="62"/>
      <c r="Q13" s="62"/>
    </row>
    <row r="14" spans="2:17" x14ac:dyDescent="0.25">
      <c r="C14" s="189" t="s">
        <v>274</v>
      </c>
      <c r="J14" s="335" t="s">
        <v>273</v>
      </c>
      <c r="K14" s="62"/>
      <c r="L14" s="62"/>
      <c r="M14" s="62"/>
      <c r="P14" s="62"/>
      <c r="Q14" s="62"/>
    </row>
    <row r="15" spans="2:17" x14ac:dyDescent="0.25">
      <c r="B15" s="23"/>
      <c r="I15" s="23"/>
      <c r="J15" s="62"/>
      <c r="K15" s="62"/>
      <c r="L15" s="62"/>
      <c r="M15" s="62"/>
      <c r="P15" s="62"/>
      <c r="Q15" s="62"/>
    </row>
    <row r="16" spans="2:17" ht="18" x14ac:dyDescent="0.25">
      <c r="C16" s="10" t="s">
        <v>240</v>
      </c>
      <c r="D16" s="10" t="s">
        <v>241</v>
      </c>
      <c r="E16" s="10" t="s">
        <v>242</v>
      </c>
      <c r="F16" s="10" t="s">
        <v>243</v>
      </c>
      <c r="G16" s="10" t="s">
        <v>244</v>
      </c>
      <c r="J16" s="10" t="s">
        <v>235</v>
      </c>
      <c r="K16" s="10" t="s">
        <v>236</v>
      </c>
      <c r="L16" s="10" t="s">
        <v>237</v>
      </c>
      <c r="M16" s="10" t="s">
        <v>238</v>
      </c>
      <c r="N16" s="10" t="s">
        <v>239</v>
      </c>
      <c r="O16" s="208" t="s">
        <v>233</v>
      </c>
    </row>
    <row r="17" spans="2:16" ht="18" x14ac:dyDescent="0.25">
      <c r="B17" s="10" t="s">
        <v>252</v>
      </c>
      <c r="C17" s="311">
        <f>-Phi*N*'USD Curve'!$AC$8*$K$6</f>
        <v>98.228077410510949</v>
      </c>
      <c r="D17" s="312">
        <v>0</v>
      </c>
      <c r="E17" s="312">
        <v>0</v>
      </c>
      <c r="F17" s="312">
        <v>0</v>
      </c>
      <c r="G17" s="313">
        <v>0</v>
      </c>
      <c r="I17" s="10" t="s">
        <v>252</v>
      </c>
      <c r="J17" s="300">
        <f t="array" ref="J17:N17">MMULT($C17:$G17,$C$6:$G$10)</f>
        <v>98.228077410510949</v>
      </c>
      <c r="K17" s="301">
        <v>0</v>
      </c>
      <c r="L17" s="301">
        <v>0</v>
      </c>
      <c r="M17" s="301">
        <v>0</v>
      </c>
      <c r="N17" s="302">
        <v>0</v>
      </c>
      <c r="O17" s="336">
        <f t="shared" ref="O17:O23" si="0">SUM(J17:N17)</f>
        <v>98.228077410510949</v>
      </c>
      <c r="P17" s="335" t="s">
        <v>263</v>
      </c>
    </row>
    <row r="18" spans="2:16" ht="18" x14ac:dyDescent="0.25">
      <c r="B18" s="62" t="s">
        <v>253</v>
      </c>
      <c r="C18" s="295">
        <f>-Phi*N*'USD Curve'!$AC$8*$K$6</f>
        <v>98.228077410510949</v>
      </c>
      <c r="D18" s="296">
        <f>-Phi*N*'USD Curve'!$AC$9*$K$7</f>
        <v>96.957872860118911</v>
      </c>
      <c r="E18" s="314">
        <v>0</v>
      </c>
      <c r="F18" s="314">
        <v>0</v>
      </c>
      <c r="G18" s="315">
        <v>0</v>
      </c>
      <c r="I18" s="62" t="s">
        <v>253</v>
      </c>
      <c r="J18" s="297">
        <f t="array" ref="J18:N18">MMULT($C18:$G18,$C$6:$G$10)</f>
        <v>0</v>
      </c>
      <c r="K18" s="298">
        <v>195.18595027062989</v>
      </c>
      <c r="L18" s="298">
        <v>0</v>
      </c>
      <c r="M18" s="298">
        <v>0</v>
      </c>
      <c r="N18" s="299">
        <v>0</v>
      </c>
      <c r="O18" s="336">
        <f t="shared" si="0"/>
        <v>195.18595027062989</v>
      </c>
      <c r="P18" s="335" t="s">
        <v>264</v>
      </c>
    </row>
    <row r="19" spans="2:16" ht="18" x14ac:dyDescent="0.25">
      <c r="B19" s="62" t="s">
        <v>256</v>
      </c>
      <c r="C19" s="316">
        <f>-Phi*N*'USD Curve'!$AC$8*$K$6</f>
        <v>98.228077410510949</v>
      </c>
      <c r="D19" s="317">
        <f>-Phi*N*'USD Curve'!$AC$9*$K$7</f>
        <v>96.957872860118911</v>
      </c>
      <c r="E19" s="317">
        <f>-Phi*N*'USD Curve'!$AC$10*$K$8</f>
        <v>95.767108853972857</v>
      </c>
      <c r="F19" s="318">
        <v>0</v>
      </c>
      <c r="G19" s="319">
        <v>0</v>
      </c>
      <c r="I19" s="62" t="s">
        <v>256</v>
      </c>
      <c r="J19" s="303">
        <f t="array" ref="J19:N19">MMULT($C19:$G19,$C$6:$G$10)</f>
        <v>1.6151139266262924E-14</v>
      </c>
      <c r="K19" s="304">
        <v>-2.8421709430404007E-14</v>
      </c>
      <c r="L19" s="304">
        <v>290.95305912460276</v>
      </c>
      <c r="M19" s="304">
        <v>0</v>
      </c>
      <c r="N19" s="305">
        <v>0</v>
      </c>
      <c r="O19" s="336">
        <f t="shared" si="0"/>
        <v>290.95305912460276</v>
      </c>
      <c r="P19" s="335" t="s">
        <v>265</v>
      </c>
    </row>
    <row r="20" spans="2:16" ht="18" x14ac:dyDescent="0.25">
      <c r="B20" s="62" t="s">
        <v>255</v>
      </c>
      <c r="C20" s="295">
        <f>-Phi*N*'USD Curve'!$AC$8*$K$6</f>
        <v>98.228077410510949</v>
      </c>
      <c r="D20" s="296">
        <f>-Phi*N*'USD Curve'!$AC$9*$K$7</f>
        <v>96.957872860118911</v>
      </c>
      <c r="E20" s="296">
        <f>-Phi*N*'USD Curve'!$AC$10*$K$8</f>
        <v>95.767108853972857</v>
      </c>
      <c r="F20" s="296">
        <f>-Phi*N*'USD Curve'!$AC$11*$K$9</f>
        <v>94.557430254967898</v>
      </c>
      <c r="G20" s="315">
        <v>0</v>
      </c>
      <c r="I20" s="62" t="s">
        <v>255</v>
      </c>
      <c r="J20" s="297">
        <f t="array" ref="J20:N20">MMULT($C20:$G20,$C$6:$G$10)</f>
        <v>2.1400131077185563E-14</v>
      </c>
      <c r="K20" s="298">
        <v>-2.8421709430404007E-14</v>
      </c>
      <c r="L20" s="298">
        <v>5.6843418860808015E-14</v>
      </c>
      <c r="M20" s="298">
        <v>385.51048937957063</v>
      </c>
      <c r="N20" s="299">
        <v>0</v>
      </c>
      <c r="O20" s="336">
        <f t="shared" si="0"/>
        <v>385.51048937957069</v>
      </c>
      <c r="P20" s="335" t="s">
        <v>266</v>
      </c>
    </row>
    <row r="21" spans="2:16" ht="18" x14ac:dyDescent="0.25">
      <c r="B21" s="62" t="s">
        <v>254</v>
      </c>
      <c r="C21" s="316">
        <f>-Phi*N*'USD Curve'!$AC$8*$K$6</f>
        <v>98.228077410510949</v>
      </c>
      <c r="D21" s="317">
        <f>-Phi*N*'USD Curve'!$AC$9*$K$7</f>
        <v>96.957872860118911</v>
      </c>
      <c r="E21" s="317">
        <f>-Phi*N*'USD Curve'!$AC$10*$K$8</f>
        <v>95.767108853972857</v>
      </c>
      <c r="F21" s="317">
        <f>-Phi*N*'USD Curve'!$AC$11*$K$9</f>
        <v>94.557430254967898</v>
      </c>
      <c r="G21" s="320">
        <f>-Phi*N*'USD Curve'!$AC$12*$K$10</f>
        <v>93.307376587858485</v>
      </c>
      <c r="I21" s="62" t="s">
        <v>254</v>
      </c>
      <c r="J21" s="303">
        <f t="array" ref="J21:N21">MMULT($C21:$G21,$C$6:$G$10)</f>
        <v>-3.1554436208840472E-30</v>
      </c>
      <c r="K21" s="304">
        <v>2.4737752509488187E-14</v>
      </c>
      <c r="L21" s="304">
        <v>3.6839569209158207E-15</v>
      </c>
      <c r="M21" s="304">
        <v>0</v>
      </c>
      <c r="N21" s="305">
        <v>478.8178659674291</v>
      </c>
      <c r="O21" s="336">
        <f t="shared" si="0"/>
        <v>478.81786596742916</v>
      </c>
      <c r="P21" s="335" t="s">
        <v>267</v>
      </c>
    </row>
    <row r="22" spans="2:16" ht="18" x14ac:dyDescent="0.25">
      <c r="B22" s="62" t="s">
        <v>260</v>
      </c>
      <c r="C22" s="295">
        <v>0</v>
      </c>
      <c r="D22" s="296">
        <v>0</v>
      </c>
      <c r="E22" s="296">
        <v>0</v>
      </c>
      <c r="F22" s="296">
        <v>0</v>
      </c>
      <c r="G22" s="321">
        <f>-Phi*N*'USD Curve'!$AC$12*$K$10</f>
        <v>93.307376587858485</v>
      </c>
      <c r="H22" s="309" t="s">
        <v>261</v>
      </c>
      <c r="I22" s="62" t="s">
        <v>260</v>
      </c>
      <c r="J22" s="297">
        <f t="array" ref="J22:N22">MMULT($C22:$G22,$C$6:$G$10)</f>
        <v>-2.1400131077185566E-14</v>
      </c>
      <c r="K22" s="298">
        <v>5.3159461939892194E-14</v>
      </c>
      <c r="L22" s="298">
        <v>-5.3159461939892194E-14</v>
      </c>
      <c r="M22" s="298">
        <v>-385.51048937957063</v>
      </c>
      <c r="N22" s="299">
        <v>478.8178659674291</v>
      </c>
      <c r="O22" s="336">
        <f t="shared" si="0"/>
        <v>93.307376587858471</v>
      </c>
      <c r="P22" s="335" t="s">
        <v>269</v>
      </c>
    </row>
    <row r="23" spans="2:16" ht="18" x14ac:dyDescent="0.25">
      <c r="B23" s="62" t="s">
        <v>258</v>
      </c>
      <c r="C23" s="322">
        <f>-Phi*N*'USD Curve'!$AC$8*$K$6</f>
        <v>98.228077410510949</v>
      </c>
      <c r="D23" s="323">
        <f>-Phi*N*'USD Curve'!$AC$9*$K$7</f>
        <v>96.957872860118911</v>
      </c>
      <c r="E23" s="323">
        <f>-Phi*N*'USD Curve'!$AC$10*$K$8</f>
        <v>95.767108853972857</v>
      </c>
      <c r="F23" s="323">
        <f>-Phi*N*'USD Curve'!$AC$11*$K$9</f>
        <v>94.557430254967898</v>
      </c>
      <c r="G23" s="324">
        <f>-Phi*N*'USD Curve'!$AC$12*$K$10/2</f>
        <v>46.653688293929243</v>
      </c>
      <c r="H23" s="309" t="s">
        <v>262</v>
      </c>
      <c r="I23" s="62" t="s">
        <v>258</v>
      </c>
      <c r="J23" s="306">
        <f t="array" ref="J23:N23">MMULT($C23:$G23,$C$6:$G$10)</f>
        <v>1.070006553859278E-14</v>
      </c>
      <c r="K23" s="307">
        <v>-1.8419784604579104E-15</v>
      </c>
      <c r="L23" s="307">
        <v>3.0263687890861921E-14</v>
      </c>
      <c r="M23" s="307">
        <v>192.75524468978531</v>
      </c>
      <c r="N23" s="308">
        <v>239.40893298371455</v>
      </c>
      <c r="O23" s="336">
        <f t="shared" si="0"/>
        <v>432.16417767349992</v>
      </c>
      <c r="P23" s="335" t="s">
        <v>268</v>
      </c>
    </row>
    <row r="25" spans="2:16" x14ac:dyDescent="0.25">
      <c r="B25" s="310" t="s">
        <v>337</v>
      </c>
      <c r="M25" s="52"/>
      <c r="N25" s="52"/>
    </row>
    <row r="26" spans="2:16" x14ac:dyDescent="0.25">
      <c r="B26" s="309" t="s">
        <v>338</v>
      </c>
    </row>
    <row r="28" spans="2:16" x14ac:dyDescent="0.25">
      <c r="J28" s="340"/>
      <c r="K28" s="340"/>
      <c r="L28" s="340"/>
      <c r="M28" s="230"/>
      <c r="N28" s="230"/>
    </row>
    <row r="29" spans="2:16" x14ac:dyDescent="0.25">
      <c r="J29" s="340"/>
      <c r="K29" s="340"/>
      <c r="L29" s="340"/>
      <c r="M29" s="230"/>
      <c r="N29" s="230"/>
    </row>
    <row r="30" spans="2:16" x14ac:dyDescent="0.25">
      <c r="J30" s="52"/>
      <c r="K30" s="52"/>
      <c r="L30" s="52"/>
      <c r="M30" s="52"/>
      <c r="N30" s="52"/>
    </row>
    <row r="31" spans="2:16" x14ac:dyDescent="0.25">
      <c r="J31" s="52"/>
      <c r="K31" s="52"/>
      <c r="L31" s="52"/>
      <c r="M31" s="52"/>
      <c r="N31" s="5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05063-1678-454B-81C9-E30D54B88A6A}">
  <sheetPr codeName="Sheet4"/>
  <dimension ref="A2:AL62"/>
  <sheetViews>
    <sheetView showGridLines="0" tabSelected="1" zoomScaleNormal="100" workbookViewId="0"/>
  </sheetViews>
  <sheetFormatPr defaultRowHeight="20.25" x14ac:dyDescent="0.3"/>
  <cols>
    <col min="1" max="1" width="9.140625" style="356" customWidth="1"/>
    <col min="2" max="2" width="14.7109375" style="356" customWidth="1"/>
    <col min="3" max="12" width="12.7109375" style="356" customWidth="1"/>
    <col min="13" max="14" width="9.140625" style="356" customWidth="1"/>
    <col min="15" max="15" width="26.7109375" style="356" bestFit="1" customWidth="1"/>
    <col min="16" max="28" width="15.7109375" style="356" customWidth="1"/>
    <col min="29" max="33" width="9.140625" style="356"/>
    <col min="34" max="34" width="9.140625" style="356" customWidth="1"/>
    <col min="35" max="16384" width="9.140625" style="356"/>
  </cols>
  <sheetData>
    <row r="2" spans="1:35" x14ac:dyDescent="0.3">
      <c r="B2" s="366" t="s">
        <v>330</v>
      </c>
      <c r="O2" s="380" t="s">
        <v>257</v>
      </c>
      <c r="P2" s="366"/>
      <c r="AE2" s="365"/>
      <c r="AF2" s="365"/>
      <c r="AG2" s="365"/>
      <c r="AH2" s="365"/>
      <c r="AI2" s="365"/>
    </row>
    <row r="3" spans="1:35" x14ac:dyDescent="0.3">
      <c r="B3" s="356" t="s">
        <v>320</v>
      </c>
      <c r="O3" s="381" t="s">
        <v>276</v>
      </c>
      <c r="P3" s="366"/>
      <c r="AE3" s="365"/>
      <c r="AF3" s="365"/>
      <c r="AG3" s="365"/>
      <c r="AH3" s="365"/>
      <c r="AI3" s="365"/>
    </row>
    <row r="4" spans="1:35" x14ac:dyDescent="0.3">
      <c r="AE4" s="365"/>
      <c r="AF4" s="365"/>
      <c r="AG4" s="365"/>
      <c r="AH4" s="365"/>
      <c r="AI4" s="365"/>
    </row>
    <row r="5" spans="1:35" x14ac:dyDescent="0.3">
      <c r="C5" s="440" t="s">
        <v>357</v>
      </c>
      <c r="D5" s="440"/>
      <c r="E5" s="440"/>
      <c r="F5" s="440"/>
      <c r="G5" s="440"/>
      <c r="H5" s="440"/>
      <c r="I5" s="440"/>
      <c r="J5" s="440"/>
      <c r="K5" s="440"/>
      <c r="L5" s="440"/>
      <c r="AE5" s="365"/>
      <c r="AF5" s="365"/>
      <c r="AG5" s="365"/>
      <c r="AH5" s="365"/>
      <c r="AI5" s="365"/>
    </row>
    <row r="6" spans="1:35" x14ac:dyDescent="0.3">
      <c r="C6" s="441" t="s">
        <v>353</v>
      </c>
      <c r="D6" s="441"/>
      <c r="E6" s="441"/>
      <c r="F6" s="441"/>
      <c r="G6" s="441"/>
      <c r="H6" s="442" t="s">
        <v>354</v>
      </c>
      <c r="I6" s="442"/>
      <c r="J6" s="442"/>
      <c r="K6" s="442"/>
      <c r="L6" s="442"/>
      <c r="AE6" s="365"/>
      <c r="AF6" s="365"/>
      <c r="AG6" s="365"/>
      <c r="AH6" s="365"/>
      <c r="AI6" s="365"/>
    </row>
    <row r="7" spans="1:35" ht="23.25" x14ac:dyDescent="0.3">
      <c r="B7" s="357"/>
      <c r="C7" s="383" t="s">
        <v>373</v>
      </c>
      <c r="D7" s="383" t="s">
        <v>374</v>
      </c>
      <c r="E7" s="383" t="s">
        <v>375</v>
      </c>
      <c r="F7" s="383" t="s">
        <v>376</v>
      </c>
      <c r="G7" s="383" t="s">
        <v>377</v>
      </c>
      <c r="H7" s="384" t="s">
        <v>378</v>
      </c>
      <c r="I7" s="384" t="s">
        <v>379</v>
      </c>
      <c r="J7" s="384" t="s">
        <v>380</v>
      </c>
      <c r="K7" s="384" t="s">
        <v>381</v>
      </c>
      <c r="L7" s="384" t="s">
        <v>382</v>
      </c>
      <c r="P7" s="357" t="s">
        <v>259</v>
      </c>
      <c r="Q7" s="357" t="s">
        <v>270</v>
      </c>
    </row>
    <row r="8" spans="1:35" ht="23.25" x14ac:dyDescent="0.3">
      <c r="A8" s="437" t="s">
        <v>359</v>
      </c>
      <c r="B8" s="357" t="s">
        <v>383</v>
      </c>
      <c r="C8" s="385">
        <v>1</v>
      </c>
      <c r="D8" s="386">
        <v>0</v>
      </c>
      <c r="E8" s="386">
        <v>0</v>
      </c>
      <c r="F8" s="386">
        <v>0</v>
      </c>
      <c r="G8" s="386">
        <v>0</v>
      </c>
      <c r="H8" s="387">
        <v>0</v>
      </c>
      <c r="I8" s="387">
        <v>0</v>
      </c>
      <c r="J8" s="387">
        <v>0</v>
      </c>
      <c r="K8" s="387">
        <v>0</v>
      </c>
      <c r="L8" s="388">
        <v>0</v>
      </c>
      <c r="O8" s="357" t="s">
        <v>360</v>
      </c>
      <c r="P8" s="358">
        <v>1</v>
      </c>
      <c r="Q8" s="359">
        <f t="shared" ref="Q8:Q17" si="0">P8/10000</f>
        <v>1E-4</v>
      </c>
    </row>
    <row r="9" spans="1:35" ht="23.25" x14ac:dyDescent="0.3">
      <c r="A9" s="437"/>
      <c r="B9" s="357" t="s">
        <v>384</v>
      </c>
      <c r="C9" s="389">
        <v>-1.013100581860171</v>
      </c>
      <c r="D9" s="390">
        <v>2.0131005818601713</v>
      </c>
      <c r="E9" s="391">
        <v>0</v>
      </c>
      <c r="F9" s="391">
        <v>0</v>
      </c>
      <c r="G9" s="391">
        <v>0</v>
      </c>
      <c r="H9" s="392">
        <v>0</v>
      </c>
      <c r="I9" s="392">
        <v>0</v>
      </c>
      <c r="J9" s="392">
        <v>0</v>
      </c>
      <c r="K9" s="392">
        <v>0</v>
      </c>
      <c r="L9" s="393">
        <v>0</v>
      </c>
      <c r="O9" s="357" t="s">
        <v>361</v>
      </c>
      <c r="P9" s="360">
        <v>1</v>
      </c>
      <c r="Q9" s="361">
        <f t="shared" si="0"/>
        <v>1E-4</v>
      </c>
    </row>
    <row r="10" spans="1:35" ht="23.25" x14ac:dyDescent="0.3">
      <c r="A10" s="437"/>
      <c r="B10" s="357" t="s">
        <v>385</v>
      </c>
      <c r="C10" s="389">
        <v>1.6865017081063214E-16</v>
      </c>
      <c r="D10" s="390">
        <v>-2.0381313856749337</v>
      </c>
      <c r="E10" s="390">
        <v>3.0381313856749337</v>
      </c>
      <c r="F10" s="391">
        <v>0</v>
      </c>
      <c r="G10" s="391">
        <v>0</v>
      </c>
      <c r="H10" s="392">
        <v>0</v>
      </c>
      <c r="I10" s="392">
        <v>0</v>
      </c>
      <c r="J10" s="392">
        <v>0</v>
      </c>
      <c r="K10" s="392">
        <v>0</v>
      </c>
      <c r="L10" s="393">
        <v>0</v>
      </c>
      <c r="O10" s="357" t="s">
        <v>362</v>
      </c>
      <c r="P10" s="360">
        <v>1</v>
      </c>
      <c r="Q10" s="361">
        <f t="shared" si="0"/>
        <v>1E-4</v>
      </c>
      <c r="Y10" s="365"/>
      <c r="Z10" s="365"/>
      <c r="AA10" s="365"/>
    </row>
    <row r="11" spans="1:35" ht="23.25" x14ac:dyDescent="0.3">
      <c r="A11" s="437"/>
      <c r="B11" s="357" t="s">
        <v>386</v>
      </c>
      <c r="C11" s="389">
        <v>5.5511151231257852E-17</v>
      </c>
      <c r="D11" s="390">
        <v>0</v>
      </c>
      <c r="E11" s="390">
        <v>-3.0769983737932272</v>
      </c>
      <c r="F11" s="390">
        <v>4.0769983737932272</v>
      </c>
      <c r="G11" s="391">
        <v>0</v>
      </c>
      <c r="H11" s="392">
        <v>0</v>
      </c>
      <c r="I11" s="392">
        <v>0</v>
      </c>
      <c r="J11" s="392">
        <v>0</v>
      </c>
      <c r="K11" s="392">
        <v>0</v>
      </c>
      <c r="L11" s="393">
        <v>0</v>
      </c>
      <c r="O11" s="357" t="s">
        <v>363</v>
      </c>
      <c r="P11" s="360">
        <v>1</v>
      </c>
      <c r="Q11" s="361">
        <f t="shared" si="0"/>
        <v>1E-4</v>
      </c>
      <c r="Y11" s="365"/>
      <c r="Z11" s="365"/>
      <c r="AA11" s="365"/>
    </row>
    <row r="12" spans="1:35" ht="23.25" x14ac:dyDescent="0.3">
      <c r="A12" s="437"/>
      <c r="B12" s="357" t="s">
        <v>387</v>
      </c>
      <c r="C12" s="389">
        <v>-2.2935090300213447E-16</v>
      </c>
      <c r="D12" s="390">
        <v>5.697241084667845E-16</v>
      </c>
      <c r="E12" s="390">
        <v>-5.697241084667845E-16</v>
      </c>
      <c r="F12" s="390">
        <v>-4.1316185651899975</v>
      </c>
      <c r="G12" s="390">
        <v>5.1316185651899975</v>
      </c>
      <c r="H12" s="392">
        <v>0</v>
      </c>
      <c r="I12" s="392">
        <v>0</v>
      </c>
      <c r="J12" s="392">
        <v>0</v>
      </c>
      <c r="K12" s="392">
        <v>0</v>
      </c>
      <c r="L12" s="393">
        <v>0</v>
      </c>
      <c r="O12" s="357" t="s">
        <v>364</v>
      </c>
      <c r="P12" s="360">
        <v>1</v>
      </c>
      <c r="Q12" s="361">
        <f t="shared" si="0"/>
        <v>1E-4</v>
      </c>
      <c r="Y12" s="365"/>
      <c r="Z12" s="365"/>
      <c r="AA12" s="365"/>
    </row>
    <row r="13" spans="1:35" ht="23.25" x14ac:dyDescent="0.3">
      <c r="A13" s="437"/>
      <c r="B13" s="357" t="s">
        <v>388</v>
      </c>
      <c r="C13" s="394">
        <v>0</v>
      </c>
      <c r="D13" s="391">
        <v>0</v>
      </c>
      <c r="E13" s="391">
        <v>0</v>
      </c>
      <c r="F13" s="391">
        <v>0</v>
      </c>
      <c r="G13" s="391">
        <v>0</v>
      </c>
      <c r="H13" s="395">
        <v>1</v>
      </c>
      <c r="I13" s="392">
        <v>0</v>
      </c>
      <c r="J13" s="392">
        <v>0</v>
      </c>
      <c r="K13" s="392">
        <v>0</v>
      </c>
      <c r="L13" s="393">
        <v>0</v>
      </c>
      <c r="O13" s="357" t="s">
        <v>365</v>
      </c>
      <c r="P13" s="360">
        <v>1</v>
      </c>
      <c r="Q13" s="361">
        <f t="shared" si="0"/>
        <v>1E-4</v>
      </c>
    </row>
    <row r="14" spans="1:35" ht="23.25" x14ac:dyDescent="0.3">
      <c r="A14" s="437"/>
      <c r="B14" s="357" t="s">
        <v>389</v>
      </c>
      <c r="C14" s="394">
        <v>0</v>
      </c>
      <c r="D14" s="391">
        <v>0</v>
      </c>
      <c r="E14" s="391">
        <v>0</v>
      </c>
      <c r="F14" s="391">
        <v>0</v>
      </c>
      <c r="G14" s="391">
        <v>0</v>
      </c>
      <c r="H14" s="395">
        <v>-1.013100581860171</v>
      </c>
      <c r="I14" s="395">
        <v>2.0131005818601699</v>
      </c>
      <c r="J14" s="392">
        <v>0</v>
      </c>
      <c r="K14" s="392">
        <v>0</v>
      </c>
      <c r="L14" s="393">
        <v>0</v>
      </c>
      <c r="O14" s="357" t="s">
        <v>366</v>
      </c>
      <c r="P14" s="360">
        <v>1</v>
      </c>
      <c r="Q14" s="361">
        <f t="shared" si="0"/>
        <v>1E-4</v>
      </c>
    </row>
    <row r="15" spans="1:35" ht="23.25" x14ac:dyDescent="0.3">
      <c r="A15" s="437"/>
      <c r="B15" s="357" t="s">
        <v>390</v>
      </c>
      <c r="C15" s="394">
        <v>0</v>
      </c>
      <c r="D15" s="391">
        <v>0</v>
      </c>
      <c r="E15" s="391">
        <v>0</v>
      </c>
      <c r="F15" s="391">
        <v>0</v>
      </c>
      <c r="G15" s="391">
        <v>0</v>
      </c>
      <c r="H15" s="395">
        <v>1.6865017081063214E-16</v>
      </c>
      <c r="I15" s="395">
        <v>-2.0381313856749337</v>
      </c>
      <c r="J15" s="395">
        <v>3.0381313856749337</v>
      </c>
      <c r="K15" s="392">
        <v>0</v>
      </c>
      <c r="L15" s="393">
        <v>0</v>
      </c>
      <c r="O15" s="357" t="s">
        <v>367</v>
      </c>
      <c r="P15" s="360">
        <v>1</v>
      </c>
      <c r="Q15" s="361">
        <f t="shared" si="0"/>
        <v>1E-4</v>
      </c>
    </row>
    <row r="16" spans="1:35" ht="23.25" x14ac:dyDescent="0.3">
      <c r="A16" s="437"/>
      <c r="B16" s="357" t="s">
        <v>391</v>
      </c>
      <c r="C16" s="394">
        <v>0</v>
      </c>
      <c r="D16" s="391">
        <v>0</v>
      </c>
      <c r="E16" s="391">
        <v>0</v>
      </c>
      <c r="F16" s="391">
        <v>0</v>
      </c>
      <c r="G16" s="391">
        <v>0</v>
      </c>
      <c r="H16" s="395">
        <v>5.5511151231257852E-17</v>
      </c>
      <c r="I16" s="395">
        <v>0</v>
      </c>
      <c r="J16" s="395">
        <v>-3.0769983737932272</v>
      </c>
      <c r="K16" s="395">
        <v>4.0769983737932272</v>
      </c>
      <c r="L16" s="393">
        <v>0</v>
      </c>
      <c r="O16" s="357" t="s">
        <v>368</v>
      </c>
      <c r="P16" s="360">
        <v>1</v>
      </c>
      <c r="Q16" s="361">
        <f t="shared" si="0"/>
        <v>1E-4</v>
      </c>
    </row>
    <row r="17" spans="1:38" ht="23.25" x14ac:dyDescent="0.3">
      <c r="A17" s="437"/>
      <c r="B17" s="357" t="s">
        <v>392</v>
      </c>
      <c r="C17" s="396">
        <v>0</v>
      </c>
      <c r="D17" s="397">
        <v>0</v>
      </c>
      <c r="E17" s="397">
        <v>0</v>
      </c>
      <c r="F17" s="397">
        <v>0</v>
      </c>
      <c r="G17" s="397">
        <v>0</v>
      </c>
      <c r="H17" s="398">
        <v>-2.2935090300213447E-16</v>
      </c>
      <c r="I17" s="398">
        <v>5.697241084667845E-16</v>
      </c>
      <c r="J17" s="398">
        <v>-5.697241084667845E-16</v>
      </c>
      <c r="K17" s="398">
        <v>-4.1316185651899975</v>
      </c>
      <c r="L17" s="399">
        <v>5.1316185651899975</v>
      </c>
      <c r="O17" s="357" t="s">
        <v>369</v>
      </c>
      <c r="P17" s="362">
        <v>1</v>
      </c>
      <c r="Q17" s="363">
        <f t="shared" si="0"/>
        <v>1E-4</v>
      </c>
      <c r="AJ17" s="365"/>
      <c r="AK17" s="365"/>
      <c r="AL17" s="365"/>
    </row>
    <row r="18" spans="1:38" x14ac:dyDescent="0.3">
      <c r="AJ18" s="365"/>
      <c r="AK18" s="365"/>
      <c r="AL18" s="365"/>
    </row>
    <row r="19" spans="1:38" x14ac:dyDescent="0.3">
      <c r="AK19" s="365"/>
      <c r="AL19" s="365"/>
    </row>
    <row r="20" spans="1:38" x14ac:dyDescent="0.3">
      <c r="B20" s="366" t="s">
        <v>321</v>
      </c>
      <c r="O20" s="364" t="s">
        <v>370</v>
      </c>
      <c r="X20" s="364" t="s">
        <v>371</v>
      </c>
      <c r="Y20" s="365"/>
      <c r="Z20" s="365"/>
      <c r="AA20" s="366" t="s">
        <v>372</v>
      </c>
      <c r="AJ20" s="365"/>
      <c r="AK20" s="365"/>
      <c r="AL20" s="365"/>
    </row>
    <row r="21" spans="1:38" x14ac:dyDescent="0.3">
      <c r="B21" s="356" t="s">
        <v>320</v>
      </c>
      <c r="P21" s="438" t="s">
        <v>352</v>
      </c>
      <c r="Q21" s="439"/>
      <c r="R21" s="439"/>
      <c r="S21" s="439"/>
      <c r="T21" s="439"/>
      <c r="U21" s="439"/>
      <c r="V21" s="439"/>
      <c r="W21" s="357"/>
      <c r="AJ21" s="365"/>
      <c r="AK21" s="365"/>
      <c r="AL21" s="365"/>
    </row>
    <row r="22" spans="1:38" x14ac:dyDescent="0.3">
      <c r="O22" s="383" t="s">
        <v>349</v>
      </c>
      <c r="P22" s="367" t="s">
        <v>339</v>
      </c>
      <c r="Q22" s="368" t="s">
        <v>340</v>
      </c>
      <c r="R22" s="368" t="s">
        <v>343</v>
      </c>
      <c r="S22" s="368" t="s">
        <v>341</v>
      </c>
      <c r="T22" s="368" t="s">
        <v>342</v>
      </c>
      <c r="U22" s="369" t="s">
        <v>318</v>
      </c>
      <c r="V22" s="370" t="s">
        <v>268</v>
      </c>
      <c r="W22" s="357"/>
      <c r="X22" s="383" t="s">
        <v>349</v>
      </c>
      <c r="Y22" s="357" t="s">
        <v>306</v>
      </c>
      <c r="AA22" s="383" t="s">
        <v>344</v>
      </c>
      <c r="AB22" s="357" t="s">
        <v>350</v>
      </c>
      <c r="AD22" s="366" t="s">
        <v>332</v>
      </c>
      <c r="AJ22" s="365"/>
      <c r="AK22" s="365"/>
      <c r="AL22" s="365"/>
    </row>
    <row r="23" spans="1:38" x14ac:dyDescent="0.3">
      <c r="C23" s="440" t="s">
        <v>358</v>
      </c>
      <c r="D23" s="440"/>
      <c r="E23" s="440"/>
      <c r="F23" s="440"/>
      <c r="G23" s="440"/>
      <c r="H23" s="440"/>
      <c r="I23" s="440"/>
      <c r="J23" s="440"/>
      <c r="K23" s="440"/>
      <c r="L23" s="440"/>
      <c r="O23" s="400" t="s">
        <v>308</v>
      </c>
      <c r="P23" s="401" cm="1">
        <f t="array" aca="1" ref="P23:V32" ca="1">TRANSPOSE(MMULT(C26:L32,C8:L17))</f>
        <v>3.427894893448131E-7</v>
      </c>
      <c r="Q23" s="402">
        <f ca="1"/>
        <v>8.8206088006944745E-7</v>
      </c>
      <c r="R23" s="402">
        <f ca="1"/>
        <v>8.8206088006944724E-7</v>
      </c>
      <c r="S23" s="402">
        <f ca="1"/>
        <v>8.8206088006991226E-7</v>
      </c>
      <c r="T23" s="402">
        <f ca="1"/>
        <v>8.8206088009858538E-7</v>
      </c>
      <c r="U23" s="402">
        <f ca="1"/>
        <v>5.393056697027096E-3</v>
      </c>
      <c r="V23" s="403">
        <f ca="1"/>
        <v>8.8206088009858538E-7</v>
      </c>
      <c r="W23" s="357"/>
      <c r="X23" s="400" t="s">
        <v>308</v>
      </c>
      <c r="Y23" s="430">
        <f t="shared" ref="Y23:Y31" ca="1" si="1">SUM(P23:V23)</f>
        <v>5.3978097909168467E-3</v>
      </c>
      <c r="AA23" s="400" t="s">
        <v>308</v>
      </c>
      <c r="AB23" s="433" t="s">
        <v>305</v>
      </c>
      <c r="AD23" s="356" t="s">
        <v>345</v>
      </c>
      <c r="AJ23" s="365"/>
      <c r="AK23" s="365"/>
      <c r="AL23" s="365"/>
    </row>
    <row r="24" spans="1:38" x14ac:dyDescent="0.3">
      <c r="C24" s="441" t="s">
        <v>355</v>
      </c>
      <c r="D24" s="441"/>
      <c r="E24" s="441"/>
      <c r="F24" s="441"/>
      <c r="G24" s="441"/>
      <c r="H24" s="442" t="s">
        <v>356</v>
      </c>
      <c r="I24" s="442"/>
      <c r="J24" s="442"/>
      <c r="K24" s="442"/>
      <c r="L24" s="442"/>
      <c r="O24" s="404" t="s">
        <v>309</v>
      </c>
      <c r="P24" s="405">
        <f ca="1"/>
        <v>0</v>
      </c>
      <c r="Q24" s="392">
        <f ca="1"/>
        <v>-1.0715693682077453E-6</v>
      </c>
      <c r="R24" s="392">
        <f ca="1"/>
        <v>1.1417492894193677E-6</v>
      </c>
      <c r="S24" s="392">
        <f ca="1"/>
        <v>1.1417492894193677E-6</v>
      </c>
      <c r="T24" s="392">
        <f ca="1"/>
        <v>1.1417492893481417E-6</v>
      </c>
      <c r="U24" s="392">
        <f ca="1"/>
        <v>1.1417492893481342E-2</v>
      </c>
      <c r="V24" s="406">
        <f ca="1"/>
        <v>1.1417492893481417E-6</v>
      </c>
      <c r="W24" s="357"/>
      <c r="X24" s="404" t="s">
        <v>309</v>
      </c>
      <c r="Y24" s="431">
        <f t="shared" ca="1" si="1"/>
        <v>1.142098832127067E-2</v>
      </c>
      <c r="AA24" s="404" t="s">
        <v>309</v>
      </c>
      <c r="AB24" s="434" t="s">
        <v>305</v>
      </c>
      <c r="AJ24" s="365"/>
    </row>
    <row r="25" spans="1:38" ht="23.25" x14ac:dyDescent="0.3">
      <c r="B25" s="357" t="s">
        <v>307</v>
      </c>
      <c r="C25" s="383" t="s">
        <v>393</v>
      </c>
      <c r="D25" s="383" t="s">
        <v>394</v>
      </c>
      <c r="E25" s="383" t="s">
        <v>395</v>
      </c>
      <c r="F25" s="383" t="s">
        <v>396</v>
      </c>
      <c r="G25" s="383" t="s">
        <v>397</v>
      </c>
      <c r="H25" s="384" t="s">
        <v>398</v>
      </c>
      <c r="I25" s="384" t="s">
        <v>399</v>
      </c>
      <c r="J25" s="384" t="s">
        <v>400</v>
      </c>
      <c r="K25" s="384" t="s">
        <v>401</v>
      </c>
      <c r="L25" s="384" t="s">
        <v>402</v>
      </c>
      <c r="O25" s="404" t="s">
        <v>310</v>
      </c>
      <c r="P25" s="407">
        <f ca="1"/>
        <v>0</v>
      </c>
      <c r="Q25" s="408">
        <f ca="1"/>
        <v>2.5776530763174137E-2</v>
      </c>
      <c r="R25" s="408">
        <f ca="1"/>
        <v>2.577323148966925E-2</v>
      </c>
      <c r="S25" s="408">
        <f ca="1"/>
        <v>-7.2162042864125751E-7</v>
      </c>
      <c r="T25" s="408">
        <f ca="1"/>
        <v>-7.2162042857003146E-7</v>
      </c>
      <c r="U25" s="408">
        <f ca="1"/>
        <v>-7.2162042857002451E-3</v>
      </c>
      <c r="V25" s="409">
        <f ca="1"/>
        <v>-7.2162042857003146E-7</v>
      </c>
      <c r="W25" s="357"/>
      <c r="X25" s="404" t="s">
        <v>310</v>
      </c>
      <c r="Y25" s="431">
        <f t="shared" ca="1" si="1"/>
        <v>4.4331393105857354E-2</v>
      </c>
      <c r="AA25" s="404" t="s">
        <v>310</v>
      </c>
      <c r="AB25" s="434" t="s">
        <v>305</v>
      </c>
    </row>
    <row r="26" spans="1:38" ht="23.25" x14ac:dyDescent="0.3">
      <c r="B26" s="357" t="s">
        <v>403</v>
      </c>
      <c r="C26" s="410">
        <f>-EXP(1)*('USD Curve'!$N$8-'USD Curve'!$V$8)*'USD Curve'!$AC$8*$Q$8</f>
        <v>3.427894893448131E-7</v>
      </c>
      <c r="D26" s="411">
        <v>0</v>
      </c>
      <c r="E26" s="411">
        <v>0</v>
      </c>
      <c r="F26" s="411">
        <v>0</v>
      </c>
      <c r="G26" s="411">
        <v>0</v>
      </c>
      <c r="H26" s="412">
        <f>-Phi*N*'USD Curve'!$AC$8*$Q$8</f>
        <v>98.228077410510949</v>
      </c>
      <c r="I26" s="412">
        <v>0</v>
      </c>
      <c r="J26" s="412">
        <v>0</v>
      </c>
      <c r="K26" s="412">
        <v>0</v>
      </c>
      <c r="L26" s="413">
        <v>0</v>
      </c>
      <c r="O26" s="404" t="s">
        <v>311</v>
      </c>
      <c r="P26" s="405">
        <f ca="1"/>
        <v>0</v>
      </c>
      <c r="Q26" s="392">
        <f ca="1"/>
        <v>-0.55073399647161936</v>
      </c>
      <c r="R26" s="392">
        <f ca="1"/>
        <v>-0.55073399647161936</v>
      </c>
      <c r="S26" s="392">
        <f ca="1"/>
        <v>-0.51658371358194977</v>
      </c>
      <c r="T26" s="392">
        <f ca="1"/>
        <v>-5.5073399647161941E-5</v>
      </c>
      <c r="U26" s="392">
        <f ca="1"/>
        <v>-3.420535628931675E-2</v>
      </c>
      <c r="V26" s="406">
        <f ca="1"/>
        <v>-5.5073399647161941E-5</v>
      </c>
      <c r="W26" s="357"/>
      <c r="X26" s="404" t="s">
        <v>311</v>
      </c>
      <c r="Y26" s="431">
        <f t="shared" ca="1" si="1"/>
        <v>-1.6523672096137996</v>
      </c>
      <c r="AA26" s="404" t="s">
        <v>311</v>
      </c>
      <c r="AB26" s="434" t="s">
        <v>305</v>
      </c>
    </row>
    <row r="27" spans="1:38" ht="23.25" x14ac:dyDescent="0.3">
      <c r="B27" s="414" t="s">
        <v>404</v>
      </c>
      <c r="C27" s="394">
        <f>-EXP(1)*('USD Curve'!$N$8-'USD Curve'!$V$8)*'USD Curve'!$AC$8*$Q$8</f>
        <v>3.427894893448131E-7</v>
      </c>
      <c r="D27" s="391">
        <f>-EXP(2)*('USD Curve'!$N$8-'USD Curve'!$V$9)*'USD Curve'!$AC$9*$Q$9</f>
        <v>-5.3229797752520293E-7</v>
      </c>
      <c r="E27" s="391">
        <v>0</v>
      </c>
      <c r="F27" s="391">
        <f>-EXP(4)*('USD Curve'!$N$8-'USD Curve'!$V$11)*'USD Curve'!$AC$11</f>
        <v>-8.3771674963213291E-3</v>
      </c>
      <c r="G27" s="391">
        <f>-EXP(5)*('USD Curve'!$N$8-'USD Curve'!$V$12)*'USD Curve'!$AC$12</f>
        <v>0.12503097516417716</v>
      </c>
      <c r="H27" s="392">
        <f>-Phi*N*'USD Curve'!$AC$8*$Q$8</f>
        <v>98.228077410510949</v>
      </c>
      <c r="I27" s="392">
        <f>-Phi*N*'USD Curve'!$AC$9*$Q$9</f>
        <v>96.957872860118911</v>
      </c>
      <c r="J27" s="392">
        <v>0</v>
      </c>
      <c r="K27" s="392">
        <v>0</v>
      </c>
      <c r="L27" s="393">
        <v>0</v>
      </c>
      <c r="O27" s="404" t="s">
        <v>312</v>
      </c>
      <c r="P27" s="407">
        <f ca="1"/>
        <v>0</v>
      </c>
      <c r="Q27" s="408">
        <f ca="1"/>
        <v>0.64161127337630097</v>
      </c>
      <c r="R27" s="408">
        <f ca="1"/>
        <v>0.64161127337630097</v>
      </c>
      <c r="S27" s="408">
        <f ca="1"/>
        <v>0.64161127337630097</v>
      </c>
      <c r="T27" s="408">
        <f ca="1"/>
        <v>6.4161127337630103E-5</v>
      </c>
      <c r="U27" s="408">
        <f ca="1"/>
        <v>6.4161127337630103E-5</v>
      </c>
      <c r="V27" s="409">
        <f ca="1"/>
        <v>6.4161127337630103E-5</v>
      </c>
      <c r="W27" s="357"/>
      <c r="X27" s="404" t="s">
        <v>312</v>
      </c>
      <c r="Y27" s="431">
        <f t="shared" ca="1" si="1"/>
        <v>1.9250263035109156</v>
      </c>
      <c r="AA27" s="404" t="s">
        <v>312</v>
      </c>
      <c r="AB27" s="434" t="s">
        <v>305</v>
      </c>
    </row>
    <row r="28" spans="1:38" ht="23.25" x14ac:dyDescent="0.3">
      <c r="B28" s="414" t="s">
        <v>405</v>
      </c>
      <c r="C28" s="415">
        <f>-EXP(1)*('USD Curve'!$N$8-'USD Curve'!$V$8)*'USD Curve'!$AC$8*$Q$8</f>
        <v>3.427894893448131E-7</v>
      </c>
      <c r="D28" s="416">
        <f>-EXP(2)*('USD Curve'!$N$8-'USD Curve'!$V$9)*'USD Curve'!$AC$9*$Q$9</f>
        <v>-5.3229797752520293E-7</v>
      </c>
      <c r="E28" s="416">
        <f>-EXP(3)*('USD Curve'!$N$8-'USD Curve'!$V$10)*'USD Curve'!$AC$10*$Q$10</f>
        <v>-1.0859548472603327E-6</v>
      </c>
      <c r="F28" s="416">
        <f>-EXP(4)*('USD Curve'!$N$8-'USD Curve'!$V$11)*'USD Curve'!$AC$11</f>
        <v>-8.3771674963213291E-3</v>
      </c>
      <c r="G28" s="416">
        <f>-EXP(5)*('USD Curve'!$N$8-'USD Curve'!$V$12)*'USD Curve'!$AC$12</f>
        <v>0.12503097516417716</v>
      </c>
      <c r="H28" s="408">
        <f>-Phi*N*'USD Curve'!$AC$8*$Q$8</f>
        <v>98.228077410510949</v>
      </c>
      <c r="I28" s="408">
        <f>-Phi*N*'USD Curve'!$AC$9*$Q$9</f>
        <v>96.957872860118911</v>
      </c>
      <c r="J28" s="408">
        <f>-Phi*N*'USD Curve'!$AC$10*$Q$10</f>
        <v>95.767108853972857</v>
      </c>
      <c r="K28" s="408">
        <v>0</v>
      </c>
      <c r="L28" s="417">
        <v>0</v>
      </c>
      <c r="O28" s="404" t="s">
        <v>313</v>
      </c>
      <c r="P28" s="405">
        <f ca="1"/>
        <v>98.228077410510949</v>
      </c>
      <c r="Q28" s="392">
        <f ca="1"/>
        <v>0</v>
      </c>
      <c r="R28" s="392">
        <f ca="1"/>
        <v>1.6151139266262924E-14</v>
      </c>
      <c r="S28" s="392">
        <f ca="1"/>
        <v>2.1400131077185563E-14</v>
      </c>
      <c r="T28" s="392">
        <f ca="1"/>
        <v>-3.1554436208840472E-30</v>
      </c>
      <c r="U28" s="392">
        <f ca="1"/>
        <v>-2.1400131077185566E-14</v>
      </c>
      <c r="V28" s="406">
        <f ca="1"/>
        <v>1.070006553859278E-14</v>
      </c>
      <c r="W28" s="357"/>
      <c r="X28" s="404" t="s">
        <v>313</v>
      </c>
      <c r="Y28" s="431">
        <f t="shared" ca="1" si="1"/>
        <v>98.228077410510977</v>
      </c>
      <c r="AA28" s="404" t="s">
        <v>313</v>
      </c>
      <c r="AB28" s="435">
        <f ca="1">-Y28/P28</f>
        <v>-1.0000000000000002</v>
      </c>
    </row>
    <row r="29" spans="1:38" ht="23.25" x14ac:dyDescent="0.3">
      <c r="B29" s="414" t="s">
        <v>406</v>
      </c>
      <c r="C29" s="394">
        <f>-EXP(1)*('USD Curve'!$N$8-'USD Curve'!$V$8)*'USD Curve'!$AC$8*$Q$8</f>
        <v>3.427894893448131E-7</v>
      </c>
      <c r="D29" s="391">
        <f>-EXP(2)*('USD Curve'!$N$8-'USD Curve'!$V$9)*'USD Curve'!$AC$9*$Q$9</f>
        <v>-5.3229797752520293E-7</v>
      </c>
      <c r="E29" s="391">
        <f>-EXP(3)*('USD Curve'!$N$8-'USD Curve'!$V$10)*'USD Curve'!$AC$10*$Q$10</f>
        <v>-1.0859548472603327E-6</v>
      </c>
      <c r="F29" s="391">
        <f>-EXP(4)*('USD Curve'!$N$8-'USD Curve'!$V$11)*'USD Curve'!$AC$11*$Q$11</f>
        <v>-8.3771674963213298E-7</v>
      </c>
      <c r="G29" s="391">
        <f>-EXP(5)*('USD Curve'!$N$8-'USD Curve'!$V$12)*'USD Curve'!$AC$12</f>
        <v>0.12503097516417716</v>
      </c>
      <c r="H29" s="392">
        <f>-Phi*N*'USD Curve'!$AC$8*$Q$8</f>
        <v>98.228077410510949</v>
      </c>
      <c r="I29" s="392">
        <f>-Phi*N*'USD Curve'!$AC$9*$Q$9</f>
        <v>96.957872860118911</v>
      </c>
      <c r="J29" s="392">
        <f>-Phi*N*'USD Curve'!$AC$10*$Q$10</f>
        <v>95.767108853972857</v>
      </c>
      <c r="K29" s="392">
        <f>-Phi*N*'USD Curve'!$AC$11*$Q$11</f>
        <v>94.557430254967898</v>
      </c>
      <c r="L29" s="393">
        <v>0</v>
      </c>
      <c r="O29" s="404" t="s">
        <v>314</v>
      </c>
      <c r="P29" s="407">
        <f ca="1"/>
        <v>0</v>
      </c>
      <c r="Q29" s="408">
        <f ca="1"/>
        <v>195.18595027062975</v>
      </c>
      <c r="R29" s="408">
        <f ca="1"/>
        <v>-1.7053025658242404E-13</v>
      </c>
      <c r="S29" s="408">
        <f ca="1"/>
        <v>-1.7053025658242404E-13</v>
      </c>
      <c r="T29" s="408">
        <f ca="1"/>
        <v>-1.1737079464253186E-13</v>
      </c>
      <c r="U29" s="408">
        <f ca="1"/>
        <v>5.3159461939892194E-14</v>
      </c>
      <c r="V29" s="409">
        <f ca="1"/>
        <v>-1.4395052561247795E-13</v>
      </c>
      <c r="W29" s="357"/>
      <c r="X29" s="404" t="s">
        <v>314</v>
      </c>
      <c r="Y29" s="431">
        <f t="shared" ca="1" si="1"/>
        <v>195.18595027062921</v>
      </c>
      <c r="AA29" s="404" t="s">
        <v>314</v>
      </c>
      <c r="AB29" s="435">
        <f ca="1">-Y29/Q29</f>
        <v>-0.99999999999999722</v>
      </c>
    </row>
    <row r="30" spans="1:38" ht="23.25" x14ac:dyDescent="0.3">
      <c r="B30" s="414" t="s">
        <v>407</v>
      </c>
      <c r="C30" s="415">
        <f>-EXP(1)*('USD Curve'!$N$8-'USD Curve'!$V$8)*'USD Curve'!$AC$8*$Q$8</f>
        <v>3.427894893448131E-7</v>
      </c>
      <c r="D30" s="416">
        <f>-EXP(2)*('USD Curve'!$N$8-'USD Curve'!$V$9)*'USD Curve'!$AC$9*$Q$9</f>
        <v>-5.3229797752520293E-7</v>
      </c>
      <c r="E30" s="416">
        <f>-EXP(3)*('USD Curve'!$N$8-'USD Curve'!$V$10)*'USD Curve'!$AC$10*$Q$10</f>
        <v>-1.0859548472603327E-6</v>
      </c>
      <c r="F30" s="416">
        <f>-EXP(4)*('USD Curve'!$N$8-'USD Curve'!$V$11)*'USD Curve'!$AC$11*$Q$11</f>
        <v>-8.3771674963213298E-7</v>
      </c>
      <c r="G30" s="416">
        <f>-EXP(5)*('USD Curve'!$N$8-'USD Curve'!$V$12)*'USD Curve'!$AC$12*$Q$12</f>
        <v>1.2503097516417716E-5</v>
      </c>
      <c r="H30" s="408">
        <f>-Phi*N*'USD Curve'!$AC$8*$Q$8</f>
        <v>98.228077410510949</v>
      </c>
      <c r="I30" s="408">
        <f>-Phi*N*'USD Curve'!$AC$9*$Q$9</f>
        <v>96.957872860118911</v>
      </c>
      <c r="J30" s="408">
        <f>-Phi*N*'USD Curve'!$AC$10*$Q$10</f>
        <v>95.767108853972857</v>
      </c>
      <c r="K30" s="408">
        <f>-Phi*N*'USD Curve'!$AC$11*$Q$11</f>
        <v>94.557430254967898</v>
      </c>
      <c r="L30" s="417">
        <f>-Phi*N*'USD Curve'!$AC$12*$Q$12</f>
        <v>93.307376587858485</v>
      </c>
      <c r="O30" s="404" t="s">
        <v>315</v>
      </c>
      <c r="P30" s="405">
        <f ca="1"/>
        <v>0</v>
      </c>
      <c r="Q30" s="392">
        <f ca="1"/>
        <v>0</v>
      </c>
      <c r="R30" s="392">
        <f ca="1"/>
        <v>290.95305912460276</v>
      </c>
      <c r="S30" s="392">
        <f ca="1"/>
        <v>5.6843418860808015E-14</v>
      </c>
      <c r="T30" s="392">
        <f ca="1"/>
        <v>3.6839569209158207E-15</v>
      </c>
      <c r="U30" s="392">
        <f ca="1"/>
        <v>-5.3159461939892194E-14</v>
      </c>
      <c r="V30" s="406">
        <f ca="1"/>
        <v>3.0263687890861921E-14</v>
      </c>
      <c r="W30" s="357"/>
      <c r="X30" s="404" t="s">
        <v>315</v>
      </c>
      <c r="Y30" s="431">
        <f t="shared" ca="1" si="1"/>
        <v>290.95305912460282</v>
      </c>
      <c r="AA30" s="404" t="s">
        <v>315</v>
      </c>
      <c r="AB30" s="435">
        <f ca="1">-Y30/R30</f>
        <v>-1.0000000000000002</v>
      </c>
    </row>
    <row r="31" spans="1:38" ht="23.25" x14ac:dyDescent="0.3">
      <c r="B31" s="414" t="s">
        <v>408</v>
      </c>
      <c r="C31" s="394">
        <f>-EXP(1)*('USD Curve'!$N$8-'USD Curve'!$V$8)*'USD Curve'!$AC$8*$Q$8</f>
        <v>3.427894893448131E-7</v>
      </c>
      <c r="D31" s="391">
        <f>-EXP(2)*('USD Curve'!$N$8-'USD Curve'!$V$9)*'USD Curve'!$AC$9</f>
        <v>-5.3229797752520295E-3</v>
      </c>
      <c r="E31" s="391">
        <f>-EXP(3)*('USD Curve'!$N$8-'USD Curve'!$V$10)*'USD Curve'!$AC$10</f>
        <v>-1.0859548472603326E-2</v>
      </c>
      <c r="F31" s="391">
        <f>-EXP(4)*('USD Curve'!$N$8-'USD Curve'!$V$11)*'USD Curve'!$AC$11</f>
        <v>-8.3771674963213291E-3</v>
      </c>
      <c r="G31" s="391">
        <f>-EXP(5)*('USD Curve'!$N$8-'USD Curve'!$V$12)*'USD Curve'!$AC$12*$Q$12</f>
        <v>1.2503097516417716E-5</v>
      </c>
      <c r="H31" s="392">
        <v>0</v>
      </c>
      <c r="I31" s="392">
        <v>0</v>
      </c>
      <c r="J31" s="392">
        <v>0</v>
      </c>
      <c r="K31" s="392">
        <v>0</v>
      </c>
      <c r="L31" s="393">
        <f>-Phi*N*'USD Curve'!$AC$12*$Q$12</f>
        <v>93.307376587858485</v>
      </c>
      <c r="M31" s="418" t="s">
        <v>261</v>
      </c>
      <c r="O31" s="404" t="s">
        <v>316</v>
      </c>
      <c r="P31" s="407">
        <f ca="1"/>
        <v>0</v>
      </c>
      <c r="Q31" s="408">
        <f ca="1"/>
        <v>0</v>
      </c>
      <c r="R31" s="408">
        <f ca="1"/>
        <v>0</v>
      </c>
      <c r="S31" s="408">
        <f ca="1"/>
        <v>385.51048937957063</v>
      </c>
      <c r="T31" s="408">
        <f ca="1"/>
        <v>0</v>
      </c>
      <c r="U31" s="408">
        <f ca="1"/>
        <v>-385.51048937957063</v>
      </c>
      <c r="V31" s="409">
        <f ca="1"/>
        <v>192.75524468978531</v>
      </c>
      <c r="W31" s="357"/>
      <c r="X31" s="404" t="s">
        <v>316</v>
      </c>
      <c r="Y31" s="431">
        <f t="shared" ca="1" si="1"/>
        <v>192.75524468978531</v>
      </c>
      <c r="AA31" s="404" t="s">
        <v>316</v>
      </c>
      <c r="AB31" s="435">
        <f ca="1">-Y31/S31</f>
        <v>-0.5</v>
      </c>
    </row>
    <row r="32" spans="1:38" ht="23.25" x14ac:dyDescent="0.3">
      <c r="B32" s="414" t="s">
        <v>409</v>
      </c>
      <c r="C32" s="419">
        <f>-EXP(1)*('USD Curve'!$N$8-'USD Curve'!$V$8)*'USD Curve'!$AC$8*$Q$8</f>
        <v>3.427894893448131E-7</v>
      </c>
      <c r="D32" s="420">
        <f>-EXP(2)*('USD Curve'!$N$8-'USD Curve'!$V$9)*'USD Curve'!$AC$9*$Q$9</f>
        <v>-5.3229797752520293E-7</v>
      </c>
      <c r="E32" s="420">
        <f>-EXP(3)*('USD Curve'!$N$8-'USD Curve'!$V$10)*'USD Curve'!$AC$10*$Q$10</f>
        <v>-1.0859548472603327E-6</v>
      </c>
      <c r="F32" s="420">
        <f>-EXP(4)*('USD Curve'!$N$8-'USD Curve'!$V$11)*'USD Curve'!$AC$11*$Q$11</f>
        <v>-8.3771674963213298E-7</v>
      </c>
      <c r="G32" s="420">
        <f>-EXP(5)*('USD Curve'!$N$8-'USD Curve'!$V$12)*'USD Curve'!$AC$12*$Q$12</f>
        <v>1.2503097516417716E-5</v>
      </c>
      <c r="H32" s="421">
        <f>-Phi*N*'USD Curve'!$AC$8*$Q$8</f>
        <v>98.228077410510949</v>
      </c>
      <c r="I32" s="421">
        <f>-Phi*N*'USD Curve'!$AC$9*$Q$9</f>
        <v>96.957872860118911</v>
      </c>
      <c r="J32" s="421">
        <f>-Phi*N*'USD Curve'!$AC$10*$Q$10</f>
        <v>95.767108853972857</v>
      </c>
      <c r="K32" s="421">
        <f>-Phi*N*'USD Curve'!$AC$11*$Q$11</f>
        <v>94.557430254967898</v>
      </c>
      <c r="L32" s="422">
        <f>-Phi*N*'USD Curve'!$AC$12*$Q$12/2</f>
        <v>46.653688293929243</v>
      </c>
      <c r="M32" s="418" t="s">
        <v>262</v>
      </c>
      <c r="O32" s="423" t="s">
        <v>317</v>
      </c>
      <c r="P32" s="424">
        <f ca="1"/>
        <v>0</v>
      </c>
      <c r="Q32" s="425">
        <f ca="1"/>
        <v>0</v>
      </c>
      <c r="R32" s="425">
        <f ca="1"/>
        <v>0</v>
      </c>
      <c r="S32" s="425">
        <f ca="1"/>
        <v>0</v>
      </c>
      <c r="T32" s="425">
        <f ca="1"/>
        <v>478.8178659674291</v>
      </c>
      <c r="U32" s="425">
        <f ca="1"/>
        <v>478.8178659674291</v>
      </c>
      <c r="V32" s="426">
        <f ca="1"/>
        <v>239.40893298371455</v>
      </c>
      <c r="W32" s="357"/>
      <c r="X32" s="423" t="s">
        <v>317</v>
      </c>
      <c r="Y32" s="432">
        <f ca="1">SUM(P32:V32)</f>
        <v>1197.0446649185728</v>
      </c>
      <c r="AA32" s="423" t="s">
        <v>317</v>
      </c>
      <c r="AB32" s="436">
        <f ca="1">-Y32/T32</f>
        <v>-2.5</v>
      </c>
    </row>
    <row r="33" spans="2:25" x14ac:dyDescent="0.3">
      <c r="W33" s="357"/>
    </row>
    <row r="34" spans="2:25" x14ac:dyDescent="0.3">
      <c r="B34" s="427" t="s">
        <v>410</v>
      </c>
      <c r="P34" s="366" t="s">
        <v>319</v>
      </c>
      <c r="W34" s="357"/>
      <c r="Y34" s="371" t="s">
        <v>346</v>
      </c>
    </row>
    <row r="35" spans="2:25" x14ac:dyDescent="0.3">
      <c r="B35" s="418" t="s">
        <v>411</v>
      </c>
      <c r="P35" s="372" t="s">
        <v>339</v>
      </c>
      <c r="Q35" s="373" t="s">
        <v>340</v>
      </c>
      <c r="R35" s="373" t="s">
        <v>343</v>
      </c>
      <c r="S35" s="373" t="s">
        <v>341</v>
      </c>
      <c r="T35" s="373" t="s">
        <v>342</v>
      </c>
      <c r="U35" s="374" t="s">
        <v>318</v>
      </c>
      <c r="V35" s="375" t="s">
        <v>268</v>
      </c>
      <c r="W35" s="357"/>
      <c r="X35" s="357"/>
      <c r="Y35" s="376">
        <f ca="1">SUM(Y23:Y32)</f>
        <v>1974.5008056992162</v>
      </c>
    </row>
    <row r="36" spans="2:25" x14ac:dyDescent="0.3">
      <c r="P36" s="377">
        <f t="shared" ref="P36:V36" ca="1" si="2">SUM(P23:P32)</f>
        <v>98.22807775330044</v>
      </c>
      <c r="Q36" s="378">
        <f t="shared" ca="1" si="2"/>
        <v>195.30260388878912</v>
      </c>
      <c r="R36" s="378">
        <f t="shared" ca="1" si="2"/>
        <v>291.0697116568071</v>
      </c>
      <c r="S36" s="378">
        <f t="shared" ca="1" si="2"/>
        <v>385.63551824155462</v>
      </c>
      <c r="T36" s="378">
        <f t="shared" ca="1" si="2"/>
        <v>478.81787635734639</v>
      </c>
      <c r="U36" s="378">
        <f t="shared" ca="1" si="2"/>
        <v>93.282829738001283</v>
      </c>
      <c r="V36" s="379">
        <f t="shared" ca="1" si="2"/>
        <v>432.16418806341721</v>
      </c>
      <c r="W36" s="357"/>
    </row>
    <row r="37" spans="2:25" x14ac:dyDescent="0.3">
      <c r="W37" s="357"/>
    </row>
    <row r="38" spans="2:25" x14ac:dyDescent="0.3">
      <c r="P38" s="356" t="s">
        <v>412</v>
      </c>
      <c r="W38" s="357"/>
    </row>
    <row r="39" spans="2:25" x14ac:dyDescent="0.3">
      <c r="W39" s="357"/>
    </row>
    <row r="40" spans="2:25" x14ac:dyDescent="0.3">
      <c r="B40" s="366" t="s">
        <v>348</v>
      </c>
      <c r="W40" s="357"/>
    </row>
    <row r="41" spans="2:25" x14ac:dyDescent="0.3">
      <c r="B41" s="356" t="s">
        <v>320</v>
      </c>
      <c r="W41" s="357"/>
    </row>
    <row r="42" spans="2:25" x14ac:dyDescent="0.3">
      <c r="W42" s="357"/>
    </row>
    <row r="43" spans="2:25" x14ac:dyDescent="0.3">
      <c r="C43" s="440" t="s">
        <v>358</v>
      </c>
      <c r="D43" s="440"/>
      <c r="E43" s="440"/>
      <c r="F43" s="440"/>
      <c r="G43" s="440"/>
      <c r="H43" s="440"/>
      <c r="I43" s="440"/>
      <c r="J43" s="440"/>
      <c r="K43" s="440"/>
      <c r="L43" s="440"/>
      <c r="W43" s="357"/>
    </row>
    <row r="44" spans="2:25" x14ac:dyDescent="0.3">
      <c r="C44" s="441" t="s">
        <v>355</v>
      </c>
      <c r="D44" s="441"/>
      <c r="E44" s="441"/>
      <c r="F44" s="441"/>
      <c r="G44" s="441"/>
      <c r="H44" s="442" t="s">
        <v>356</v>
      </c>
      <c r="I44" s="442"/>
      <c r="J44" s="442"/>
      <c r="K44" s="442"/>
      <c r="L44" s="442"/>
      <c r="W44" s="357"/>
    </row>
    <row r="45" spans="2:25" ht="23.25" x14ac:dyDescent="0.3">
      <c r="B45" s="357" t="s">
        <v>307</v>
      </c>
      <c r="C45" s="383" t="s">
        <v>393</v>
      </c>
      <c r="D45" s="383" t="s">
        <v>394</v>
      </c>
      <c r="E45" s="383" t="s">
        <v>395</v>
      </c>
      <c r="F45" s="383" t="s">
        <v>396</v>
      </c>
      <c r="G45" s="383" t="s">
        <v>397</v>
      </c>
      <c r="H45" s="384" t="s">
        <v>398</v>
      </c>
      <c r="I45" s="384" t="s">
        <v>399</v>
      </c>
      <c r="J45" s="384" t="s">
        <v>400</v>
      </c>
      <c r="K45" s="384" t="s">
        <v>401</v>
      </c>
      <c r="L45" s="384" t="s">
        <v>402</v>
      </c>
      <c r="W45" s="357"/>
    </row>
    <row r="46" spans="2:25" ht="23.25" x14ac:dyDescent="0.3">
      <c r="B46" s="414" t="s">
        <v>405</v>
      </c>
      <c r="C46" s="428">
        <f>-EXP(1)*('USD Curve'!$N$8-'USD Curve'!$V$8)*'USD Curve'!$AC$8*$Q$8</f>
        <v>3.427894893448131E-7</v>
      </c>
      <c r="D46" s="429">
        <f>-EXP(2)*('USD Curve'!$N$8-'USD Curve'!$V$9)*'USD Curve'!$AC$9*$Q$9</f>
        <v>-5.3229797752520293E-7</v>
      </c>
      <c r="E46" s="429">
        <f>-EXP(3)*('USD Curve'!$N$8-'USD Curve'!$V$10)*'USD Curve'!$AC$10*$Q$10</f>
        <v>-1.0859548472603327E-6</v>
      </c>
      <c r="F46" s="429">
        <f>-EXP(4)*('USD Curve'!$N$8-'USD Curve'!$V$11)*'USD Curve'!$AC$11</f>
        <v>-8.3771674963213291E-3</v>
      </c>
      <c r="G46" s="429">
        <f>-EXP(5)*('USD Curve'!$N$8-'USD Curve'!$V$12)*'USD Curve'!$AC$12</f>
        <v>0.12503097516417716</v>
      </c>
      <c r="H46" s="378">
        <f ca="1">H28</f>
        <v>98.228077410510949</v>
      </c>
      <c r="I46" s="378">
        <f ca="1">I28</f>
        <v>96.957872860118911</v>
      </c>
      <c r="J46" s="378">
        <f ca="1">J28</f>
        <v>95.767108853972857</v>
      </c>
      <c r="K46" s="378">
        <f ca="1">K28</f>
        <v>0</v>
      </c>
      <c r="L46" s="379">
        <f ca="1">L28</f>
        <v>0</v>
      </c>
      <c r="W46" s="357"/>
    </row>
    <row r="47" spans="2:25" x14ac:dyDescent="0.3">
      <c r="W47" s="357"/>
    </row>
    <row r="48" spans="2:25" x14ac:dyDescent="0.3">
      <c r="W48" s="357"/>
    </row>
    <row r="49" spans="23:23" x14ac:dyDescent="0.3">
      <c r="W49" s="357"/>
    </row>
    <row r="50" spans="23:23" x14ac:dyDescent="0.3">
      <c r="W50" s="357"/>
    </row>
    <row r="51" spans="23:23" x14ac:dyDescent="0.3">
      <c r="W51" s="357"/>
    </row>
    <row r="52" spans="23:23" x14ac:dyDescent="0.3">
      <c r="W52" s="357"/>
    </row>
    <row r="53" spans="23:23" x14ac:dyDescent="0.3">
      <c r="W53" s="357"/>
    </row>
    <row r="54" spans="23:23" x14ac:dyDescent="0.3">
      <c r="W54" s="357"/>
    </row>
    <row r="55" spans="23:23" x14ac:dyDescent="0.3">
      <c r="W55" s="357"/>
    </row>
    <row r="56" spans="23:23" x14ac:dyDescent="0.3">
      <c r="W56" s="357"/>
    </row>
    <row r="57" spans="23:23" x14ac:dyDescent="0.3">
      <c r="W57" s="357"/>
    </row>
    <row r="58" spans="23:23" x14ac:dyDescent="0.3">
      <c r="W58" s="357"/>
    </row>
    <row r="59" spans="23:23" x14ac:dyDescent="0.3">
      <c r="W59" s="357"/>
    </row>
    <row r="60" spans="23:23" x14ac:dyDescent="0.3">
      <c r="W60" s="357"/>
    </row>
    <row r="61" spans="23:23" x14ac:dyDescent="0.3">
      <c r="W61" s="357"/>
    </row>
    <row r="62" spans="23:23" x14ac:dyDescent="0.3">
      <c r="W62" s="357"/>
    </row>
  </sheetData>
  <mergeCells count="11">
    <mergeCell ref="C44:G44"/>
    <mergeCell ref="H44:L44"/>
    <mergeCell ref="C24:G24"/>
    <mergeCell ref="H24:L24"/>
    <mergeCell ref="C6:G6"/>
    <mergeCell ref="H6:L6"/>
    <mergeCell ref="A8:A17"/>
    <mergeCell ref="P21:V21"/>
    <mergeCell ref="C23:L23"/>
    <mergeCell ref="C5:L5"/>
    <mergeCell ref="C43:L43"/>
  </mergeCells>
  <pageMargins left="0.7" right="0.7" top="0.75" bottom="0.75" header="0.3" footer="0.3"/>
  <pageSetup orientation="portrait" r:id="rId1"/>
  <ignoredErrors>
    <ignoredError sqref="D31 E31:F31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8B40-EA6A-47B1-8025-30CC0CE86D7A}">
  <sheetPr codeName="Sheet8"/>
  <dimension ref="A2:AD60"/>
  <sheetViews>
    <sheetView showGridLines="0" zoomScaleNormal="100" workbookViewId="0"/>
  </sheetViews>
  <sheetFormatPr defaultRowHeight="20.25" x14ac:dyDescent="0.3"/>
  <cols>
    <col min="1" max="1" width="9.140625" style="356"/>
    <col min="2" max="2" width="15.7109375" style="356" customWidth="1"/>
    <col min="3" max="10" width="12.7109375" style="356" customWidth="1"/>
    <col min="11" max="12" width="9.28515625" style="356" bestFit="1" customWidth="1"/>
    <col min="13" max="13" width="9.140625" style="356"/>
    <col min="14" max="14" width="17.5703125" style="356" customWidth="1"/>
    <col min="15" max="22" width="15.7109375" style="356" customWidth="1"/>
    <col min="23" max="23" width="9.28515625" style="356" bestFit="1" customWidth="1"/>
    <col min="24" max="24" width="15.7109375" style="356" customWidth="1"/>
    <col min="25" max="26" width="12.7109375" style="356" customWidth="1"/>
    <col min="27" max="27" width="15.7109375" style="356" customWidth="1"/>
    <col min="28" max="28" width="12.7109375" style="356" customWidth="1"/>
    <col min="29" max="29" width="10.7109375" style="356" customWidth="1"/>
    <col min="30" max="16384" width="9.140625" style="356"/>
  </cols>
  <sheetData>
    <row r="2" spans="1:26" x14ac:dyDescent="0.3">
      <c r="B2" s="366" t="s">
        <v>327</v>
      </c>
    </row>
    <row r="3" spans="1:26" x14ac:dyDescent="0.3">
      <c r="B3" s="356" t="s">
        <v>326</v>
      </c>
    </row>
    <row r="4" spans="1:26" x14ac:dyDescent="0.3">
      <c r="B4" s="356" t="s">
        <v>347</v>
      </c>
    </row>
    <row r="5" spans="1:26" x14ac:dyDescent="0.3">
      <c r="O5" s="357"/>
      <c r="P5" s="357"/>
      <c r="Q5" s="357"/>
      <c r="R5" s="357"/>
      <c r="S5" s="357"/>
      <c r="T5" s="357"/>
      <c r="U5" s="357"/>
      <c r="V5" s="357"/>
      <c r="W5" s="357"/>
      <c r="X5" s="357"/>
    </row>
    <row r="7" spans="1:26" x14ac:dyDescent="0.3">
      <c r="B7" s="443" t="s">
        <v>413</v>
      </c>
      <c r="N7" s="443" t="s">
        <v>414</v>
      </c>
      <c r="X7" s="380" t="s">
        <v>257</v>
      </c>
    </row>
    <row r="8" spans="1:26" x14ac:dyDescent="0.3">
      <c r="B8" s="444" t="s">
        <v>328</v>
      </c>
      <c r="N8" s="444" t="s">
        <v>329</v>
      </c>
      <c r="X8" s="381" t="s">
        <v>276</v>
      </c>
    </row>
    <row r="9" spans="1:26" x14ac:dyDescent="0.3">
      <c r="O9" s="365"/>
    </row>
    <row r="10" spans="1:26" x14ac:dyDescent="0.3">
      <c r="C10" s="445" t="s">
        <v>357</v>
      </c>
      <c r="D10" s="446"/>
      <c r="E10" s="446"/>
      <c r="F10" s="446"/>
      <c r="G10" s="446"/>
      <c r="H10" s="446"/>
      <c r="I10" s="446"/>
      <c r="J10" s="446"/>
      <c r="K10" s="357"/>
      <c r="L10" s="357"/>
      <c r="O10" s="445" t="s">
        <v>435</v>
      </c>
      <c r="P10" s="446"/>
      <c r="Q10" s="446"/>
      <c r="R10" s="446"/>
      <c r="S10" s="446"/>
      <c r="T10" s="446"/>
      <c r="U10" s="446"/>
      <c r="V10" s="446"/>
      <c r="Y10" s="357" t="s">
        <v>259</v>
      </c>
      <c r="Z10" s="357" t="s">
        <v>270</v>
      </c>
    </row>
    <row r="11" spans="1:26" ht="23.25" x14ac:dyDescent="0.3">
      <c r="B11" s="357"/>
      <c r="C11" s="382" t="s">
        <v>415</v>
      </c>
      <c r="D11" s="382" t="s">
        <v>416</v>
      </c>
      <c r="E11" s="382" t="s">
        <v>417</v>
      </c>
      <c r="F11" s="382" t="s">
        <v>418</v>
      </c>
      <c r="G11" s="382" t="s">
        <v>419</v>
      </c>
      <c r="H11" s="382" t="s">
        <v>420</v>
      </c>
      <c r="I11" s="382" t="s">
        <v>421</v>
      </c>
      <c r="J11" s="382" t="s">
        <v>422</v>
      </c>
      <c r="K11" s="357"/>
      <c r="N11" s="357"/>
      <c r="O11" s="357" t="s">
        <v>360</v>
      </c>
      <c r="P11" s="357" t="s">
        <v>361</v>
      </c>
      <c r="Q11" s="357" t="s">
        <v>363</v>
      </c>
      <c r="R11" s="357" t="s">
        <v>364</v>
      </c>
      <c r="S11" s="357" t="s">
        <v>365</v>
      </c>
      <c r="T11" s="357" t="s">
        <v>366</v>
      </c>
      <c r="U11" s="357" t="s">
        <v>368</v>
      </c>
      <c r="V11" s="357" t="s">
        <v>369</v>
      </c>
      <c r="X11" s="357" t="s">
        <v>360</v>
      </c>
      <c r="Y11" s="358">
        <v>1</v>
      </c>
      <c r="Z11" s="359">
        <f t="shared" ref="Z11:Z19" si="0">Y11/10000</f>
        <v>1E-4</v>
      </c>
    </row>
    <row r="12" spans="1:26" ht="23.25" x14ac:dyDescent="0.3">
      <c r="A12" s="357"/>
      <c r="B12" s="357" t="s">
        <v>360</v>
      </c>
      <c r="C12" s="485">
        <v>1</v>
      </c>
      <c r="D12" s="464">
        <f>D51+0.5*E51</f>
        <v>0</v>
      </c>
      <c r="E12" s="464">
        <f>F51+0.5*E51</f>
        <v>0</v>
      </c>
      <c r="F12" s="478">
        <v>0</v>
      </c>
      <c r="G12" s="478">
        <v>0</v>
      </c>
      <c r="H12" s="464">
        <f>I51+0.5*J51</f>
        <v>0</v>
      </c>
      <c r="I12" s="464">
        <f>K51+0.5*J51</f>
        <v>0</v>
      </c>
      <c r="J12" s="479">
        <v>0</v>
      </c>
      <c r="K12" s="414"/>
      <c r="N12" s="459" t="s">
        <v>383</v>
      </c>
      <c r="O12" s="485" cm="1">
        <f t="array" ref="O12:V19">MINVERSE(C12:J19)</f>
        <v>1</v>
      </c>
      <c r="P12" s="464">
        <v>0</v>
      </c>
      <c r="Q12" s="464">
        <v>0</v>
      </c>
      <c r="R12" s="478">
        <v>0</v>
      </c>
      <c r="S12" s="478">
        <v>0</v>
      </c>
      <c r="T12" s="464">
        <v>0</v>
      </c>
      <c r="U12" s="464">
        <v>0</v>
      </c>
      <c r="V12" s="479">
        <v>0</v>
      </c>
      <c r="X12" s="357" t="s">
        <v>361</v>
      </c>
      <c r="Y12" s="360">
        <v>1</v>
      </c>
      <c r="Z12" s="361">
        <f t="shared" si="0"/>
        <v>1E-4</v>
      </c>
    </row>
    <row r="13" spans="1:26" ht="23.25" x14ac:dyDescent="0.3">
      <c r="A13" s="357"/>
      <c r="B13" s="357" t="s">
        <v>361</v>
      </c>
      <c r="C13" s="486">
        <v>0.50325383191933348</v>
      </c>
      <c r="D13" s="447">
        <f>D52+0.5*E52</f>
        <v>0.49674616808066646</v>
      </c>
      <c r="E13" s="462">
        <f>F52+0.5*E52</f>
        <v>0</v>
      </c>
      <c r="F13" s="480">
        <v>0</v>
      </c>
      <c r="G13" s="480">
        <v>0</v>
      </c>
      <c r="H13" s="462">
        <f>I52+0.5*J52</f>
        <v>0</v>
      </c>
      <c r="I13" s="462">
        <f>K52+0.5*J52</f>
        <v>0</v>
      </c>
      <c r="J13" s="481">
        <v>0</v>
      </c>
      <c r="K13" s="414"/>
      <c r="N13" s="459" t="s">
        <v>384</v>
      </c>
      <c r="O13" s="486">
        <v>-1.013100581860171</v>
      </c>
      <c r="P13" s="447">
        <v>2.0131005818601713</v>
      </c>
      <c r="Q13" s="462">
        <v>0</v>
      </c>
      <c r="R13" s="480">
        <v>0</v>
      </c>
      <c r="S13" s="480">
        <v>0</v>
      </c>
      <c r="T13" s="462">
        <v>0</v>
      </c>
      <c r="U13" s="462">
        <v>0</v>
      </c>
      <c r="V13" s="481">
        <v>0</v>
      </c>
      <c r="X13" s="357" t="s">
        <v>362</v>
      </c>
      <c r="Y13" s="360">
        <v>1</v>
      </c>
      <c r="Z13" s="361">
        <f t="shared" si="0"/>
        <v>1E-4</v>
      </c>
    </row>
    <row r="14" spans="1:26" ht="23.25" x14ac:dyDescent="0.3">
      <c r="A14" s="357"/>
      <c r="B14" s="357" t="s">
        <v>363</v>
      </c>
      <c r="C14" s="486">
        <v>0.25480001223467702</v>
      </c>
      <c r="D14" s="447">
        <f>D54+0.5*E54</f>
        <v>0.37571332370283594</v>
      </c>
      <c r="E14" s="447">
        <f>F54+0.5*E54</f>
        <v>0.36948666406248687</v>
      </c>
      <c r="F14" s="480">
        <v>0</v>
      </c>
      <c r="G14" s="480">
        <v>0</v>
      </c>
      <c r="H14" s="462">
        <f>I54+0.5*J54</f>
        <v>0</v>
      </c>
      <c r="I14" s="462">
        <f>K54+0.5*J54</f>
        <v>0</v>
      </c>
      <c r="J14" s="481">
        <v>0</v>
      </c>
      <c r="K14" s="414"/>
      <c r="N14" s="459" t="s">
        <v>386</v>
      </c>
      <c r="O14" s="486">
        <v>0.34056810938108384</v>
      </c>
      <c r="P14" s="447">
        <v>-2.0470257363088091</v>
      </c>
      <c r="Q14" s="447">
        <v>2.7064576269277256</v>
      </c>
      <c r="R14" s="480">
        <v>0</v>
      </c>
      <c r="S14" s="480">
        <v>0</v>
      </c>
      <c r="T14" s="462">
        <v>0</v>
      </c>
      <c r="U14" s="462">
        <v>0</v>
      </c>
      <c r="V14" s="481">
        <v>0</v>
      </c>
      <c r="X14" s="357" t="s">
        <v>363</v>
      </c>
      <c r="Y14" s="360">
        <v>1</v>
      </c>
      <c r="Z14" s="361">
        <f t="shared" si="0"/>
        <v>1E-4</v>
      </c>
    </row>
    <row r="15" spans="1:26" ht="23.25" x14ac:dyDescent="0.3">
      <c r="A15" s="357"/>
      <c r="B15" s="357" t="s">
        <v>364</v>
      </c>
      <c r="C15" s="486">
        <v>0.20514705985760515</v>
      </c>
      <c r="D15" s="447">
        <f>D55+0.5*E55</f>
        <v>0.30249795920722378</v>
      </c>
      <c r="E15" s="447">
        <f>F55+0.5*E55</f>
        <v>0.29748469053918647</v>
      </c>
      <c r="F15" s="487">
        <v>0.19487029039598447</v>
      </c>
      <c r="G15" s="480">
        <v>0</v>
      </c>
      <c r="H15" s="462">
        <f>I55+0.5*J55</f>
        <v>0</v>
      </c>
      <c r="I15" s="462">
        <f>K55+0.5*J55</f>
        <v>0</v>
      </c>
      <c r="J15" s="481">
        <v>0</v>
      </c>
      <c r="K15" s="448"/>
      <c r="M15" s="449"/>
      <c r="N15" s="459" t="s">
        <v>387</v>
      </c>
      <c r="O15" s="486">
        <v>0</v>
      </c>
      <c r="P15" s="447">
        <v>0</v>
      </c>
      <c r="Q15" s="447">
        <v>-4.1316185651899975</v>
      </c>
      <c r="R15" s="487">
        <v>5.1316185651899975</v>
      </c>
      <c r="S15" s="480">
        <v>0</v>
      </c>
      <c r="T15" s="462">
        <v>0</v>
      </c>
      <c r="U15" s="462">
        <v>0</v>
      </c>
      <c r="V15" s="481">
        <v>0</v>
      </c>
      <c r="X15" s="357" t="s">
        <v>364</v>
      </c>
      <c r="Y15" s="360">
        <v>1</v>
      </c>
      <c r="Z15" s="361">
        <f t="shared" si="0"/>
        <v>1E-4</v>
      </c>
    </row>
    <row r="16" spans="1:26" ht="23.25" x14ac:dyDescent="0.3">
      <c r="A16" s="357"/>
      <c r="B16" s="357" t="s">
        <v>365</v>
      </c>
      <c r="C16" s="482">
        <v>0</v>
      </c>
      <c r="D16" s="462">
        <f>D56+0.5*E56</f>
        <v>0</v>
      </c>
      <c r="E16" s="462">
        <f>F56+0.5*E56</f>
        <v>0</v>
      </c>
      <c r="F16" s="480">
        <v>0</v>
      </c>
      <c r="G16" s="487">
        <v>1</v>
      </c>
      <c r="H16" s="462">
        <f>I56+0.5*J56</f>
        <v>0</v>
      </c>
      <c r="I16" s="462">
        <f>K56+0.5*J56</f>
        <v>0</v>
      </c>
      <c r="J16" s="481">
        <v>0</v>
      </c>
      <c r="K16" s="414"/>
      <c r="N16" s="459" t="s">
        <v>388</v>
      </c>
      <c r="O16" s="482">
        <v>0</v>
      </c>
      <c r="P16" s="462">
        <v>0</v>
      </c>
      <c r="Q16" s="462">
        <v>0</v>
      </c>
      <c r="R16" s="480">
        <v>0</v>
      </c>
      <c r="S16" s="487">
        <v>1</v>
      </c>
      <c r="T16" s="462">
        <v>0</v>
      </c>
      <c r="U16" s="462">
        <v>0</v>
      </c>
      <c r="V16" s="481">
        <v>0</v>
      </c>
      <c r="X16" s="357" t="s">
        <v>365</v>
      </c>
      <c r="Y16" s="360">
        <v>1</v>
      </c>
      <c r="Z16" s="361">
        <f t="shared" si="0"/>
        <v>1E-4</v>
      </c>
    </row>
    <row r="17" spans="1:30" ht="23.25" x14ac:dyDescent="0.3">
      <c r="A17" s="357"/>
      <c r="B17" s="357" t="s">
        <v>366</v>
      </c>
      <c r="C17" s="482">
        <v>0</v>
      </c>
      <c r="D17" s="462">
        <f>D57+0.5*E57</f>
        <v>0</v>
      </c>
      <c r="E17" s="462">
        <f>F57+0.5*E57</f>
        <v>0</v>
      </c>
      <c r="F17" s="480">
        <v>0</v>
      </c>
      <c r="G17" s="487">
        <v>0.50325383191933348</v>
      </c>
      <c r="H17" s="447">
        <f>I57+0.5*J57</f>
        <v>0.49674616808066646</v>
      </c>
      <c r="I17" s="462">
        <f>K57+0.5*J57</f>
        <v>0</v>
      </c>
      <c r="J17" s="481">
        <v>0</v>
      </c>
      <c r="K17" s="414"/>
      <c r="N17" s="459" t="s">
        <v>389</v>
      </c>
      <c r="O17" s="482">
        <v>0</v>
      </c>
      <c r="P17" s="462">
        <v>0</v>
      </c>
      <c r="Q17" s="462">
        <v>0</v>
      </c>
      <c r="R17" s="480">
        <v>0</v>
      </c>
      <c r="S17" s="487">
        <v>-1.013100581860171</v>
      </c>
      <c r="T17" s="447">
        <v>2.0131005818601713</v>
      </c>
      <c r="U17" s="462">
        <v>0</v>
      </c>
      <c r="V17" s="481">
        <v>0</v>
      </c>
      <c r="X17" s="357" t="s">
        <v>366</v>
      </c>
      <c r="Y17" s="360">
        <v>1</v>
      </c>
      <c r="Z17" s="361">
        <f t="shared" si="0"/>
        <v>1E-4</v>
      </c>
    </row>
    <row r="18" spans="1:30" ht="23.25" x14ac:dyDescent="0.3">
      <c r="A18" s="357"/>
      <c r="B18" s="357" t="s">
        <v>368</v>
      </c>
      <c r="C18" s="482">
        <v>0</v>
      </c>
      <c r="D18" s="462">
        <f>D59+0.5*E59</f>
        <v>0</v>
      </c>
      <c r="E18" s="462">
        <f>F59+0.5*E59</f>
        <v>0</v>
      </c>
      <c r="F18" s="480">
        <v>0</v>
      </c>
      <c r="G18" s="487">
        <v>0.25480001223467702</v>
      </c>
      <c r="H18" s="447">
        <f>I59+0.5*J59</f>
        <v>0.37571332370283594</v>
      </c>
      <c r="I18" s="447">
        <f>K59+0.5*J59</f>
        <v>0.36948666406248687</v>
      </c>
      <c r="J18" s="481">
        <v>0</v>
      </c>
      <c r="K18" s="414"/>
      <c r="N18" s="459" t="s">
        <v>391</v>
      </c>
      <c r="O18" s="482">
        <v>0</v>
      </c>
      <c r="P18" s="462">
        <v>0</v>
      </c>
      <c r="Q18" s="462">
        <v>0</v>
      </c>
      <c r="R18" s="480">
        <v>0</v>
      </c>
      <c r="S18" s="487">
        <v>0.34056810938108384</v>
      </c>
      <c r="T18" s="447">
        <v>-2.0470257363088091</v>
      </c>
      <c r="U18" s="447">
        <v>2.7064576269277256</v>
      </c>
      <c r="V18" s="481">
        <v>0</v>
      </c>
      <c r="X18" s="357" t="s">
        <v>368</v>
      </c>
      <c r="Y18" s="360">
        <v>1</v>
      </c>
      <c r="Z18" s="361">
        <f t="shared" si="0"/>
        <v>1E-4</v>
      </c>
    </row>
    <row r="19" spans="1:30" ht="23.25" x14ac:dyDescent="0.3">
      <c r="A19" s="357"/>
      <c r="B19" s="357" t="s">
        <v>369</v>
      </c>
      <c r="C19" s="483">
        <v>0</v>
      </c>
      <c r="D19" s="463">
        <f>D60+0.5*E60</f>
        <v>0</v>
      </c>
      <c r="E19" s="463">
        <f>F60+0.5*E60</f>
        <v>0</v>
      </c>
      <c r="F19" s="484">
        <v>0</v>
      </c>
      <c r="G19" s="488">
        <v>0.20514705985760515</v>
      </c>
      <c r="H19" s="450">
        <f>I60+0.5*J60</f>
        <v>0.30249795920722378</v>
      </c>
      <c r="I19" s="450">
        <f>K60+0.5*J60</f>
        <v>0.29748469053918647</v>
      </c>
      <c r="J19" s="489">
        <v>0.19487029039598447</v>
      </c>
      <c r="K19" s="414"/>
      <c r="N19" s="459" t="s">
        <v>392</v>
      </c>
      <c r="O19" s="483">
        <v>0</v>
      </c>
      <c r="P19" s="463">
        <v>0</v>
      </c>
      <c r="Q19" s="463">
        <v>0</v>
      </c>
      <c r="R19" s="484">
        <v>0</v>
      </c>
      <c r="S19" s="488">
        <v>0</v>
      </c>
      <c r="T19" s="450">
        <v>0</v>
      </c>
      <c r="U19" s="450">
        <v>-4.1316185651899975</v>
      </c>
      <c r="V19" s="489">
        <v>5.1316185651899975</v>
      </c>
      <c r="X19" s="357" t="s">
        <v>369</v>
      </c>
      <c r="Y19" s="362">
        <v>1</v>
      </c>
      <c r="Z19" s="363">
        <f t="shared" si="0"/>
        <v>1E-4</v>
      </c>
    </row>
    <row r="22" spans="1:30" x14ac:dyDescent="0.3">
      <c r="B22" s="443" t="s">
        <v>423</v>
      </c>
      <c r="N22" s="364" t="s">
        <v>370</v>
      </c>
    </row>
    <row r="23" spans="1:30" x14ac:dyDescent="0.3">
      <c r="B23" s="444" t="s">
        <v>324</v>
      </c>
      <c r="N23" s="444" t="s">
        <v>324</v>
      </c>
    </row>
    <row r="24" spans="1:30" x14ac:dyDescent="0.3">
      <c r="X24" s="364" t="s">
        <v>371</v>
      </c>
      <c r="AA24" s="366" t="s">
        <v>372</v>
      </c>
    </row>
    <row r="25" spans="1:30" x14ac:dyDescent="0.3">
      <c r="C25" s="445" t="s">
        <v>358</v>
      </c>
      <c r="D25" s="446"/>
      <c r="E25" s="446"/>
      <c r="F25" s="446"/>
      <c r="G25" s="446"/>
      <c r="H25" s="446"/>
      <c r="I25" s="446"/>
      <c r="J25" s="446"/>
      <c r="AA25" s="451"/>
    </row>
    <row r="26" spans="1:30" x14ac:dyDescent="0.3">
      <c r="C26" s="441" t="s">
        <v>355</v>
      </c>
      <c r="D26" s="446"/>
      <c r="E26" s="446"/>
      <c r="F26" s="446"/>
      <c r="G26" s="442" t="s">
        <v>356</v>
      </c>
      <c r="H26" s="442"/>
      <c r="I26" s="442"/>
      <c r="J26" s="442"/>
      <c r="K26" s="452"/>
      <c r="L26" s="357"/>
      <c r="O26" s="438" t="s">
        <v>307</v>
      </c>
      <c r="P26" s="439"/>
      <c r="Q26" s="439"/>
      <c r="R26" s="439"/>
      <c r="S26" s="439"/>
      <c r="T26" s="439"/>
      <c r="U26" s="439"/>
    </row>
    <row r="27" spans="1:30" ht="23.25" x14ac:dyDescent="0.3">
      <c r="B27" s="453"/>
      <c r="C27" s="383" t="s">
        <v>393</v>
      </c>
      <c r="D27" s="383" t="s">
        <v>394</v>
      </c>
      <c r="E27" s="383" t="s">
        <v>396</v>
      </c>
      <c r="F27" s="383" t="s">
        <v>397</v>
      </c>
      <c r="G27" s="384" t="s">
        <v>398</v>
      </c>
      <c r="H27" s="384" t="s">
        <v>399</v>
      </c>
      <c r="I27" s="384" t="s">
        <v>401</v>
      </c>
      <c r="J27" s="384" t="s">
        <v>402</v>
      </c>
      <c r="N27" s="383" t="s">
        <v>349</v>
      </c>
      <c r="O27" s="367" t="s">
        <v>339</v>
      </c>
      <c r="P27" s="368" t="s">
        <v>340</v>
      </c>
      <c r="Q27" s="368" t="s">
        <v>315</v>
      </c>
      <c r="R27" s="368" t="s">
        <v>341</v>
      </c>
      <c r="S27" s="368" t="s">
        <v>342</v>
      </c>
      <c r="T27" s="369" t="s">
        <v>318</v>
      </c>
      <c r="U27" s="370" t="s">
        <v>268</v>
      </c>
      <c r="X27" s="383" t="s">
        <v>349</v>
      </c>
      <c r="Y27" s="357" t="s">
        <v>306</v>
      </c>
      <c r="AA27" s="383" t="s">
        <v>344</v>
      </c>
      <c r="AB27" s="357" t="s">
        <v>350</v>
      </c>
      <c r="AD27" s="366" t="s">
        <v>332</v>
      </c>
    </row>
    <row r="28" spans="1:30" ht="23.25" x14ac:dyDescent="0.3">
      <c r="B28" s="357" t="s">
        <v>403</v>
      </c>
      <c r="C28" s="469">
        <f ca="1">'DV01 Risk'!C26</f>
        <v>3.427894893448131E-7</v>
      </c>
      <c r="D28" s="470">
        <f ca="1">'DV01 Risk'!D26+0.5*'DV01 Risk'!E26</f>
        <v>0</v>
      </c>
      <c r="E28" s="470">
        <f ca="1">'DV01 Risk'!F26+0.5*'DV01 Risk'!E26</f>
        <v>0</v>
      </c>
      <c r="F28" s="470">
        <f ca="1">'DV01 Risk'!G26</f>
        <v>0</v>
      </c>
      <c r="G28" s="470">
        <f ca="1">'DV01 Risk'!H26</f>
        <v>98.228077410510949</v>
      </c>
      <c r="H28" s="470">
        <f ca="1">'DV01 Risk'!I26+0.5*'DV01 Risk'!J26</f>
        <v>0</v>
      </c>
      <c r="I28" s="470">
        <f ca="1">'DV01 Risk'!K26+0.5*'DV01 Risk'!J26</f>
        <v>0</v>
      </c>
      <c r="J28" s="507">
        <f ca="1">'DV01 Risk'!L26</f>
        <v>0</v>
      </c>
      <c r="N28" s="400" t="s">
        <v>308</v>
      </c>
      <c r="O28" s="500" cm="1">
        <f t="array" aca="1" ref="O28:U35" ca="1">TRANSPOSE(MMULT(C28:J34,O12:V19))</f>
        <v>3.427894893448131E-7</v>
      </c>
      <c r="P28" s="501">
        <f ca="1"/>
        <v>-2.8521140353107242E-3</v>
      </c>
      <c r="Q28" s="502">
        <f ca="1"/>
        <v>-2.8517488653615102E-3</v>
      </c>
      <c r="R28" s="501">
        <f ca="1"/>
        <v>9.6193121969382662E-7</v>
      </c>
      <c r="S28" s="501">
        <f ca="1"/>
        <v>9.6193121969382662E-7</v>
      </c>
      <c r="T28" s="501">
        <f ca="1"/>
        <v>6.1917600929794793E-3</v>
      </c>
      <c r="U28" s="503">
        <f ca="1"/>
        <v>9.6193121969382662E-7</v>
      </c>
      <c r="X28" s="400" t="s">
        <v>308</v>
      </c>
      <c r="Y28" s="508">
        <f t="shared" ref="Y28:Y35" ca="1" si="1">SUM(O28:U28)</f>
        <v>4.9112577545567192E-4</v>
      </c>
      <c r="AA28" s="400" t="s">
        <v>308</v>
      </c>
      <c r="AB28" s="511" t="s">
        <v>305</v>
      </c>
      <c r="AD28" s="356" t="s">
        <v>345</v>
      </c>
    </row>
    <row r="29" spans="1:30" ht="23.25" x14ac:dyDescent="0.3">
      <c r="B29" s="414" t="s">
        <v>404</v>
      </c>
      <c r="C29" s="465">
        <f ca="1">'DV01 Risk'!C27</f>
        <v>3.427894893448131E-7</v>
      </c>
      <c r="D29" s="467">
        <f ca="1">'DV01 Risk'!D27+0.5*'DV01 Risk'!E27</f>
        <v>-5.3229797752520293E-7</v>
      </c>
      <c r="E29" s="467">
        <f ca="1">'DV01 Risk'!F27+0.5*'DV01 Risk'!E27</f>
        <v>-8.3771674963213291E-3</v>
      </c>
      <c r="F29" s="467">
        <f ca="1">'DV01 Risk'!G27</f>
        <v>0.12503097516417716</v>
      </c>
      <c r="G29" s="467">
        <f ca="1">'DV01 Risk'!H27</f>
        <v>98.228077410510949</v>
      </c>
      <c r="H29" s="467">
        <f ca="1">'DV01 Risk'!I27+0.5*'DV01 Risk'!J27</f>
        <v>96.957872860118911</v>
      </c>
      <c r="I29" s="467">
        <f ca="1">'DV01 Risk'!K27+0.5*'DV01 Risk'!J27</f>
        <v>0</v>
      </c>
      <c r="J29" s="468">
        <f ca="1">'DV01 Risk'!L27</f>
        <v>0</v>
      </c>
      <c r="N29" s="404" t="s">
        <v>309</v>
      </c>
      <c r="O29" s="490">
        <f ca="1"/>
        <v>0</v>
      </c>
      <c r="P29" s="491">
        <f ca="1"/>
        <v>1.7147205892971112E-2</v>
      </c>
      <c r="Q29" s="466">
        <f ca="1"/>
        <v>1.7147224313564073E-2</v>
      </c>
      <c r="R29" s="491">
        <f ca="1"/>
        <v>6.6167897091373775E-7</v>
      </c>
      <c r="S29" s="491">
        <f ca="1"/>
        <v>6.6167897091373775E-7</v>
      </c>
      <c r="T29" s="491">
        <f ca="1"/>
        <v>6.6167897091373787E-3</v>
      </c>
      <c r="U29" s="492">
        <f ca="1"/>
        <v>6.6167897091373775E-7</v>
      </c>
      <c r="X29" s="404" t="s">
        <v>309</v>
      </c>
      <c r="Y29" s="509">
        <f t="shared" ca="1" si="1"/>
        <v>4.0913204952585304E-2</v>
      </c>
      <c r="AA29" s="404" t="s">
        <v>309</v>
      </c>
      <c r="AB29" s="512" t="s">
        <v>305</v>
      </c>
    </row>
    <row r="30" spans="1:30" ht="23.25" x14ac:dyDescent="0.3">
      <c r="B30" s="414" t="s">
        <v>405</v>
      </c>
      <c r="C30" s="471">
        <f ca="1">'DV01 Risk'!C28</f>
        <v>3.427894893448131E-7</v>
      </c>
      <c r="D30" s="473">
        <f ca="1">'DV01 Risk'!D28+0.5*'DV01 Risk'!E28</f>
        <v>-1.0752754011553693E-6</v>
      </c>
      <c r="E30" s="473">
        <f ca="1">'DV01 Risk'!F28+0.5*'DV01 Risk'!E28</f>
        <v>-8.3777104737449599E-3</v>
      </c>
      <c r="F30" s="473">
        <f ca="1">'DV01 Risk'!G28</f>
        <v>0.12503097516417716</v>
      </c>
      <c r="G30" s="473">
        <f ca="1">'DV01 Risk'!H28</f>
        <v>98.228077410510949</v>
      </c>
      <c r="H30" s="473">
        <f ca="1">'DV01 Risk'!I28+0.5*'DV01 Risk'!J28</f>
        <v>144.84142728710535</v>
      </c>
      <c r="I30" s="473">
        <f ca="1">'DV01 Risk'!K28+0.5*'DV01 Risk'!J28</f>
        <v>47.883554426986429</v>
      </c>
      <c r="J30" s="474">
        <f ca="1">'DV01 Risk'!L28</f>
        <v>0</v>
      </c>
      <c r="N30" s="404" t="s">
        <v>311</v>
      </c>
      <c r="O30" s="504">
        <f ca="1"/>
        <v>0</v>
      </c>
      <c r="P30" s="505">
        <f ca="1"/>
        <v>-0.5392527470745937</v>
      </c>
      <c r="Q30" s="472">
        <f ca="1"/>
        <v>-0.53925421661998318</v>
      </c>
      <c r="R30" s="505">
        <f ca="1"/>
        <v>-0.51658403500239947</v>
      </c>
      <c r="S30" s="505">
        <f ca="1"/>
        <v>-5.5394820096892805E-5</v>
      </c>
      <c r="T30" s="505">
        <f ca="1"/>
        <v>-3.7419560786625415E-2</v>
      </c>
      <c r="U30" s="506">
        <f ca="1"/>
        <v>-5.5394820096892805E-5</v>
      </c>
      <c r="X30" s="404" t="s">
        <v>311</v>
      </c>
      <c r="Y30" s="509">
        <f t="shared" ca="1" si="1"/>
        <v>-1.632621349123796</v>
      </c>
      <c r="AA30" s="404" t="s">
        <v>311</v>
      </c>
      <c r="AB30" s="512" t="s">
        <v>305</v>
      </c>
    </row>
    <row r="31" spans="1:30" ht="23.25" x14ac:dyDescent="0.3">
      <c r="B31" s="414" t="s">
        <v>406</v>
      </c>
      <c r="C31" s="465">
        <f ca="1">'DV01 Risk'!C29</f>
        <v>3.427894893448131E-7</v>
      </c>
      <c r="D31" s="467">
        <f ca="1">'DV01 Risk'!D29+0.5*'DV01 Risk'!E29</f>
        <v>-1.0752754011553693E-6</v>
      </c>
      <c r="E31" s="467">
        <f ca="1">'DV01 Risk'!F29+0.5*'DV01 Risk'!E29</f>
        <v>-1.3806941732622993E-6</v>
      </c>
      <c r="F31" s="467">
        <f ca="1">'DV01 Risk'!G29</f>
        <v>0.12503097516417716</v>
      </c>
      <c r="G31" s="467">
        <f ca="1">'DV01 Risk'!H29</f>
        <v>98.228077410510949</v>
      </c>
      <c r="H31" s="467">
        <f ca="1">'DV01 Risk'!I29+0.5*'DV01 Risk'!J29</f>
        <v>144.84142728710535</v>
      </c>
      <c r="I31" s="467">
        <f ca="1">'DV01 Risk'!K29+0.5*'DV01 Risk'!J29</f>
        <v>142.44098468195432</v>
      </c>
      <c r="J31" s="468">
        <f ca="1">'DV01 Risk'!L29</f>
        <v>0</v>
      </c>
      <c r="N31" s="404" t="s">
        <v>312</v>
      </c>
      <c r="O31" s="490">
        <f ca="1"/>
        <v>0</v>
      </c>
      <c r="P31" s="491">
        <f ca="1"/>
        <v>0.64161127337630097</v>
      </c>
      <c r="Q31" s="466">
        <f ca="1"/>
        <v>0.64161127337630097</v>
      </c>
      <c r="R31" s="491">
        <f ca="1"/>
        <v>0.64161127337630097</v>
      </c>
      <c r="S31" s="491">
        <f ca="1"/>
        <v>6.4161127337630103E-5</v>
      </c>
      <c r="T31" s="491">
        <f ca="1"/>
        <v>6.4161127337630103E-5</v>
      </c>
      <c r="U31" s="492">
        <f ca="1"/>
        <v>6.4161127337630103E-5</v>
      </c>
      <c r="X31" s="404" t="s">
        <v>312</v>
      </c>
      <c r="Y31" s="509">
        <f t="shared" ca="1" si="1"/>
        <v>1.9250263035109156</v>
      </c>
      <c r="AA31" s="404" t="s">
        <v>312</v>
      </c>
      <c r="AB31" s="512" t="s">
        <v>305</v>
      </c>
    </row>
    <row r="32" spans="1:30" ht="23.25" x14ac:dyDescent="0.3">
      <c r="B32" s="414" t="s">
        <v>407</v>
      </c>
      <c r="C32" s="471">
        <f ca="1">'DV01 Risk'!C30</f>
        <v>3.427894893448131E-7</v>
      </c>
      <c r="D32" s="473">
        <f ca="1">'DV01 Risk'!D30+0.5*'DV01 Risk'!E30</f>
        <v>-1.0752754011553693E-6</v>
      </c>
      <c r="E32" s="473">
        <f ca="1">'DV01 Risk'!F30+0.5*'DV01 Risk'!E30</f>
        <v>-1.3806941732622993E-6</v>
      </c>
      <c r="F32" s="473">
        <f ca="1">'DV01 Risk'!G30</f>
        <v>1.2503097516417716E-5</v>
      </c>
      <c r="G32" s="473">
        <f ca="1">'DV01 Risk'!H30</f>
        <v>98.228077410510949</v>
      </c>
      <c r="H32" s="473">
        <f ca="1">'DV01 Risk'!I30+0.5*'DV01 Risk'!J30</f>
        <v>144.84142728710535</v>
      </c>
      <c r="I32" s="473">
        <f ca="1">'DV01 Risk'!K30+0.5*'DV01 Risk'!J30</f>
        <v>142.44098468195432</v>
      </c>
      <c r="J32" s="474">
        <f ca="1">'DV01 Risk'!L30</f>
        <v>93.307376587858485</v>
      </c>
      <c r="N32" s="404" t="s">
        <v>313</v>
      </c>
      <c r="O32" s="504">
        <f ca="1"/>
        <v>98.228077410510949</v>
      </c>
      <c r="P32" s="505">
        <f ca="1"/>
        <v>0</v>
      </c>
      <c r="Q32" s="472">
        <f ca="1"/>
        <v>-32.203245249868147</v>
      </c>
      <c r="R32" s="505">
        <f ca="1"/>
        <v>-3.5527136788005009E-14</v>
      </c>
      <c r="S32" s="505">
        <f ca="1"/>
        <v>-3.5527136788005009E-14</v>
      </c>
      <c r="T32" s="505">
        <f ca="1"/>
        <v>0</v>
      </c>
      <c r="U32" s="506">
        <f ca="1"/>
        <v>-3.5527136788005009E-14</v>
      </c>
      <c r="X32" s="404" t="s">
        <v>313</v>
      </c>
      <c r="Y32" s="509">
        <f t="shared" ca="1" si="1"/>
        <v>66.024832160642717</v>
      </c>
      <c r="AA32" s="404" t="s">
        <v>313</v>
      </c>
      <c r="AB32" s="512">
        <f ca="1">-Y32/O32</f>
        <v>-0.67215844900144295</v>
      </c>
    </row>
    <row r="33" spans="2:28" ht="23.25" x14ac:dyDescent="0.3">
      <c r="B33" s="414" t="s">
        <v>408</v>
      </c>
      <c r="C33" s="465">
        <f ca="1">'DV01 Risk'!C31</f>
        <v>3.427894893448131E-7</v>
      </c>
      <c r="D33" s="467">
        <f ca="1">'DV01 Risk'!D31+0.5*'DV01 Risk'!E31</f>
        <v>-1.0752754011553692E-2</v>
      </c>
      <c r="E33" s="467">
        <f ca="1">'DV01 Risk'!F31+0.5*'DV01 Risk'!E31</f>
        <v>-1.3806941732622993E-2</v>
      </c>
      <c r="F33" s="467">
        <f ca="1">'DV01 Risk'!G31</f>
        <v>1.2503097516417716E-5</v>
      </c>
      <c r="G33" s="467">
        <f ca="1">'DV01 Risk'!H31</f>
        <v>0</v>
      </c>
      <c r="H33" s="467">
        <f ca="1">'DV01 Risk'!I31+0.5*'DV01 Risk'!J31</f>
        <v>0</v>
      </c>
      <c r="I33" s="467">
        <f ca="1">'DV01 Risk'!K31+0.5*'DV01 Risk'!J31</f>
        <v>0</v>
      </c>
      <c r="J33" s="468">
        <f ca="1">'DV01 Risk'!L31</f>
        <v>93.307376587858485</v>
      </c>
      <c r="N33" s="404" t="s">
        <v>314</v>
      </c>
      <c r="O33" s="490">
        <f ca="1"/>
        <v>0</v>
      </c>
      <c r="P33" s="491">
        <f ca="1"/>
        <v>195.18595027062989</v>
      </c>
      <c r="Q33" s="466">
        <f ca="1"/>
        <v>193.56149329114464</v>
      </c>
      <c r="R33" s="491">
        <f ca="1"/>
        <v>1.1368683772161603E-13</v>
      </c>
      <c r="S33" s="491">
        <f ca="1"/>
        <v>1.1368683772161603E-13</v>
      </c>
      <c r="T33" s="491">
        <f ca="1"/>
        <v>0</v>
      </c>
      <c r="U33" s="492">
        <f ca="1"/>
        <v>1.1368683772161603E-13</v>
      </c>
      <c r="X33" s="404" t="s">
        <v>314</v>
      </c>
      <c r="Y33" s="509">
        <f t="shared" ca="1" si="1"/>
        <v>388.74744356177484</v>
      </c>
      <c r="AA33" s="404" t="s">
        <v>314</v>
      </c>
      <c r="AB33" s="512">
        <f ca="1">-Y33/P33</f>
        <v>-1.9916773877564826</v>
      </c>
    </row>
    <row r="34" spans="2:28" ht="23.25" x14ac:dyDescent="0.3">
      <c r="B34" s="414" t="s">
        <v>409</v>
      </c>
      <c r="C34" s="475">
        <f ca="1">'DV01 Risk'!C32</f>
        <v>3.427894893448131E-7</v>
      </c>
      <c r="D34" s="476">
        <f ca="1">'DV01 Risk'!D32+0.5*'DV01 Risk'!E32</f>
        <v>-1.0752754011553693E-6</v>
      </c>
      <c r="E34" s="476">
        <f ca="1">'DV01 Risk'!F32+0.5*'DV01 Risk'!E32</f>
        <v>-1.3806941732622993E-6</v>
      </c>
      <c r="F34" s="476">
        <f ca="1">'DV01 Risk'!G32</f>
        <v>1.2503097516417716E-5</v>
      </c>
      <c r="G34" s="476">
        <f ca="1">'DV01 Risk'!H32</f>
        <v>98.228077410510949</v>
      </c>
      <c r="H34" s="476">
        <f ca="1">'DV01 Risk'!I32+0.5*'DV01 Risk'!J32</f>
        <v>144.84142728710535</v>
      </c>
      <c r="I34" s="476">
        <f ca="1">'DV01 Risk'!K32+0.5*'DV01 Risk'!J32</f>
        <v>142.44098468195432</v>
      </c>
      <c r="J34" s="477">
        <f ca="1">'DV01 Risk'!L32</f>
        <v>46.653688293929243</v>
      </c>
      <c r="N34" s="404" t="s">
        <v>316</v>
      </c>
      <c r="O34" s="504">
        <f ca="1"/>
        <v>0</v>
      </c>
      <c r="P34" s="505">
        <f ca="1"/>
        <v>0</v>
      </c>
      <c r="Q34" s="472">
        <f ca="1"/>
        <v>129.59481108332628</v>
      </c>
      <c r="R34" s="505">
        <f ca="1"/>
        <v>385.51048937957063</v>
      </c>
      <c r="S34" s="505">
        <f ca="1"/>
        <v>0</v>
      </c>
      <c r="T34" s="505">
        <f ca="1"/>
        <v>-385.51048937957063</v>
      </c>
      <c r="U34" s="506">
        <f ca="1"/>
        <v>192.75524468978531</v>
      </c>
      <c r="X34" s="404" t="s">
        <v>316</v>
      </c>
      <c r="Y34" s="509">
        <f t="shared" ca="1" si="1"/>
        <v>322.35005577311165</v>
      </c>
      <c r="AA34" s="404" t="s">
        <v>316</v>
      </c>
      <c r="AB34" s="512">
        <f ca="1">-Y34/R34</f>
        <v>-0.83616416324207532</v>
      </c>
    </row>
    <row r="35" spans="2:28" x14ac:dyDescent="0.3">
      <c r="N35" s="423" t="s">
        <v>317</v>
      </c>
      <c r="O35" s="493">
        <f ca="1"/>
        <v>0</v>
      </c>
      <c r="P35" s="494">
        <f ca="1"/>
        <v>0</v>
      </c>
      <c r="Q35" s="495">
        <f ca="1"/>
        <v>0</v>
      </c>
      <c r="R35" s="494">
        <f ca="1"/>
        <v>0</v>
      </c>
      <c r="S35" s="494">
        <f ca="1"/>
        <v>478.8178659674291</v>
      </c>
      <c r="T35" s="494">
        <f ca="1"/>
        <v>478.8178659674291</v>
      </c>
      <c r="U35" s="496">
        <f ca="1"/>
        <v>239.40893298371455</v>
      </c>
      <c r="X35" s="423" t="s">
        <v>317</v>
      </c>
      <c r="Y35" s="510">
        <f t="shared" ca="1" si="1"/>
        <v>1197.0446649185728</v>
      </c>
      <c r="AA35" s="423" t="s">
        <v>317</v>
      </c>
      <c r="AB35" s="513">
        <f ca="1">-Y35/S35</f>
        <v>-2.5</v>
      </c>
    </row>
    <row r="36" spans="2:28" x14ac:dyDescent="0.3">
      <c r="B36" s="418" t="s">
        <v>424</v>
      </c>
    </row>
    <row r="37" spans="2:28" x14ac:dyDescent="0.3">
      <c r="B37" s="454" t="s">
        <v>336</v>
      </c>
      <c r="O37" s="366" t="s">
        <v>319</v>
      </c>
      <c r="Y37" s="371" t="s">
        <v>346</v>
      </c>
    </row>
    <row r="38" spans="2:28" x14ac:dyDescent="0.3">
      <c r="O38" s="372" t="s">
        <v>339</v>
      </c>
      <c r="P38" s="373" t="s">
        <v>340</v>
      </c>
      <c r="Q38" s="373" t="s">
        <v>315</v>
      </c>
      <c r="R38" s="373" t="s">
        <v>341</v>
      </c>
      <c r="S38" s="373" t="s">
        <v>342</v>
      </c>
      <c r="T38" s="374" t="s">
        <v>318</v>
      </c>
      <c r="U38" s="375" t="s">
        <v>268</v>
      </c>
      <c r="Y38" s="376">
        <f ca="1">SUM(Y28:Y35)</f>
        <v>1974.5008056992172</v>
      </c>
    </row>
    <row r="39" spans="2:28" x14ac:dyDescent="0.3">
      <c r="O39" s="497">
        <f ca="1">SUM(O28:O38)</f>
        <v>98.22807775330044</v>
      </c>
      <c r="P39" s="498">
        <f t="shared" ref="P39:U39" ca="1" si="2">SUM(P28:P38)</f>
        <v>195.30260388878926</v>
      </c>
      <c r="Q39" s="498">
        <f t="shared" ca="1" si="2"/>
        <v>291.06971165680727</v>
      </c>
      <c r="R39" s="498">
        <f t="shared" ca="1" si="2"/>
        <v>385.63551824155479</v>
      </c>
      <c r="S39" s="498">
        <f t="shared" ca="1" si="2"/>
        <v>478.81787635734662</v>
      </c>
      <c r="T39" s="498">
        <f t="shared" ca="1" si="2"/>
        <v>93.282829738001283</v>
      </c>
      <c r="U39" s="499">
        <f t="shared" ca="1" si="2"/>
        <v>432.16418806341738</v>
      </c>
    </row>
    <row r="41" spans="2:28" x14ac:dyDescent="0.3">
      <c r="O41" s="366" t="s">
        <v>351</v>
      </c>
    </row>
    <row r="42" spans="2:28" x14ac:dyDescent="0.3">
      <c r="O42" s="372" t="s">
        <v>339</v>
      </c>
      <c r="P42" s="373" t="s">
        <v>340</v>
      </c>
      <c r="Q42" s="373" t="s">
        <v>315</v>
      </c>
      <c r="R42" s="373" t="s">
        <v>341</v>
      </c>
      <c r="S42" s="373" t="s">
        <v>342</v>
      </c>
      <c r="T42" s="374" t="s">
        <v>318</v>
      </c>
      <c r="U42" s="375" t="s">
        <v>268</v>
      </c>
    </row>
    <row r="43" spans="2:28" x14ac:dyDescent="0.3">
      <c r="N43" s="460" t="s">
        <v>325</v>
      </c>
      <c r="O43" s="455">
        <f ca="1">'DV01 Risk'!P36</f>
        <v>98.22807775330044</v>
      </c>
      <c r="P43" s="456">
        <f ca="1">'DV01 Risk'!Q36</f>
        <v>195.30260388878912</v>
      </c>
      <c r="Q43" s="456">
        <f ca="1">'DV01 Risk'!R36</f>
        <v>291.0697116568071</v>
      </c>
      <c r="R43" s="456">
        <f ca="1">'DV01 Risk'!S36</f>
        <v>385.63551824155462</v>
      </c>
      <c r="S43" s="456">
        <f ca="1">'DV01 Risk'!T36</f>
        <v>478.81787635734639</v>
      </c>
      <c r="T43" s="456">
        <f ca="1">'DV01 Risk'!U36</f>
        <v>93.282829738001283</v>
      </c>
      <c r="U43" s="457">
        <f ca="1">'DV01 Risk'!V36</f>
        <v>432.16418806341721</v>
      </c>
    </row>
    <row r="44" spans="2:28" x14ac:dyDescent="0.3">
      <c r="N44" s="461" t="s">
        <v>52</v>
      </c>
      <c r="O44" s="376">
        <f t="shared" ref="O44:U44" ca="1" si="3">O39-O43</f>
        <v>0</v>
      </c>
      <c r="P44" s="376">
        <f t="shared" ca="1" si="3"/>
        <v>0</v>
      </c>
      <c r="Q44" s="376">
        <f t="shared" ca="1" si="3"/>
        <v>0</v>
      </c>
      <c r="R44" s="376">
        <f t="shared" ca="1" si="3"/>
        <v>0</v>
      </c>
      <c r="S44" s="376">
        <f t="shared" ca="1" si="3"/>
        <v>0</v>
      </c>
      <c r="T44" s="376">
        <f t="shared" ca="1" si="3"/>
        <v>0</v>
      </c>
      <c r="U44" s="376">
        <f t="shared" ca="1" si="3"/>
        <v>0</v>
      </c>
    </row>
    <row r="45" spans="2:28" x14ac:dyDescent="0.3">
      <c r="N45" s="458"/>
      <c r="O45" s="376"/>
      <c r="P45" s="376"/>
      <c r="Q45" s="376"/>
      <c r="R45" s="376"/>
      <c r="S45" s="376"/>
      <c r="T45" s="376"/>
      <c r="U45" s="376"/>
    </row>
    <row r="46" spans="2:28" x14ac:dyDescent="0.3">
      <c r="N46" s="356" t="s">
        <v>412</v>
      </c>
      <c r="O46" s="376"/>
      <c r="P46" s="376"/>
      <c r="Q46" s="376"/>
      <c r="R46" s="376"/>
      <c r="S46" s="376"/>
      <c r="T46" s="376"/>
      <c r="U46" s="376"/>
    </row>
    <row r="47" spans="2:28" x14ac:dyDescent="0.3">
      <c r="O47" s="376"/>
      <c r="P47" s="376"/>
      <c r="Q47" s="376"/>
      <c r="R47" s="376"/>
      <c r="S47" s="376"/>
      <c r="T47" s="376"/>
      <c r="U47" s="376"/>
    </row>
    <row r="48" spans="2:28" x14ac:dyDescent="0.3">
      <c r="O48" s="376"/>
      <c r="P48" s="376"/>
      <c r="Q48" s="376"/>
      <c r="R48" s="376"/>
      <c r="S48" s="376"/>
      <c r="T48" s="376"/>
      <c r="U48" s="376"/>
    </row>
    <row r="49" spans="2:24" x14ac:dyDescent="0.3">
      <c r="C49" s="366" t="s">
        <v>322</v>
      </c>
      <c r="O49" s="366" t="s">
        <v>323</v>
      </c>
    </row>
    <row r="50" spans="2:24" ht="23.25" x14ac:dyDescent="0.3">
      <c r="B50" s="357"/>
      <c r="C50" s="357" t="s">
        <v>425</v>
      </c>
      <c r="D50" s="357" t="s">
        <v>426</v>
      </c>
      <c r="E50" s="357" t="s">
        <v>427</v>
      </c>
      <c r="F50" s="357" t="s">
        <v>428</v>
      </c>
      <c r="G50" s="357" t="s">
        <v>429</v>
      </c>
      <c r="H50" s="357" t="s">
        <v>430</v>
      </c>
      <c r="I50" s="357" t="s">
        <v>431</v>
      </c>
      <c r="J50" s="357" t="s">
        <v>432</v>
      </c>
      <c r="K50" s="357" t="s">
        <v>433</v>
      </c>
      <c r="L50" s="357" t="s">
        <v>434</v>
      </c>
      <c r="M50" s="357"/>
      <c r="N50" s="357"/>
      <c r="O50" s="357" t="s">
        <v>360</v>
      </c>
      <c r="P50" s="357" t="s">
        <v>361</v>
      </c>
      <c r="Q50" s="357" t="s">
        <v>362</v>
      </c>
      <c r="R50" s="357" t="s">
        <v>363</v>
      </c>
      <c r="S50" s="357" t="s">
        <v>364</v>
      </c>
      <c r="T50" s="357" t="s">
        <v>365</v>
      </c>
      <c r="U50" s="357" t="s">
        <v>366</v>
      </c>
      <c r="V50" s="357" t="s">
        <v>367</v>
      </c>
      <c r="W50" s="357" t="s">
        <v>368</v>
      </c>
      <c r="X50" s="357" t="s">
        <v>369</v>
      </c>
    </row>
    <row r="51" spans="2:24" ht="23.25" x14ac:dyDescent="0.3">
      <c r="B51" s="357" t="s">
        <v>383</v>
      </c>
      <c r="C51" s="385">
        <v>1</v>
      </c>
      <c r="D51" s="386">
        <v>0</v>
      </c>
      <c r="E51" s="386">
        <v>0</v>
      </c>
      <c r="F51" s="386">
        <v>0</v>
      </c>
      <c r="G51" s="386">
        <v>0</v>
      </c>
      <c r="H51" s="387">
        <v>0</v>
      </c>
      <c r="I51" s="387">
        <v>0</v>
      </c>
      <c r="J51" s="387">
        <v>0</v>
      </c>
      <c r="K51" s="387">
        <v>0</v>
      </c>
      <c r="L51" s="388">
        <v>0</v>
      </c>
      <c r="M51" s="414"/>
      <c r="N51" s="357" t="s">
        <v>383</v>
      </c>
      <c r="O51" s="385">
        <v>1</v>
      </c>
      <c r="P51" s="386">
        <v>0</v>
      </c>
      <c r="Q51" s="386">
        <v>0</v>
      </c>
      <c r="R51" s="386">
        <v>0</v>
      </c>
      <c r="S51" s="386">
        <v>0</v>
      </c>
      <c r="T51" s="387">
        <v>0</v>
      </c>
      <c r="U51" s="387">
        <v>0</v>
      </c>
      <c r="V51" s="387">
        <v>0</v>
      </c>
      <c r="W51" s="387">
        <v>0</v>
      </c>
      <c r="X51" s="388">
        <v>0</v>
      </c>
    </row>
    <row r="52" spans="2:24" ht="23.25" x14ac:dyDescent="0.3">
      <c r="B52" s="357" t="s">
        <v>384</v>
      </c>
      <c r="C52" s="389">
        <v>0.50325383191933348</v>
      </c>
      <c r="D52" s="390">
        <v>0.49674616808066646</v>
      </c>
      <c r="E52" s="391">
        <v>0</v>
      </c>
      <c r="F52" s="391">
        <v>0</v>
      </c>
      <c r="G52" s="391">
        <v>0</v>
      </c>
      <c r="H52" s="392">
        <v>0</v>
      </c>
      <c r="I52" s="392">
        <v>0</v>
      </c>
      <c r="J52" s="392">
        <v>0</v>
      </c>
      <c r="K52" s="392">
        <v>0</v>
      </c>
      <c r="L52" s="393">
        <v>0</v>
      </c>
      <c r="M52" s="414"/>
      <c r="N52" s="357" t="s">
        <v>384</v>
      </c>
      <c r="O52" s="389">
        <v>-1.013100581860171</v>
      </c>
      <c r="P52" s="390">
        <v>2.0131005818601713</v>
      </c>
      <c r="Q52" s="391">
        <v>0</v>
      </c>
      <c r="R52" s="391">
        <v>0</v>
      </c>
      <c r="S52" s="391">
        <v>0</v>
      </c>
      <c r="T52" s="392">
        <v>0</v>
      </c>
      <c r="U52" s="392">
        <v>0</v>
      </c>
      <c r="V52" s="392">
        <v>0</v>
      </c>
      <c r="W52" s="392">
        <v>0</v>
      </c>
      <c r="X52" s="393">
        <v>0</v>
      </c>
    </row>
    <row r="53" spans="2:24" ht="23.25" x14ac:dyDescent="0.3">
      <c r="B53" s="357" t="s">
        <v>385</v>
      </c>
      <c r="C53" s="389">
        <v>0.33760798977694906</v>
      </c>
      <c r="D53" s="390">
        <v>0.33324232146531929</v>
      </c>
      <c r="E53" s="390">
        <v>0.32914968875773154</v>
      </c>
      <c r="F53" s="391">
        <v>0</v>
      </c>
      <c r="G53" s="391">
        <v>0</v>
      </c>
      <c r="H53" s="392">
        <v>0</v>
      </c>
      <c r="I53" s="392">
        <v>0</v>
      </c>
      <c r="J53" s="392">
        <v>0</v>
      </c>
      <c r="K53" s="392">
        <v>0</v>
      </c>
      <c r="L53" s="393">
        <v>0</v>
      </c>
      <c r="M53" s="414"/>
      <c r="N53" s="357" t="s">
        <v>385</v>
      </c>
      <c r="O53" s="389">
        <v>1.6865017081063214E-16</v>
      </c>
      <c r="P53" s="390">
        <v>-2.0381313856749337</v>
      </c>
      <c r="Q53" s="390">
        <v>3.0381313856749337</v>
      </c>
      <c r="R53" s="391">
        <v>0</v>
      </c>
      <c r="S53" s="391">
        <v>0</v>
      </c>
      <c r="T53" s="392">
        <v>0</v>
      </c>
      <c r="U53" s="392">
        <v>0</v>
      </c>
      <c r="V53" s="392">
        <v>0</v>
      </c>
      <c r="W53" s="392">
        <v>0</v>
      </c>
      <c r="X53" s="393">
        <v>0</v>
      </c>
    </row>
    <row r="54" spans="2:24" ht="23.25" x14ac:dyDescent="0.3">
      <c r="B54" s="357" t="s">
        <v>386</v>
      </c>
      <c r="C54" s="389">
        <v>0.25480001223467702</v>
      </c>
      <c r="D54" s="390">
        <v>0.25150514844916433</v>
      </c>
      <c r="E54" s="390">
        <v>0.24841635050734326</v>
      </c>
      <c r="F54" s="390">
        <v>0.24527848880881523</v>
      </c>
      <c r="G54" s="391">
        <v>0</v>
      </c>
      <c r="H54" s="392">
        <v>0</v>
      </c>
      <c r="I54" s="392">
        <v>0</v>
      </c>
      <c r="J54" s="392">
        <v>0</v>
      </c>
      <c r="K54" s="392">
        <v>0</v>
      </c>
      <c r="L54" s="393">
        <v>0</v>
      </c>
      <c r="M54" s="414"/>
      <c r="N54" s="357" t="s">
        <v>386</v>
      </c>
      <c r="O54" s="389">
        <v>5.5511151231257852E-17</v>
      </c>
      <c r="P54" s="390">
        <v>0</v>
      </c>
      <c r="Q54" s="390">
        <v>-3.0769983737932272</v>
      </c>
      <c r="R54" s="390">
        <v>4.0769983737932272</v>
      </c>
      <c r="S54" s="391">
        <v>0</v>
      </c>
      <c r="T54" s="392">
        <v>0</v>
      </c>
      <c r="U54" s="392">
        <v>0</v>
      </c>
      <c r="V54" s="392">
        <v>0</v>
      </c>
      <c r="W54" s="392">
        <v>0</v>
      </c>
      <c r="X54" s="393">
        <v>0</v>
      </c>
    </row>
    <row r="55" spans="2:24" ht="23.25" x14ac:dyDescent="0.3">
      <c r="B55" s="357" t="s">
        <v>387</v>
      </c>
      <c r="C55" s="389">
        <v>0.20514705985760515</v>
      </c>
      <c r="D55" s="390">
        <v>0.20249426713479049</v>
      </c>
      <c r="E55" s="390">
        <v>0.20000738414486663</v>
      </c>
      <c r="F55" s="390">
        <v>0.19748099846675318</v>
      </c>
      <c r="G55" s="390">
        <v>0.19487029039598447</v>
      </c>
      <c r="H55" s="392">
        <v>0</v>
      </c>
      <c r="I55" s="392">
        <v>0</v>
      </c>
      <c r="J55" s="392">
        <v>0</v>
      </c>
      <c r="K55" s="392">
        <v>0</v>
      </c>
      <c r="L55" s="393">
        <v>0</v>
      </c>
      <c r="M55" s="414"/>
      <c r="N55" s="357" t="s">
        <v>387</v>
      </c>
      <c r="O55" s="389">
        <v>-2.2935090300213447E-16</v>
      </c>
      <c r="P55" s="390">
        <v>5.697241084667845E-16</v>
      </c>
      <c r="Q55" s="390">
        <v>-5.697241084667845E-16</v>
      </c>
      <c r="R55" s="390">
        <v>-4.1316185651899975</v>
      </c>
      <c r="S55" s="390">
        <v>5.1316185651899975</v>
      </c>
      <c r="T55" s="392">
        <v>0</v>
      </c>
      <c r="U55" s="392">
        <v>0</v>
      </c>
      <c r="V55" s="392">
        <v>0</v>
      </c>
      <c r="W55" s="392">
        <v>0</v>
      </c>
      <c r="X55" s="393">
        <v>0</v>
      </c>
    </row>
    <row r="56" spans="2:24" ht="23.25" x14ac:dyDescent="0.3">
      <c r="B56" s="357" t="s">
        <v>388</v>
      </c>
      <c r="C56" s="394">
        <v>0</v>
      </c>
      <c r="D56" s="391">
        <v>0</v>
      </c>
      <c r="E56" s="391">
        <v>0</v>
      </c>
      <c r="F56" s="391">
        <v>0</v>
      </c>
      <c r="G56" s="391">
        <v>0</v>
      </c>
      <c r="H56" s="395">
        <v>1</v>
      </c>
      <c r="I56" s="392">
        <v>0</v>
      </c>
      <c r="J56" s="392">
        <v>0</v>
      </c>
      <c r="K56" s="392">
        <v>0</v>
      </c>
      <c r="L56" s="393">
        <v>0</v>
      </c>
      <c r="M56" s="414"/>
      <c r="N56" s="357" t="s">
        <v>388</v>
      </c>
      <c r="O56" s="394">
        <v>0</v>
      </c>
      <c r="P56" s="391">
        <v>0</v>
      </c>
      <c r="Q56" s="391">
        <v>0</v>
      </c>
      <c r="R56" s="391">
        <v>0</v>
      </c>
      <c r="S56" s="391">
        <v>0</v>
      </c>
      <c r="T56" s="395">
        <v>1</v>
      </c>
      <c r="U56" s="392">
        <v>0</v>
      </c>
      <c r="V56" s="392">
        <v>0</v>
      </c>
      <c r="W56" s="392">
        <v>0</v>
      </c>
      <c r="X56" s="393">
        <v>0</v>
      </c>
    </row>
    <row r="57" spans="2:24" ht="23.25" x14ac:dyDescent="0.3">
      <c r="B57" s="357" t="s">
        <v>389</v>
      </c>
      <c r="C57" s="394">
        <v>0</v>
      </c>
      <c r="D57" s="391">
        <v>0</v>
      </c>
      <c r="E57" s="391">
        <v>0</v>
      </c>
      <c r="F57" s="391">
        <v>0</v>
      </c>
      <c r="G57" s="391">
        <v>0</v>
      </c>
      <c r="H57" s="395">
        <v>0.50325383191933348</v>
      </c>
      <c r="I57" s="395">
        <v>0.49674616808066646</v>
      </c>
      <c r="J57" s="392">
        <v>0</v>
      </c>
      <c r="K57" s="392">
        <v>0</v>
      </c>
      <c r="L57" s="393">
        <v>0</v>
      </c>
      <c r="M57" s="414"/>
      <c r="N57" s="357" t="s">
        <v>389</v>
      </c>
      <c r="O57" s="394">
        <v>0</v>
      </c>
      <c r="P57" s="391">
        <v>0</v>
      </c>
      <c r="Q57" s="391">
        <v>0</v>
      </c>
      <c r="R57" s="391">
        <v>0</v>
      </c>
      <c r="S57" s="391">
        <v>0</v>
      </c>
      <c r="T57" s="395">
        <v>-1.013100581860171</v>
      </c>
      <c r="U57" s="395">
        <v>2.0131005818601713</v>
      </c>
      <c r="V57" s="392">
        <v>0</v>
      </c>
      <c r="W57" s="392">
        <v>0</v>
      </c>
      <c r="X57" s="393">
        <v>0</v>
      </c>
    </row>
    <row r="58" spans="2:24" ht="23.25" x14ac:dyDescent="0.3">
      <c r="B58" s="357" t="s">
        <v>390</v>
      </c>
      <c r="C58" s="394">
        <v>0</v>
      </c>
      <c r="D58" s="391">
        <v>0</v>
      </c>
      <c r="E58" s="391">
        <v>0</v>
      </c>
      <c r="F58" s="391">
        <v>0</v>
      </c>
      <c r="G58" s="391">
        <v>0</v>
      </c>
      <c r="H58" s="395">
        <v>0.33760798977694906</v>
      </c>
      <c r="I58" s="395">
        <v>0.33324232146531929</v>
      </c>
      <c r="J58" s="395">
        <v>0.32914968875773154</v>
      </c>
      <c r="K58" s="392">
        <v>0</v>
      </c>
      <c r="L58" s="393">
        <v>0</v>
      </c>
      <c r="M58" s="414"/>
      <c r="N58" s="357" t="s">
        <v>390</v>
      </c>
      <c r="O58" s="394">
        <v>0</v>
      </c>
      <c r="P58" s="391">
        <v>0</v>
      </c>
      <c r="Q58" s="391">
        <v>0</v>
      </c>
      <c r="R58" s="391">
        <v>0</v>
      </c>
      <c r="S58" s="391">
        <v>0</v>
      </c>
      <c r="T58" s="395">
        <v>1.6865017081063214E-16</v>
      </c>
      <c r="U58" s="395">
        <v>-2.0381313856749337</v>
      </c>
      <c r="V58" s="395">
        <v>3.0381313856749337</v>
      </c>
      <c r="W58" s="392">
        <v>0</v>
      </c>
      <c r="X58" s="393">
        <v>0</v>
      </c>
    </row>
    <row r="59" spans="2:24" ht="23.25" x14ac:dyDescent="0.3">
      <c r="B59" s="357" t="s">
        <v>391</v>
      </c>
      <c r="C59" s="394">
        <v>0</v>
      </c>
      <c r="D59" s="391">
        <v>0</v>
      </c>
      <c r="E59" s="391">
        <v>0</v>
      </c>
      <c r="F59" s="391">
        <v>0</v>
      </c>
      <c r="G59" s="391">
        <v>0</v>
      </c>
      <c r="H59" s="395">
        <v>0.25480001223467702</v>
      </c>
      <c r="I59" s="395">
        <v>0.25150514844916433</v>
      </c>
      <c r="J59" s="395">
        <v>0.24841635050734326</v>
      </c>
      <c r="K59" s="395">
        <v>0.24527848880881523</v>
      </c>
      <c r="L59" s="393">
        <v>0</v>
      </c>
      <c r="M59" s="414"/>
      <c r="N59" s="357" t="s">
        <v>391</v>
      </c>
      <c r="O59" s="394">
        <v>0</v>
      </c>
      <c r="P59" s="391">
        <v>0</v>
      </c>
      <c r="Q59" s="391">
        <v>0</v>
      </c>
      <c r="R59" s="391">
        <v>0</v>
      </c>
      <c r="S59" s="391">
        <v>0</v>
      </c>
      <c r="T59" s="395">
        <v>5.5511151231257852E-17</v>
      </c>
      <c r="U59" s="395">
        <v>0</v>
      </c>
      <c r="V59" s="395">
        <v>-3.0769983737932272</v>
      </c>
      <c r="W59" s="395">
        <v>4.0769983737932272</v>
      </c>
      <c r="X59" s="393">
        <v>0</v>
      </c>
    </row>
    <row r="60" spans="2:24" ht="23.25" x14ac:dyDescent="0.3">
      <c r="B60" s="357" t="s">
        <v>392</v>
      </c>
      <c r="C60" s="396">
        <v>0</v>
      </c>
      <c r="D60" s="397">
        <v>0</v>
      </c>
      <c r="E60" s="397">
        <v>0</v>
      </c>
      <c r="F60" s="397">
        <v>0</v>
      </c>
      <c r="G60" s="397">
        <v>0</v>
      </c>
      <c r="H60" s="398">
        <v>0.20514705985760515</v>
      </c>
      <c r="I60" s="398">
        <v>0.20249426713479049</v>
      </c>
      <c r="J60" s="398">
        <v>0.20000738414486663</v>
      </c>
      <c r="K60" s="398">
        <v>0.19748099846675318</v>
      </c>
      <c r="L60" s="399">
        <v>0.19487029039598447</v>
      </c>
      <c r="M60" s="414"/>
      <c r="N60" s="357" t="s">
        <v>392</v>
      </c>
      <c r="O60" s="396">
        <v>0</v>
      </c>
      <c r="P60" s="397">
        <v>0</v>
      </c>
      <c r="Q60" s="397">
        <v>0</v>
      </c>
      <c r="R60" s="397">
        <v>0</v>
      </c>
      <c r="S60" s="397">
        <v>0</v>
      </c>
      <c r="T60" s="398">
        <v>-2.2935090300213447E-16</v>
      </c>
      <c r="U60" s="398">
        <v>5.697241084667845E-16</v>
      </c>
      <c r="V60" s="398">
        <v>-5.697241084667845E-16</v>
      </c>
      <c r="W60" s="398">
        <v>-4.1316185651899975</v>
      </c>
      <c r="X60" s="399">
        <v>5.1316185651899975</v>
      </c>
    </row>
  </sheetData>
  <mergeCells count="6">
    <mergeCell ref="O26:U26"/>
    <mergeCell ref="C25:J25"/>
    <mergeCell ref="C10:J10"/>
    <mergeCell ref="O10:V10"/>
    <mergeCell ref="C26:F26"/>
    <mergeCell ref="G26:J2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BR49"/>
  <sheetViews>
    <sheetView showGridLines="0" workbookViewId="0"/>
  </sheetViews>
  <sheetFormatPr defaultRowHeight="15" outlineLevelCol="1" x14ac:dyDescent="0.25"/>
  <cols>
    <col min="1" max="1" width="4.7109375" customWidth="1"/>
    <col min="2" max="2" width="13.7109375" customWidth="1"/>
    <col min="3" max="3" width="4.7109375" customWidth="1"/>
    <col min="4" max="4" width="9.140625" customWidth="1"/>
    <col min="5" max="6" width="9.7109375" customWidth="1"/>
    <col min="7" max="7" width="11.5703125" customWidth="1"/>
    <col min="8" max="8" width="18.5703125" bestFit="1" customWidth="1"/>
    <col min="9" max="9" width="4.7109375" customWidth="1"/>
    <col min="11" max="15" width="6.7109375" customWidth="1"/>
    <col min="16" max="16" width="9.140625" customWidth="1"/>
    <col min="17" max="21" width="12" customWidth="1"/>
    <col min="23" max="38" width="9.140625" hidden="1" customWidth="1" outlineLevel="1"/>
    <col min="39" max="39" width="9.140625" collapsed="1"/>
    <col min="40" max="54" width="9.140625" hidden="1" customWidth="1" outlineLevel="1"/>
    <col min="55" max="55" width="9.140625" collapsed="1"/>
    <col min="56" max="69" width="9.140625" hidden="1" customWidth="1" outlineLevel="1"/>
    <col min="70" max="70" width="16.5703125" bestFit="1" customWidth="1" collapsed="1"/>
    <col min="74" max="74" width="10.140625" bestFit="1" customWidth="1"/>
  </cols>
  <sheetData>
    <row r="1" spans="2:70" x14ac:dyDescent="0.25">
      <c r="AM1" s="1" t="s">
        <v>0</v>
      </c>
      <c r="BC1" s="1" t="s">
        <v>1</v>
      </c>
      <c r="BE1" s="2"/>
      <c r="BR1" s="3" t="s">
        <v>2</v>
      </c>
    </row>
    <row r="2" spans="2:70" ht="18.75" x14ac:dyDescent="0.3">
      <c r="D2" s="4" t="s">
        <v>3</v>
      </c>
      <c r="G2" s="4" t="s">
        <v>4</v>
      </c>
      <c r="J2" s="4" t="s">
        <v>5</v>
      </c>
      <c r="Q2" s="16" t="s">
        <v>18</v>
      </c>
      <c r="AM2" s="1"/>
      <c r="BC2" s="1"/>
      <c r="BE2" s="2"/>
      <c r="BR2" s="3"/>
    </row>
    <row r="3" spans="2:70" ht="18" x14ac:dyDescent="0.35">
      <c r="B3" t="s">
        <v>6</v>
      </c>
      <c r="D3" t="s">
        <v>7</v>
      </c>
      <c r="G3" t="s">
        <v>8</v>
      </c>
      <c r="W3" s="5" t="s">
        <v>9</v>
      </c>
      <c r="AN3" s="5" t="s">
        <v>10</v>
      </c>
      <c r="AO3" s="6"/>
      <c r="BE3" s="2" t="s">
        <v>11</v>
      </c>
    </row>
    <row r="4" spans="2:70" x14ac:dyDescent="0.25">
      <c r="B4" s="7">
        <v>0.02</v>
      </c>
      <c r="D4" s="8" t="s">
        <v>12</v>
      </c>
      <c r="E4" s="9">
        <v>1.7335699999999999E-2</v>
      </c>
      <c r="F4" s="10"/>
      <c r="G4" s="8" t="s">
        <v>12</v>
      </c>
      <c r="H4" s="11">
        <v>0.985846</v>
      </c>
      <c r="AN4" s="6"/>
      <c r="AO4" s="6"/>
    </row>
    <row r="5" spans="2:70" x14ac:dyDescent="0.25">
      <c r="B5" s="12">
        <v>0.02</v>
      </c>
      <c r="D5" s="13" t="s">
        <v>13</v>
      </c>
      <c r="E5" s="14">
        <v>1.6080000000000001E-2</v>
      </c>
      <c r="F5" s="10"/>
      <c r="G5" s="13" t="s">
        <v>13</v>
      </c>
      <c r="H5" s="15">
        <v>0.97381099999999998</v>
      </c>
      <c r="AN5" s="6"/>
      <c r="AO5" s="6"/>
    </row>
    <row r="6" spans="2:70" ht="18" x14ac:dyDescent="0.35">
      <c r="B6" s="12">
        <v>0.02</v>
      </c>
      <c r="D6" s="13" t="s">
        <v>14</v>
      </c>
      <c r="E6" s="14">
        <v>1.5663199999999999E-2</v>
      </c>
      <c r="F6" s="10"/>
      <c r="G6" s="13" t="s">
        <v>14</v>
      </c>
      <c r="H6" s="15">
        <v>0.96174499999999996</v>
      </c>
      <c r="J6" t="s">
        <v>15</v>
      </c>
      <c r="AN6" s="6"/>
      <c r="AO6" s="6"/>
    </row>
    <row r="7" spans="2:70" ht="18" x14ac:dyDescent="0.35">
      <c r="B7" s="12">
        <v>0.02</v>
      </c>
      <c r="D7" s="13" t="s">
        <v>16</v>
      </c>
      <c r="E7" s="14">
        <v>1.55438E-2</v>
      </c>
      <c r="F7" s="10"/>
      <c r="G7" s="13" t="s">
        <v>16</v>
      </c>
      <c r="H7" s="15">
        <v>0.94934399999999997</v>
      </c>
      <c r="J7" t="s">
        <v>17</v>
      </c>
      <c r="AN7" s="6"/>
      <c r="AO7" s="6"/>
    </row>
    <row r="8" spans="2:70" x14ac:dyDescent="0.25">
      <c r="B8" s="12">
        <v>0.02</v>
      </c>
      <c r="D8" s="13" t="s">
        <v>19</v>
      </c>
      <c r="E8" s="14">
        <v>1.6080000000000001E-2</v>
      </c>
      <c r="F8" s="10"/>
      <c r="G8" s="13" t="s">
        <v>19</v>
      </c>
      <c r="H8" s="15">
        <v>0.97381099999999998</v>
      </c>
      <c r="AN8" s="6"/>
      <c r="AO8" s="6"/>
    </row>
    <row r="9" spans="2:70" x14ac:dyDescent="0.25">
      <c r="B9" s="12">
        <v>0.02</v>
      </c>
      <c r="D9" s="13" t="s">
        <v>56</v>
      </c>
      <c r="E9" s="14">
        <v>1.5663199999999999E-2</v>
      </c>
      <c r="F9" s="10"/>
      <c r="G9" s="13" t="s">
        <v>56</v>
      </c>
      <c r="H9" s="15">
        <v>0.96174499999999996</v>
      </c>
      <c r="AN9" s="6"/>
      <c r="AO9" s="6"/>
    </row>
    <row r="10" spans="2:70" x14ac:dyDescent="0.25">
      <c r="B10" s="12">
        <v>0.02</v>
      </c>
      <c r="D10" s="13" t="s">
        <v>57</v>
      </c>
      <c r="E10" s="14">
        <v>1.55438E-2</v>
      </c>
      <c r="F10" s="10"/>
      <c r="G10" s="13" t="s">
        <v>57</v>
      </c>
      <c r="H10" s="15">
        <v>0.94934399999999997</v>
      </c>
      <c r="AN10" s="6"/>
      <c r="AO10" s="6"/>
    </row>
    <row r="11" spans="2:70" x14ac:dyDescent="0.25">
      <c r="B11" s="17">
        <v>0.02</v>
      </c>
      <c r="D11" s="18" t="s">
        <v>58</v>
      </c>
      <c r="E11" s="19">
        <v>1.55978E-2</v>
      </c>
      <c r="F11" s="10"/>
      <c r="G11" s="18" t="s">
        <v>58</v>
      </c>
      <c r="H11" s="20">
        <v>0.93669100000000005</v>
      </c>
      <c r="AN11" s="6"/>
      <c r="AO11" s="6"/>
    </row>
    <row r="12" spans="2:70" ht="18.75" x14ac:dyDescent="0.25">
      <c r="J12" s="4" t="s">
        <v>20</v>
      </c>
      <c r="Q12" s="21" t="s">
        <v>21</v>
      </c>
      <c r="R12" s="10"/>
      <c r="S12" s="10"/>
      <c r="T12" s="10"/>
      <c r="U12" s="10"/>
      <c r="AN12" s="6"/>
      <c r="AO12" s="6"/>
    </row>
    <row r="13" spans="2:70" ht="18.75" x14ac:dyDescent="0.35">
      <c r="J13" t="s">
        <v>22</v>
      </c>
      <c r="Q13" s="22" t="s">
        <v>23</v>
      </c>
      <c r="R13" s="10"/>
      <c r="S13" s="10"/>
      <c r="T13" s="10"/>
      <c r="U13" s="10"/>
      <c r="AN13" s="6"/>
      <c r="AO13" s="6"/>
    </row>
    <row r="14" spans="2:70" x14ac:dyDescent="0.25">
      <c r="D14" s="23" t="s">
        <v>24</v>
      </c>
      <c r="H14" s="10"/>
      <c r="J14" s="24"/>
      <c r="K14" s="6"/>
      <c r="L14" s="6"/>
      <c r="M14" s="6"/>
      <c r="N14" s="10"/>
      <c r="Q14" s="10"/>
      <c r="R14" s="10"/>
      <c r="S14" s="10"/>
      <c r="T14" s="10"/>
      <c r="U14" s="10"/>
      <c r="AN14" s="6"/>
      <c r="AO14" s="6"/>
    </row>
    <row r="15" spans="2:70" ht="18" x14ac:dyDescent="0.25">
      <c r="D15" s="23"/>
      <c r="H15" s="10"/>
      <c r="K15" s="10" t="s">
        <v>25</v>
      </c>
      <c r="L15" s="10" t="s">
        <v>26</v>
      </c>
      <c r="M15" s="10" t="s">
        <v>27</v>
      </c>
      <c r="N15" s="10" t="s">
        <v>28</v>
      </c>
      <c r="O15" s="10" t="s">
        <v>29</v>
      </c>
      <c r="P15" s="10"/>
      <c r="Q15" s="25" t="s">
        <v>30</v>
      </c>
      <c r="R15" s="26" t="s">
        <v>31</v>
      </c>
      <c r="S15" s="26" t="s">
        <v>32</v>
      </c>
      <c r="T15" s="26" t="s">
        <v>33</v>
      </c>
      <c r="U15" s="27" t="s">
        <v>34</v>
      </c>
      <c r="AN15" s="6"/>
      <c r="AO15" s="6"/>
    </row>
    <row r="16" spans="2:70" ht="18" x14ac:dyDescent="0.25">
      <c r="D16" s="10" t="s">
        <v>35</v>
      </c>
      <c r="E16" s="10" t="s">
        <v>36</v>
      </c>
      <c r="F16" s="10" t="s">
        <v>37</v>
      </c>
      <c r="G16" s="10" t="s">
        <v>38</v>
      </c>
      <c r="H16" s="28" t="s">
        <v>39</v>
      </c>
      <c r="J16" s="10" t="s">
        <v>40</v>
      </c>
      <c r="K16" s="29">
        <f>$H4/SUM($H$4:$H4)</f>
        <v>1</v>
      </c>
      <c r="L16" s="30">
        <v>0</v>
      </c>
      <c r="M16" s="30">
        <v>0</v>
      </c>
      <c r="N16" s="30">
        <v>0</v>
      </c>
      <c r="O16" s="31">
        <v>0</v>
      </c>
      <c r="P16" s="10"/>
      <c r="Q16" s="32" t="s">
        <v>12</v>
      </c>
      <c r="R16" s="33">
        <v>1E-4</v>
      </c>
      <c r="S16" s="34">
        <f t="array" ref="S16:S20">MMULT(K16:O20,R16:R20)</f>
        <v>1E-4</v>
      </c>
      <c r="T16" s="37">
        <f>1000000*SUM($H$4:H4)</f>
        <v>985846</v>
      </c>
      <c r="U16" s="38">
        <f>S16*T16</f>
        <v>98.584600000000009</v>
      </c>
      <c r="AN16" s="6"/>
      <c r="AO16" s="6"/>
    </row>
    <row r="17" spans="2:41" ht="18" x14ac:dyDescent="0.25">
      <c r="D17" s="8">
        <v>1</v>
      </c>
      <c r="E17" s="39">
        <f t="array" ref="E17:E21">F17:F21-MMULT($K$27:$O$31,G17:G21)</f>
        <v>1.7335699999999999E-2</v>
      </c>
      <c r="F17" s="39">
        <f>B4</f>
        <v>0.02</v>
      </c>
      <c r="G17" s="104">
        <f>SUMPRODUCT(F17:F17,$H$4:$H$4)/SUM($H$4:$H$4)-$E$4</f>
        <v>2.6643000000000014E-3</v>
      </c>
      <c r="H17" s="42">
        <f t="shared" ref="H17:H41" si="0">E17-F17</f>
        <v>-2.6643000000000014E-3</v>
      </c>
      <c r="J17" s="10" t="s">
        <v>41</v>
      </c>
      <c r="K17" s="43">
        <f>$H$5/SUM($H$4:$H5)</f>
        <v>0.4969293095679499</v>
      </c>
      <c r="L17" s="44">
        <f>$H$5/SUM($H$4:$H5)</f>
        <v>0.4969293095679499</v>
      </c>
      <c r="M17" s="45">
        <v>0</v>
      </c>
      <c r="N17" s="45">
        <v>0</v>
      </c>
      <c r="O17" s="46">
        <v>0</v>
      </c>
      <c r="P17" s="10"/>
      <c r="Q17" s="47" t="s">
        <v>13</v>
      </c>
      <c r="R17" s="48">
        <v>1E-4</v>
      </c>
      <c r="S17" s="35">
        <v>9.9385861913589977E-5</v>
      </c>
      <c r="T17" s="49">
        <f>1000000*SUM($H$4:H5)</f>
        <v>1959657</v>
      </c>
      <c r="U17" s="50">
        <f>S17*T17</f>
        <v>194.76220000000001</v>
      </c>
      <c r="AN17" s="6"/>
      <c r="AO17" s="6"/>
    </row>
    <row r="18" spans="2:41" ht="18" x14ac:dyDescent="0.25">
      <c r="D18" s="13"/>
      <c r="E18" s="40">
        <v>1.4775854048988974E-2</v>
      </c>
      <c r="F18" s="40">
        <f>B5</f>
        <v>0.02</v>
      </c>
      <c r="G18" s="40">
        <f>SUMPRODUCT(F17:F18,$H$4:$H$5)/SUM($H$4:$H$5)-$E$5</f>
        <v>3.9199999999999999E-3</v>
      </c>
      <c r="H18" s="51">
        <f t="shared" si="0"/>
        <v>-5.2241459510110264E-3</v>
      </c>
      <c r="J18" s="10" t="s">
        <v>42</v>
      </c>
      <c r="K18" s="43">
        <f>$H$5/SUM($H$4:$H6)</f>
        <v>0.33333687044781923</v>
      </c>
      <c r="L18" s="45">
        <f>$H$5/SUM($H$4:$H6)</f>
        <v>0.33333687044781923</v>
      </c>
      <c r="M18" s="45">
        <f>$H$6/SUM($H$4:$H6)</f>
        <v>0.32920666173296242</v>
      </c>
      <c r="N18" s="45">
        <v>0</v>
      </c>
      <c r="O18" s="46">
        <v>0</v>
      </c>
      <c r="P18" s="10"/>
      <c r="Q18" s="47" t="s">
        <v>14</v>
      </c>
      <c r="R18" s="48">
        <v>1E-4</v>
      </c>
      <c r="S18" s="35">
        <v>9.9588040262860099E-5</v>
      </c>
      <c r="T18" s="49">
        <f>1000000*SUM($H$4:H6)</f>
        <v>2921402</v>
      </c>
      <c r="U18" s="50">
        <f>S18*T18</f>
        <v>290.93670000000003</v>
      </c>
      <c r="V18" s="52"/>
      <c r="AN18" s="6"/>
      <c r="AO18" s="6"/>
    </row>
    <row r="19" spans="2:41" ht="18" x14ac:dyDescent="0.25">
      <c r="D19" s="13"/>
      <c r="E19" s="40">
        <v>1.4813925984954426E-2</v>
      </c>
      <c r="F19" s="40">
        <f>B6</f>
        <v>0.02</v>
      </c>
      <c r="G19" s="40">
        <f>SUMPRODUCT(F17:F19,$H$4:$H$6)/SUM($H$4:$H$6)-$E$6</f>
        <v>4.3368000000000018E-3</v>
      </c>
      <c r="H19" s="51">
        <f t="shared" si="0"/>
        <v>-5.1860740150455747E-3</v>
      </c>
      <c r="J19" s="10" t="s">
        <v>43</v>
      </c>
      <c r="K19" s="43">
        <f>$H$5/SUM($H$4:$H7)</f>
        <v>0.25158225313673382</v>
      </c>
      <c r="L19" s="45">
        <f>$H$5/SUM($H$4:$H7)</f>
        <v>0.25158225313673382</v>
      </c>
      <c r="M19" s="45">
        <f>$H$6/SUM($H$4:$H7)</f>
        <v>0.24846502457149086</v>
      </c>
      <c r="N19" s="45">
        <f>$H$7/SUM($H$4:$H7)</f>
        <v>0.24526124938190208</v>
      </c>
      <c r="O19" s="46">
        <v>0</v>
      </c>
      <c r="P19" s="10"/>
      <c r="Q19" s="47" t="s">
        <v>16</v>
      </c>
      <c r="R19" s="48">
        <v>1E-4</v>
      </c>
      <c r="S19" s="35">
        <v>9.9689078022686064E-5</v>
      </c>
      <c r="T19" s="49">
        <f>1000000*SUM($H$4:H7)</f>
        <v>3870746</v>
      </c>
      <c r="U19" s="50">
        <f>S19*T19</f>
        <v>385.87110000000001</v>
      </c>
      <c r="V19" s="52"/>
      <c r="AN19" s="6"/>
      <c r="AO19" s="6"/>
    </row>
    <row r="20" spans="2:41" ht="18" x14ac:dyDescent="0.25">
      <c r="D20" s="13"/>
      <c r="E20" s="40">
        <v>1.5176372177419363E-2</v>
      </c>
      <c r="F20" s="40">
        <f>B7</f>
        <v>0.02</v>
      </c>
      <c r="G20" s="40">
        <f>SUMPRODUCT(F17:F20,$H$4:$H$7)/SUM($H$4:$H$7)-$E$7</f>
        <v>4.4562000000000004E-3</v>
      </c>
      <c r="H20" s="51">
        <f t="shared" si="0"/>
        <v>-4.8236278225806378E-3</v>
      </c>
      <c r="J20" s="10" t="s">
        <v>44</v>
      </c>
      <c r="K20" s="53">
        <f>$H$5/SUM($H$4:$H8)</f>
        <v>0.201011361823176</v>
      </c>
      <c r="L20" s="54">
        <f>$H$5/SUM($H$4:$H8)</f>
        <v>0.201011361823176</v>
      </c>
      <c r="M20" s="54">
        <f>$H$6/SUM($H$4:$H8)</f>
        <v>0.19852073161694661</v>
      </c>
      <c r="N20" s="54">
        <f>$H$7/SUM($H$4:$H8)</f>
        <v>0.19596095164119237</v>
      </c>
      <c r="O20" s="55">
        <f>$H$8/SUM($H$4:$H8)</f>
        <v>0.201011361823176</v>
      </c>
      <c r="P20" s="10"/>
      <c r="Q20" s="56" t="s">
        <v>19</v>
      </c>
      <c r="R20" s="57">
        <v>1E-4</v>
      </c>
      <c r="S20" s="36">
        <v>9.9751576872766706E-5</v>
      </c>
      <c r="T20" s="58">
        <f>1000000*SUM($H$4:H8)</f>
        <v>4844557</v>
      </c>
      <c r="U20" s="59">
        <f>S20*T20</f>
        <v>483.25220000000007</v>
      </c>
      <c r="V20" s="52"/>
      <c r="AN20" s="6"/>
      <c r="AO20" s="6"/>
    </row>
    <row r="21" spans="2:41" x14ac:dyDescent="0.25">
      <c r="D21" s="18"/>
      <c r="E21" s="41">
        <v>1.821131090653115E-2</v>
      </c>
      <c r="F21" s="41">
        <f>B8</f>
        <v>0.02</v>
      </c>
      <c r="G21" s="41">
        <f>SUMPRODUCT(F17:F21,$H$4:$H$8)/SUM($H$4:$H$8)-$E$8</f>
        <v>3.9199999999999999E-3</v>
      </c>
      <c r="H21" s="60">
        <f t="shared" si="0"/>
        <v>-1.7886890934688503E-3</v>
      </c>
      <c r="P21" s="10"/>
      <c r="Q21" s="61" t="s">
        <v>45</v>
      </c>
      <c r="R21" s="10"/>
      <c r="S21" s="10"/>
      <c r="T21" s="10"/>
      <c r="U21" s="10"/>
      <c r="V21" s="52"/>
      <c r="AN21" s="6"/>
      <c r="AO21" s="6"/>
    </row>
    <row r="22" spans="2:41" x14ac:dyDescent="0.25">
      <c r="D22" s="8">
        <v>2</v>
      </c>
      <c r="E22" s="39">
        <f t="array" ref="E22:E26">F22:F26-MMULT($K$27:$O$31,G22:G26)</f>
        <v>1.7335699999999999E-2</v>
      </c>
      <c r="F22" s="39">
        <f t="shared" ref="F22:F41" si="1">E17</f>
        <v>1.7335699999999999E-2</v>
      </c>
      <c r="G22" s="39">
        <f>SUMPRODUCT(F22:F22,$H$4:$H$4)/SUM($H$4:$H$4)-$E$4</f>
        <v>0</v>
      </c>
      <c r="H22" s="42">
        <f t="shared" si="0"/>
        <v>0</v>
      </c>
      <c r="V22" s="52"/>
      <c r="AM22" s="62"/>
      <c r="AN22" s="6"/>
      <c r="AO22" s="6"/>
    </row>
    <row r="23" spans="2:41" x14ac:dyDescent="0.25">
      <c r="D23" s="13"/>
      <c r="E23" s="40">
        <v>1.4808781229417206E-2</v>
      </c>
      <c r="F23" s="40">
        <f t="shared" si="1"/>
        <v>1.4775854048988974E-2</v>
      </c>
      <c r="G23" s="40">
        <f>SUMPRODUCT(F22:F23,$H$4:$H$5)/SUM($H$4:$H$5)-$E$5</f>
        <v>-1.6362481036220206E-5</v>
      </c>
      <c r="H23" s="51">
        <f t="shared" si="0"/>
        <v>3.2927180428231687E-5</v>
      </c>
      <c r="AN23" s="6"/>
      <c r="AO23" s="6"/>
    </row>
    <row r="24" spans="2:41" ht="18.75" x14ac:dyDescent="0.25">
      <c r="D24" s="13"/>
      <c r="E24" s="40">
        <v>1.4813925984954429E-2</v>
      </c>
      <c r="F24" s="40">
        <f t="shared" si="1"/>
        <v>1.4813925984954426E-2</v>
      </c>
      <c r="G24" s="40">
        <f>SUMPRODUCT(F22:F24,$H$4:$H$6)/SUM($H$4:$H$6)-$E$6</f>
        <v>-1.0975843276618547E-5</v>
      </c>
      <c r="H24" s="51">
        <f t="shared" si="0"/>
        <v>0</v>
      </c>
      <c r="Q24" s="21" t="s">
        <v>46</v>
      </c>
    </row>
    <row r="25" spans="2:41" ht="20.25" x14ac:dyDescent="0.25">
      <c r="D25" s="13"/>
      <c r="E25" s="40">
        <v>1.5176372177419359E-2</v>
      </c>
      <c r="F25" s="40">
        <f t="shared" si="1"/>
        <v>1.5176372177419363E-2</v>
      </c>
      <c r="G25" s="40">
        <f>SUMPRODUCT(F22:F25,$H$4:$H$7)/SUM($H$4:$H$7)-$E$7</f>
        <v>-8.283894241574441E-6</v>
      </c>
      <c r="H25" s="51">
        <f t="shared" si="0"/>
        <v>0</v>
      </c>
      <c r="J25" s="24" t="s">
        <v>47</v>
      </c>
      <c r="K25" s="6"/>
      <c r="L25" s="6"/>
      <c r="M25" s="6"/>
      <c r="N25" s="6"/>
      <c r="P25" s="10"/>
      <c r="Q25" s="22" t="s">
        <v>48</v>
      </c>
      <c r="R25" s="10"/>
      <c r="S25" s="10"/>
      <c r="T25" s="10"/>
      <c r="U25" s="10"/>
    </row>
    <row r="26" spans="2:41" ht="30.75" thickBot="1" x14ac:dyDescent="0.3">
      <c r="D26" s="18"/>
      <c r="E26" s="41">
        <v>1.8211310906531133E-2</v>
      </c>
      <c r="F26" s="41">
        <f t="shared" si="1"/>
        <v>1.821131090653115E-2</v>
      </c>
      <c r="G26" s="41">
        <f>SUMPRODUCT(F22:F26,$H$4:$H$8)/SUM($H$4:$H$8)-$E$8</f>
        <v>-6.6187373788731407E-6</v>
      </c>
      <c r="H26" s="60">
        <f t="shared" si="0"/>
        <v>0</v>
      </c>
      <c r="K26" s="10" t="s">
        <v>25</v>
      </c>
      <c r="L26" s="10" t="s">
        <v>26</v>
      </c>
      <c r="M26" s="10" t="s">
        <v>27</v>
      </c>
      <c r="N26" s="10" t="s">
        <v>28</v>
      </c>
      <c r="O26" s="10" t="s">
        <v>29</v>
      </c>
      <c r="P26" s="10"/>
      <c r="Q26" s="63" t="s">
        <v>30</v>
      </c>
      <c r="R26" s="64" t="s">
        <v>49</v>
      </c>
      <c r="S26" s="64" t="s">
        <v>50</v>
      </c>
      <c r="T26" s="64" t="s">
        <v>51</v>
      </c>
      <c r="U26" s="65" t="s">
        <v>52</v>
      </c>
      <c r="W26" s="6"/>
      <c r="X26" s="6"/>
      <c r="AM26" s="6"/>
    </row>
    <row r="27" spans="2:41" ht="18.75" thickTop="1" x14ac:dyDescent="0.25">
      <c r="B27" s="1" t="s">
        <v>53</v>
      </c>
      <c r="C27" s="66"/>
      <c r="D27" s="67">
        <v>3</v>
      </c>
      <c r="E27" s="68">
        <f t="array" ref="E27:E31">F27:F31-MMULT($K$27:$O$31,G27:G31)</f>
        <v>1.7335699999999999E-2</v>
      </c>
      <c r="F27" s="71">
        <f t="shared" si="1"/>
        <v>1.7335699999999999E-2</v>
      </c>
      <c r="G27" s="71">
        <f>SUMPRODUCT(F27:F27,$H$4:$H$4)/SUM($H$4:$H$4)-$E$4</f>
        <v>0</v>
      </c>
      <c r="H27" s="72">
        <f t="shared" si="0"/>
        <v>0</v>
      </c>
      <c r="J27" s="10" t="s">
        <v>40</v>
      </c>
      <c r="K27" s="73">
        <f t="array" ref="K27:O31">MINVERSE(K16:O20)</f>
        <v>1</v>
      </c>
      <c r="L27" s="74">
        <v>0</v>
      </c>
      <c r="M27" s="74">
        <v>0</v>
      </c>
      <c r="N27" s="74">
        <v>0</v>
      </c>
      <c r="O27" s="75">
        <v>0</v>
      </c>
      <c r="P27" s="10"/>
      <c r="Q27" s="32" t="s">
        <v>12</v>
      </c>
      <c r="R27" s="82">
        <f>E27</f>
        <v>1.7335699999999999E-2</v>
      </c>
      <c r="S27" s="83">
        <v>0.01</v>
      </c>
      <c r="T27" s="84">
        <f t="array" ref="T27:T31">$R$27:$R$31+MMULT($K$16:$O$20,$S$27:$S$31)</f>
        <v>2.7335699999999998E-2</v>
      </c>
      <c r="U27" s="87">
        <f>T27-R27</f>
        <v>9.9999999999999985E-3</v>
      </c>
      <c r="V27" s="52"/>
      <c r="W27" s="6"/>
      <c r="X27" s="6"/>
      <c r="AM27" s="6"/>
    </row>
    <row r="28" spans="2:41" ht="18" x14ac:dyDescent="0.25">
      <c r="B28" s="1" t="s">
        <v>53</v>
      </c>
      <c r="C28" s="66"/>
      <c r="D28" s="88"/>
      <c r="E28" s="69">
        <v>1.4808781229417206E-2</v>
      </c>
      <c r="F28" s="89">
        <f t="shared" si="1"/>
        <v>1.4808781229417206E-2</v>
      </c>
      <c r="G28" s="89">
        <f>SUMPRODUCT(F27:F28,$H$4:$H$5)/SUM($H$4:$H$5)-$E$5</f>
        <v>0</v>
      </c>
      <c r="H28" s="90">
        <f t="shared" si="0"/>
        <v>0</v>
      </c>
      <c r="J28" s="10" t="s">
        <v>41</v>
      </c>
      <c r="K28" s="76">
        <v>-1</v>
      </c>
      <c r="L28" s="77">
        <v>2.0123586609722008</v>
      </c>
      <c r="M28" s="77">
        <v>0</v>
      </c>
      <c r="N28" s="77">
        <v>0</v>
      </c>
      <c r="O28" s="78">
        <v>0</v>
      </c>
      <c r="P28" s="10"/>
      <c r="Q28" s="47" t="s">
        <v>13</v>
      </c>
      <c r="R28" s="91">
        <f>E28</f>
        <v>1.4808781229417206E-2</v>
      </c>
      <c r="S28" s="92">
        <f>S27-0.25%</f>
        <v>7.4999999999999997E-3</v>
      </c>
      <c r="T28" s="85">
        <v>2.3505044146856328E-2</v>
      </c>
      <c r="U28" s="93">
        <f>T28-R28</f>
        <v>8.6962629174391227E-3</v>
      </c>
      <c r="V28" s="52"/>
      <c r="AM28" s="6"/>
    </row>
    <row r="29" spans="2:41" ht="18" x14ac:dyDescent="0.25">
      <c r="B29" s="1" t="s">
        <v>53</v>
      </c>
      <c r="C29" s="66"/>
      <c r="D29" s="88"/>
      <c r="E29" s="69">
        <v>1.4813925984954429E-2</v>
      </c>
      <c r="F29" s="89">
        <f t="shared" si="1"/>
        <v>1.4813925984954429E-2</v>
      </c>
      <c r="G29" s="89">
        <f>SUMPRODUCT(F27:F29,$H$4:$H$6)/SUM($H$4:$H$6)-$E$6</f>
        <v>0</v>
      </c>
      <c r="H29" s="90">
        <f t="shared" si="0"/>
        <v>0</v>
      </c>
      <c r="I29" s="6"/>
      <c r="J29" s="10" t="s">
        <v>42</v>
      </c>
      <c r="K29" s="76">
        <v>0</v>
      </c>
      <c r="L29" s="77">
        <v>-2.0376056023166229</v>
      </c>
      <c r="M29" s="77">
        <v>3.0376056023166229</v>
      </c>
      <c r="N29" s="77">
        <v>0</v>
      </c>
      <c r="O29" s="78">
        <v>0</v>
      </c>
      <c r="P29" s="10"/>
      <c r="Q29" s="47" t="s">
        <v>14</v>
      </c>
      <c r="R29" s="91">
        <f>E29</f>
        <v>1.4813925984954429E-2</v>
      </c>
      <c r="S29" s="92">
        <f>S28-0.25%</f>
        <v>4.9999999999999992E-3</v>
      </c>
      <c r="T29" s="85">
        <v>2.2293354526456078E-2</v>
      </c>
      <c r="U29" s="93">
        <f>T29-R29</f>
        <v>7.4794285415016488E-3</v>
      </c>
      <c r="V29" s="52"/>
      <c r="AM29" s="6"/>
    </row>
    <row r="30" spans="2:41" ht="18" x14ac:dyDescent="0.25">
      <c r="B30" s="1" t="s">
        <v>53</v>
      </c>
      <c r="C30" s="66"/>
      <c r="D30" s="88"/>
      <c r="E30" s="69">
        <v>1.5176372177419359E-2</v>
      </c>
      <c r="F30" s="89">
        <f t="shared" si="1"/>
        <v>1.5176372177419359E-2</v>
      </c>
      <c r="G30" s="89">
        <f>SUMPRODUCT(F27:F30,$H$4:$H$7)/SUM($H$4:$H$7)-$E$7</f>
        <v>0</v>
      </c>
      <c r="H30" s="90">
        <f t="shared" si="0"/>
        <v>0</v>
      </c>
      <c r="I30" s="6"/>
      <c r="J30" s="10" t="s">
        <v>43</v>
      </c>
      <c r="K30" s="76">
        <v>0</v>
      </c>
      <c r="L30" s="77">
        <v>0</v>
      </c>
      <c r="M30" s="77">
        <v>-3.0772849462365595</v>
      </c>
      <c r="N30" s="77">
        <v>4.077284946236559</v>
      </c>
      <c r="O30" s="78">
        <v>0</v>
      </c>
      <c r="P30" s="10"/>
      <c r="Q30" s="47" t="s">
        <v>16</v>
      </c>
      <c r="R30" s="91">
        <f>E30</f>
        <v>1.5176372177419359E-2</v>
      </c>
      <c r="S30" s="92">
        <f>S29-0.25%</f>
        <v>2.4999999999999992E-3</v>
      </c>
      <c r="T30" s="85">
        <v>2.143453985362441E-2</v>
      </c>
      <c r="U30" s="93">
        <f>T30-R30</f>
        <v>6.2581676762050505E-3</v>
      </c>
      <c r="V30" s="52"/>
      <c r="AM30" s="6"/>
    </row>
    <row r="31" spans="2:41" ht="18.75" thickBot="1" x14ac:dyDescent="0.3">
      <c r="B31" s="1" t="s">
        <v>53</v>
      </c>
      <c r="C31" s="66"/>
      <c r="D31" s="94"/>
      <c r="E31" s="70">
        <v>1.8211310906531133E-2</v>
      </c>
      <c r="F31" s="95">
        <f t="shared" si="1"/>
        <v>1.8211310906531133E-2</v>
      </c>
      <c r="G31" s="95">
        <f>SUMPRODUCT(F27:F31,$H$4:$H$8)/SUM($H$4:$H$8)-$E$8</f>
        <v>0</v>
      </c>
      <c r="H31" s="96">
        <f t="shared" si="0"/>
        <v>0</v>
      </c>
      <c r="I31" s="6"/>
      <c r="J31" s="10" t="s">
        <v>44</v>
      </c>
      <c r="K31" s="79">
        <v>0</v>
      </c>
      <c r="L31" s="80">
        <v>5.5231854287012312E-16</v>
      </c>
      <c r="M31" s="80">
        <v>-5.5231854287012312E-16</v>
      </c>
      <c r="N31" s="80">
        <v>-3.9748431677194036</v>
      </c>
      <c r="O31" s="81">
        <v>4.9748431677194036</v>
      </c>
      <c r="P31" s="10"/>
      <c r="Q31" s="56" t="s">
        <v>19</v>
      </c>
      <c r="R31" s="97">
        <f>E31</f>
        <v>1.8211310906531133E-2</v>
      </c>
      <c r="S31" s="98">
        <f>S30-0.25%</f>
        <v>0</v>
      </c>
      <c r="T31" s="86">
        <v>2.3211515775624428E-2</v>
      </c>
      <c r="U31" s="99">
        <f>T31-R31</f>
        <v>5.000204869093295E-3</v>
      </c>
      <c r="V31" s="52"/>
      <c r="AM31" s="6"/>
      <c r="AN31" s="5" t="s">
        <v>54</v>
      </c>
    </row>
    <row r="32" spans="2:41" ht="15.75" thickTop="1" x14ac:dyDescent="0.25">
      <c r="D32" s="8">
        <v>4</v>
      </c>
      <c r="E32" s="39">
        <f t="array" ref="E32:E36">F32:F36-MMULT($K$27:$O$31,G32:G36)</f>
        <v>1.7335699999999999E-2</v>
      </c>
      <c r="F32" s="39">
        <f t="shared" si="1"/>
        <v>1.7335699999999999E-2</v>
      </c>
      <c r="G32" s="39">
        <f>SUMPRODUCT(F32:F32,$H$4:$H$4)/SUM($H$4:$H$4)-$E$4</f>
        <v>0</v>
      </c>
      <c r="H32" s="42">
        <f t="shared" si="0"/>
        <v>0</v>
      </c>
      <c r="I32" s="6"/>
      <c r="AM32" s="6"/>
    </row>
    <row r="33" spans="4:40" x14ac:dyDescent="0.25">
      <c r="D33" s="13"/>
      <c r="E33" s="40">
        <v>1.4808781229417206E-2</v>
      </c>
      <c r="F33" s="40">
        <f t="shared" si="1"/>
        <v>1.4808781229417206E-2</v>
      </c>
      <c r="G33" s="40">
        <f>SUMPRODUCT(F32:F33,$H$4:$H$5)/SUM($H$4:$H$5)-$E$5</f>
        <v>0</v>
      </c>
      <c r="H33" s="51">
        <f t="shared" si="0"/>
        <v>0</v>
      </c>
      <c r="I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</row>
    <row r="34" spans="4:40" x14ac:dyDescent="0.25">
      <c r="D34" s="13"/>
      <c r="E34" s="40">
        <v>1.4813925984954429E-2</v>
      </c>
      <c r="F34" s="40">
        <f t="shared" si="1"/>
        <v>1.4813925984954429E-2</v>
      </c>
      <c r="G34" s="40">
        <f>SUMPRODUCT(F32:F34,$H$4:$H$6)/SUM($H$4:$H$6)-$E$6</f>
        <v>0</v>
      </c>
      <c r="H34" s="51">
        <f t="shared" si="0"/>
        <v>0</v>
      </c>
      <c r="I34" s="6"/>
      <c r="J34" s="6"/>
      <c r="K34" s="6"/>
      <c r="L34" s="6"/>
      <c r="M34" s="6"/>
      <c r="N34" s="6"/>
      <c r="P34" s="10"/>
      <c r="Q34" s="10"/>
      <c r="R34" s="10"/>
      <c r="S34" s="10"/>
      <c r="T34" s="10"/>
      <c r="U34" s="10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</row>
    <row r="35" spans="4:40" x14ac:dyDescent="0.25">
      <c r="D35" s="13"/>
      <c r="E35" s="40">
        <v>1.5176372177419359E-2</v>
      </c>
      <c r="F35" s="40">
        <f t="shared" si="1"/>
        <v>1.5176372177419359E-2</v>
      </c>
      <c r="G35" s="40">
        <f>SUMPRODUCT(F32:F35,$H$4:$H$7)/SUM($H$4:$H$7)-$E$7</f>
        <v>0</v>
      </c>
      <c r="H35" s="51">
        <f t="shared" si="0"/>
        <v>0</v>
      </c>
      <c r="I35" s="6"/>
      <c r="J35" s="6"/>
      <c r="K35" s="6"/>
      <c r="L35" s="6"/>
      <c r="M35" s="6"/>
      <c r="N35" s="6"/>
      <c r="O35" s="100"/>
      <c r="P35" s="100"/>
      <c r="Q35" s="100"/>
      <c r="R35" s="100"/>
      <c r="S35" s="100"/>
      <c r="T35" s="100"/>
      <c r="U35" s="100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</row>
    <row r="36" spans="4:40" x14ac:dyDescent="0.25">
      <c r="D36" s="18"/>
      <c r="E36" s="41">
        <v>1.8211310906531133E-2</v>
      </c>
      <c r="F36" s="41">
        <f t="shared" si="1"/>
        <v>1.8211310906531133E-2</v>
      </c>
      <c r="G36" s="41">
        <f>SUMPRODUCT(F32:F36,$H$4:$H$8)/SUM($H$4:$H$8)-$E$8</f>
        <v>0</v>
      </c>
      <c r="H36" s="60">
        <f t="shared" si="0"/>
        <v>0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</row>
    <row r="37" spans="4:40" x14ac:dyDescent="0.25">
      <c r="D37" s="8">
        <v>5</v>
      </c>
      <c r="E37" s="39">
        <f t="array" ref="E37:E41">F37:F41-MMULT($K$27:$O$31,G37:G41)</f>
        <v>1.7335699999999999E-2</v>
      </c>
      <c r="F37" s="39">
        <f t="shared" si="1"/>
        <v>1.7335699999999999E-2</v>
      </c>
      <c r="G37" s="39">
        <f>SUMPRODUCT(F37:F37,$H$4:$H$4)/SUM($H$4:$H$4)-$E$4</f>
        <v>0</v>
      </c>
      <c r="H37" s="42">
        <f t="shared" si="0"/>
        <v>0</v>
      </c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</row>
    <row r="38" spans="4:40" x14ac:dyDescent="0.25">
      <c r="D38" s="13"/>
      <c r="E38" s="40">
        <v>1.4808781229417206E-2</v>
      </c>
      <c r="F38" s="40">
        <f t="shared" si="1"/>
        <v>1.4808781229417206E-2</v>
      </c>
      <c r="G38" s="40">
        <f>SUMPRODUCT(F37:F38,$H$4:$H$5)/SUM($H$4:$H$5)-$E$5</f>
        <v>0</v>
      </c>
      <c r="H38" s="51">
        <f t="shared" si="0"/>
        <v>0</v>
      </c>
      <c r="I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</row>
    <row r="39" spans="4:40" x14ac:dyDescent="0.25">
      <c r="D39" s="13"/>
      <c r="E39" s="40">
        <v>1.4813925984954429E-2</v>
      </c>
      <c r="F39" s="40">
        <f t="shared" si="1"/>
        <v>1.4813925984954429E-2</v>
      </c>
      <c r="G39" s="40">
        <f>SUMPRODUCT(F37:F39,$H$4:$H$6)/SUM($H$4:$H$6)-$E$6</f>
        <v>0</v>
      </c>
      <c r="H39" s="51">
        <f t="shared" si="0"/>
        <v>0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4:40" x14ac:dyDescent="0.25">
      <c r="D40" s="13"/>
      <c r="E40" s="40">
        <v>1.5176372177419359E-2</v>
      </c>
      <c r="F40" s="40">
        <f t="shared" si="1"/>
        <v>1.5176372177419359E-2</v>
      </c>
      <c r="G40" s="40">
        <f>SUMPRODUCT(F37:F40,$H$4:$H$7)/SUM($H$4:$H$7)-$E$7</f>
        <v>0</v>
      </c>
      <c r="H40" s="51">
        <f t="shared" si="0"/>
        <v>0</v>
      </c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5" t="s">
        <v>55</v>
      </c>
    </row>
    <row r="41" spans="4:40" x14ac:dyDescent="0.25">
      <c r="D41" s="18"/>
      <c r="E41" s="41">
        <v>1.8211310906531133E-2</v>
      </c>
      <c r="F41" s="41">
        <f t="shared" si="1"/>
        <v>1.8211310906531133E-2</v>
      </c>
      <c r="G41" s="41">
        <f>SUMPRODUCT(F37:F41,$H$4:$H$8)/SUM($H$4:$H$8)-$E$8</f>
        <v>0</v>
      </c>
      <c r="H41" s="60">
        <f t="shared" si="0"/>
        <v>0</v>
      </c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</row>
    <row r="42" spans="4:40" x14ac:dyDescent="0.25"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AM42" s="6"/>
    </row>
    <row r="43" spans="4:40" x14ac:dyDescent="0.25">
      <c r="AM43" s="6"/>
    </row>
    <row r="44" spans="4:40" x14ac:dyDescent="0.25">
      <c r="AM44" s="6"/>
    </row>
    <row r="45" spans="4:40" x14ac:dyDescent="0.25">
      <c r="AM45" s="6"/>
    </row>
    <row r="46" spans="4:40" x14ac:dyDescent="0.25">
      <c r="D46" s="6"/>
      <c r="E46" s="101"/>
      <c r="F46" s="101"/>
      <c r="G46" s="10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</row>
    <row r="47" spans="4:40" x14ac:dyDescent="0.25">
      <c r="D47" s="6"/>
      <c r="E47" s="101"/>
      <c r="F47" s="101"/>
      <c r="G47" s="10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</row>
    <row r="48" spans="4:40" x14ac:dyDescent="0.25">
      <c r="D48" s="6"/>
      <c r="E48" s="101"/>
      <c r="F48" s="101"/>
      <c r="G48" s="10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</row>
    <row r="49" spans="4:39" x14ac:dyDescent="0.25">
      <c r="D49" s="6"/>
      <c r="E49" s="101"/>
      <c r="F49" s="101"/>
      <c r="G49" s="101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</row>
  </sheetData>
  <hyperlinks>
    <hyperlink ref="BE3" r:id="rId1" xr:uid="{00000000-0004-0000-0400-000000000000}"/>
  </hyperlinks>
  <pageMargins left="0.7" right="0.7" top="0.75" bottom="0.75" header="0.3" footer="0.3"/>
  <pageSetup paperSize="9" orientation="portrait" r:id="rId2"/>
  <ignoredErrors>
    <ignoredError sqref="T17:T20 K17:N19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52</vt:i4>
      </vt:variant>
    </vt:vector>
  </HeadingPairs>
  <TitlesOfParts>
    <vt:vector size="59" baseType="lpstr">
      <vt:lpstr>Settings</vt:lpstr>
      <vt:lpstr>USD Curve</vt:lpstr>
      <vt:lpstr>Swaps</vt:lpstr>
      <vt:lpstr>PV01 Risk</vt:lpstr>
      <vt:lpstr>DV01 Risk</vt:lpstr>
      <vt:lpstr>Jacobian Transforms</vt:lpstr>
      <vt:lpstr>Jacobian</vt:lpstr>
      <vt:lpstr>AnalyticalDV01</vt:lpstr>
      <vt:lpstr>Annuity_Fixed</vt:lpstr>
      <vt:lpstr>Annuity_Float</vt:lpstr>
      <vt:lpstr>ApplyBump</vt:lpstr>
      <vt:lpstr>Approximate</vt:lpstr>
      <vt:lpstr>AsOfDate</vt:lpstr>
      <vt:lpstr>Currency</vt:lpstr>
      <vt:lpstr>CurveResults.DF.Bumped</vt:lpstr>
      <vt:lpstr>CurveResults.DFs</vt:lpstr>
      <vt:lpstr>CurveResults.Time</vt:lpstr>
      <vt:lpstr>CurveResults.USD3ML</vt:lpstr>
      <vt:lpstr>CurveResults.USDOIS</vt:lpstr>
      <vt:lpstr>DiscountCurve</vt:lpstr>
      <vt:lpstr>DurationFixed</vt:lpstr>
      <vt:lpstr>DurationFloat</vt:lpstr>
      <vt:lpstr>Epsilon</vt:lpstr>
      <vt:lpstr>FixedLegFrequencySelected</vt:lpstr>
      <vt:lpstr>FixedLegMarketFrequency</vt:lpstr>
      <vt:lpstr>FloatLegFrequencySelected</vt:lpstr>
      <vt:lpstr>FloatLegMarketFrequency</vt:lpstr>
      <vt:lpstr>ForecastCurve</vt:lpstr>
      <vt:lpstr>InterationResults</vt:lpstr>
      <vt:lpstr>InterationResults1</vt:lpstr>
      <vt:lpstr>IterationCount</vt:lpstr>
      <vt:lpstr>N</vt:lpstr>
      <vt:lpstr>NumericalDV01</vt:lpstr>
      <vt:lpstr>OverrideMarketFrequency</vt:lpstr>
      <vt:lpstr>p</vt:lpstr>
      <vt:lpstr>PAYREC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ShowIterations</vt:lpstr>
      <vt:lpstr>T</vt:lpstr>
      <vt:lpstr>t_i</vt:lpstr>
      <vt:lpstr>t_j</vt:lpstr>
      <vt:lpstr>Tolerance</vt:lpstr>
      <vt:lpstr>USD.Fixed.Period</vt:lpstr>
      <vt:lpstr>USD.Float.Period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2023-03-12T15:23:15Z</dcterms:modified>
</cp:coreProperties>
</file>