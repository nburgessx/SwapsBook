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BOOK\.SWAPS_BOOK\.Excel\"/>
    </mc:Choice>
  </mc:AlternateContent>
  <xr:revisionPtr revIDLastSave="0" documentId="8_{DD59DC2E-791A-4B46-B5BB-5E970A854A58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olve USD Curve" sheetId="7" r:id="rId1"/>
    <sheet name="Analytical Risk" sheetId="10" r:id="rId2"/>
    <sheet name="Ultra-Fast Curves" sheetId="8" r:id="rId3"/>
    <sheet name="Shifted USD Curve" sheetId="9" r:id="rId4"/>
    <sheet name="Research" sheetId="1" r:id="rId5"/>
  </sheets>
  <functionGroups builtInGroupCount="19"/>
  <definedNames>
    <definedName name="Epsilon" localSheetId="3">'Shifted USD Curve'!$Y$4</definedName>
    <definedName name="Epsilon">'Solve USD Curve'!$Y$4</definedName>
    <definedName name="InterationResults" localSheetId="3">'Shifted USD Curve'!$N$23:$X$32</definedName>
    <definedName name="InterationResults">'Solve USD Curve'!$N$23:$X$32</definedName>
    <definedName name="InterationResults1" localSheetId="3">'Shifted USD Curve'!$N$23:$N$32</definedName>
    <definedName name="InterationResults1">'Solve USD Curve'!$N$23:$N$32</definedName>
    <definedName name="IterationCount" localSheetId="3">'Shifted USD Curve'!$R$6</definedName>
    <definedName name="IterationCount">'Solve USD Curve'!$R$6</definedName>
    <definedName name="ShowIterations" localSheetId="3">'Shifted USD Curve'!$AA$20</definedName>
    <definedName name="ShowIterations">'Solve USD Curve'!$AA$20</definedName>
    <definedName name="Tolerance" localSheetId="3">'Shifted USD Curve'!$W$4</definedName>
    <definedName name="Tolerance">'Solve USD Curve'!$W$4</definedName>
    <definedName name="X0" localSheetId="3">'Shifted USD Curve'!$W$8:$W$17</definedName>
    <definedName name="X0">'Solve USD Curve'!$W$8:$W$17</definedName>
    <definedName name="Xn" localSheetId="3">'Shifted USD Curve'!$V$8:$V$17</definedName>
    <definedName name="Xn">'Solve USD Curve'!$V$8:$V$17</definedName>
    <definedName name="XnPlus1" localSheetId="3">'Shifted USD Curve'!$U$8:$U$17</definedName>
    <definedName name="XnPlus1">'Solve USD Curve'!$U$8:$U$17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AF46" i="7" l="1"/>
  <c r="AJ46" i="7"/>
  <c r="AF47" i="7"/>
  <c r="AJ47" i="7"/>
  <c r="AF48" i="7"/>
  <c r="AJ48" i="7"/>
  <c r="AF49" i="7"/>
  <c r="AJ49" i="7"/>
  <c r="AK46" i="7"/>
  <c r="AL46" i="7"/>
  <c r="AM46" i="7"/>
  <c r="AK47" i="7"/>
  <c r="AL47" i="7"/>
  <c r="AM47" i="7"/>
  <c r="AK48" i="7"/>
  <c r="AL48" i="7"/>
  <c r="AM48" i="7"/>
  <c r="AK49" i="7"/>
  <c r="AL49" i="7"/>
  <c r="AM49" i="7"/>
  <c r="AF50" i="7"/>
  <c r="AJ50" i="7"/>
  <c r="AK50" i="7"/>
  <c r="AL50" i="7"/>
  <c r="AM50" i="7"/>
  <c r="AG46" i="7"/>
  <c r="AG47" i="7"/>
  <c r="AG48" i="7"/>
  <c r="AG49" i="7"/>
  <c r="AG50" i="7"/>
  <c r="AO46" i="7" a="1"/>
  <c r="AO46" i="7"/>
  <c r="AR46" i="7"/>
  <c r="AO47" i="7"/>
  <c r="AR47" i="7"/>
  <c r="AO48" i="7"/>
  <c r="AR48" i="7"/>
  <c r="AO49" i="7"/>
  <c r="AR49" i="7"/>
  <c r="AO50" i="7"/>
  <c r="AR50" i="7"/>
  <c r="AC8" i="7"/>
  <c r="AB8" i="7"/>
  <c r="X13" i="7"/>
  <c r="M14" i="10"/>
  <c r="N14" i="10"/>
  <c r="P14" i="10"/>
  <c r="M15" i="10"/>
  <c r="N15" i="10"/>
  <c r="P15" i="10"/>
  <c r="M16" i="10"/>
  <c r="N16" i="10"/>
  <c r="P16" i="10"/>
  <c r="M17" i="10"/>
  <c r="N17" i="10"/>
  <c r="P17" i="10"/>
  <c r="M18" i="10"/>
  <c r="N18" i="10"/>
  <c r="P18" i="10"/>
  <c r="D6" i="10"/>
  <c r="D7" i="10"/>
  <c r="D8" i="10"/>
  <c r="D9" i="10"/>
  <c r="D10" i="10"/>
  <c r="L6" i="10"/>
  <c r="M6" i="10"/>
  <c r="N6" i="10"/>
  <c r="O6" i="10"/>
  <c r="P6" i="10"/>
  <c r="L7" i="10"/>
  <c r="M7" i="10"/>
  <c r="N7" i="10"/>
  <c r="O7" i="10"/>
  <c r="P7" i="10"/>
  <c r="L8" i="10"/>
  <c r="M8" i="10"/>
  <c r="N8" i="10"/>
  <c r="O8" i="10"/>
  <c r="P8" i="10"/>
  <c r="L9" i="10"/>
  <c r="M9" i="10"/>
  <c r="N9" i="10"/>
  <c r="O9" i="10"/>
  <c r="P9" i="10"/>
  <c r="L10" i="10"/>
  <c r="M10" i="10"/>
  <c r="N10" i="10"/>
  <c r="O10" i="10"/>
  <c r="P10" i="10"/>
  <c r="I10" i="8"/>
  <c r="I11" i="8"/>
  <c r="I12" i="8"/>
  <c r="I13" i="8"/>
  <c r="I14" i="8"/>
  <c r="I15" i="8"/>
  <c r="I16" i="8"/>
  <c r="I17" i="8"/>
  <c r="I18" i="8"/>
  <c r="I19" i="8"/>
  <c r="C10" i="8"/>
  <c r="C11" i="8"/>
  <c r="C12" i="8"/>
  <c r="C13" i="8"/>
  <c r="C14" i="8"/>
  <c r="C15" i="8"/>
  <c r="C16" i="8"/>
  <c r="C17" i="8"/>
  <c r="C18" i="8"/>
  <c r="C19" i="8"/>
  <c r="P15" i="9"/>
  <c r="P16" i="9"/>
  <c r="P17" i="9"/>
  <c r="P18" i="9"/>
  <c r="P19" i="9"/>
  <c r="M15" i="9"/>
  <c r="M16" i="9"/>
  <c r="M17" i="9"/>
  <c r="M18" i="9"/>
  <c r="M19" i="9"/>
  <c r="R10" i="8"/>
  <c r="S10" i="8"/>
  <c r="T10" i="8"/>
  <c r="U10" i="8"/>
  <c r="V10" i="8"/>
  <c r="W10" i="8"/>
  <c r="X10" i="8"/>
  <c r="Y10" i="8"/>
  <c r="Z10" i="8"/>
  <c r="AA10" i="8"/>
  <c r="R11" i="8"/>
  <c r="S11" i="8"/>
  <c r="T11" i="8"/>
  <c r="U11" i="8"/>
  <c r="V11" i="8"/>
  <c r="W11" i="8"/>
  <c r="X11" i="8"/>
  <c r="Y11" i="8"/>
  <c r="Z11" i="8"/>
  <c r="AA11" i="8"/>
  <c r="R12" i="8"/>
  <c r="S12" i="8"/>
  <c r="T12" i="8"/>
  <c r="U12" i="8"/>
  <c r="V12" i="8"/>
  <c r="W12" i="8"/>
  <c r="X12" i="8"/>
  <c r="Y12" i="8"/>
  <c r="Z12" i="8"/>
  <c r="AA12" i="8"/>
  <c r="R13" i="8"/>
  <c r="S13" i="8"/>
  <c r="T13" i="8"/>
  <c r="U13" i="8"/>
  <c r="V13" i="8"/>
  <c r="W13" i="8"/>
  <c r="X13" i="8"/>
  <c r="Y13" i="8"/>
  <c r="Z13" i="8"/>
  <c r="AA13" i="8"/>
  <c r="R14" i="8"/>
  <c r="S14" i="8"/>
  <c r="T14" i="8"/>
  <c r="U14" i="8"/>
  <c r="V14" i="8"/>
  <c r="W14" i="8"/>
  <c r="X14" i="8"/>
  <c r="Y14" i="8"/>
  <c r="Z14" i="8"/>
  <c r="AA14" i="8"/>
  <c r="R15" i="8"/>
  <c r="S15" i="8"/>
  <c r="T15" i="8"/>
  <c r="U15" i="8"/>
  <c r="V15" i="8"/>
  <c r="W15" i="8"/>
  <c r="X15" i="8"/>
  <c r="Y15" i="8"/>
  <c r="Z15" i="8"/>
  <c r="AA15" i="8"/>
  <c r="R16" i="8"/>
  <c r="S16" i="8"/>
  <c r="T16" i="8"/>
  <c r="U16" i="8"/>
  <c r="V16" i="8"/>
  <c r="W16" i="8"/>
  <c r="X16" i="8"/>
  <c r="Y16" i="8"/>
  <c r="Z16" i="8"/>
  <c r="AA16" i="8"/>
  <c r="R17" i="8"/>
  <c r="S17" i="8"/>
  <c r="T17" i="8"/>
  <c r="U17" i="8"/>
  <c r="V17" i="8"/>
  <c r="W17" i="8"/>
  <c r="X17" i="8"/>
  <c r="Y17" i="8"/>
  <c r="Z17" i="8"/>
  <c r="AA17" i="8"/>
  <c r="R18" i="8"/>
  <c r="S18" i="8"/>
  <c r="T18" i="8"/>
  <c r="U18" i="8"/>
  <c r="V18" i="8"/>
  <c r="W18" i="8"/>
  <c r="X18" i="8"/>
  <c r="Y18" i="8"/>
  <c r="Z18" i="8"/>
  <c r="AA18" i="8"/>
  <c r="R19" i="8"/>
  <c r="S19" i="8"/>
  <c r="T19" i="8"/>
  <c r="U19" i="8"/>
  <c r="V19" i="8"/>
  <c r="W19" i="8"/>
  <c r="X19" i="8"/>
  <c r="Y19" i="8"/>
  <c r="Z19" i="8"/>
  <c r="AA19" i="8"/>
  <c r="AC10" i="8"/>
  <c r="AC11" i="8"/>
  <c r="AC12" i="8"/>
  <c r="AC13" i="8"/>
  <c r="AC14" i="8"/>
  <c r="AC15" i="8"/>
  <c r="AC16" i="8"/>
  <c r="AC17" i="8"/>
  <c r="AC18" i="8"/>
  <c r="AC19" i="8"/>
  <c r="P5" i="9"/>
  <c r="P6" i="9"/>
  <c r="P7" i="9"/>
  <c r="P8" i="9"/>
  <c r="P9" i="9"/>
  <c r="P10" i="9"/>
  <c r="M5" i="9"/>
  <c r="M6" i="9"/>
  <c r="M7" i="9"/>
  <c r="M8" i="9"/>
  <c r="M9" i="9"/>
  <c r="M10" i="9"/>
  <c r="AF54" i="9"/>
  <c r="AJ54" i="9"/>
  <c r="AF55" i="9"/>
  <c r="AJ55" i="9"/>
  <c r="AF56" i="9"/>
  <c r="AJ56" i="9"/>
  <c r="AF57" i="9"/>
  <c r="AJ57" i="9"/>
  <c r="AK54" i="9"/>
  <c r="AL54" i="9"/>
  <c r="AM54" i="9"/>
  <c r="AK55" i="9"/>
  <c r="AL55" i="9"/>
  <c r="AM55" i="9"/>
  <c r="AK56" i="9"/>
  <c r="AL56" i="9"/>
  <c r="AM56" i="9"/>
  <c r="AK57" i="9"/>
  <c r="AL57" i="9"/>
  <c r="AM57" i="9"/>
  <c r="AF58" i="9"/>
  <c r="AJ58" i="9"/>
  <c r="AK58" i="9"/>
  <c r="AL58" i="9"/>
  <c r="AM58" i="9"/>
  <c r="AG54" i="9"/>
  <c r="AG55" i="9"/>
  <c r="AG56" i="9"/>
  <c r="AG57" i="9"/>
  <c r="AG58" i="9"/>
  <c r="AO54" i="9" a="1"/>
  <c r="AO58" i="9"/>
  <c r="AR58" i="9"/>
  <c r="AO57" i="9"/>
  <c r="AR57" i="9"/>
  <c r="AO56" i="9"/>
  <c r="AR56" i="9"/>
  <c r="AO55" i="9"/>
  <c r="AR55" i="9"/>
  <c r="AO54" i="9"/>
  <c r="AR54" i="9"/>
  <c r="AF46" i="9"/>
  <c r="AJ46" i="9"/>
  <c r="AF47" i="9"/>
  <c r="AJ47" i="9"/>
  <c r="AF48" i="9"/>
  <c r="AJ48" i="9"/>
  <c r="AF49" i="9"/>
  <c r="AJ49" i="9"/>
  <c r="AK46" i="9"/>
  <c r="AL46" i="9"/>
  <c r="AM46" i="9"/>
  <c r="AK47" i="9"/>
  <c r="AL47" i="9"/>
  <c r="AM47" i="9"/>
  <c r="AK48" i="9"/>
  <c r="AL48" i="9"/>
  <c r="AM48" i="9"/>
  <c r="AK49" i="9"/>
  <c r="AL49" i="9"/>
  <c r="AM49" i="9"/>
  <c r="AF50" i="9"/>
  <c r="AJ50" i="9"/>
  <c r="AK50" i="9"/>
  <c r="AL50" i="9"/>
  <c r="AM50" i="9"/>
  <c r="AG46" i="9"/>
  <c r="AG47" i="9"/>
  <c r="AG48" i="9"/>
  <c r="AG49" i="9"/>
  <c r="AG50" i="9"/>
  <c r="AO46" i="9" a="1"/>
  <c r="AO50" i="9"/>
  <c r="AR50" i="9"/>
  <c r="AO49" i="9"/>
  <c r="AR49" i="9"/>
  <c r="AO48" i="9"/>
  <c r="AR48" i="9"/>
  <c r="AO47" i="9"/>
  <c r="AR47" i="9"/>
  <c r="AO46" i="9"/>
  <c r="AR46" i="9"/>
  <c r="AV25" i="9"/>
  <c r="AV26" i="9"/>
  <c r="AV27" i="9"/>
  <c r="AV28" i="9"/>
  <c r="AV29" i="9"/>
  <c r="AV30" i="9"/>
  <c r="AV31" i="9"/>
  <c r="AV32" i="9"/>
  <c r="AV33" i="9"/>
  <c r="AW33" i="9"/>
  <c r="AQ25" i="9"/>
  <c r="AQ26" i="9"/>
  <c r="AQ27" i="9"/>
  <c r="AQ28" i="9"/>
  <c r="AQ29" i="9"/>
  <c r="AQ30" i="9"/>
  <c r="AQ31" i="9"/>
  <c r="AQ32" i="9"/>
  <c r="AQ33" i="9"/>
  <c r="AR33" i="9"/>
  <c r="AW32" i="9"/>
  <c r="AR32" i="9"/>
  <c r="AW31" i="9"/>
  <c r="AR31" i="9"/>
  <c r="AW30" i="9"/>
  <c r="AR30" i="9"/>
  <c r="AW29" i="9"/>
  <c r="AR29" i="9"/>
  <c r="AW28" i="9"/>
  <c r="AR28" i="9"/>
  <c r="AW27" i="9"/>
  <c r="AR27" i="9"/>
  <c r="AW26" i="9"/>
  <c r="AR26" i="9"/>
  <c r="AW25" i="9"/>
  <c r="AR25" i="9"/>
  <c r="AW24" i="9"/>
  <c r="AR24" i="9"/>
  <c r="AW23" i="9"/>
  <c r="AR23" i="9"/>
  <c r="AC12" i="9"/>
  <c r="AB12" i="9"/>
  <c r="AC8" i="9"/>
  <c r="AB8" i="9"/>
  <c r="AC9" i="9"/>
  <c r="AB9" i="9"/>
  <c r="AC10" i="9"/>
  <c r="AB10" i="9"/>
  <c r="AC11" i="9"/>
  <c r="AB11" i="9"/>
  <c r="AO17" i="9"/>
  <c r="AN17" i="9"/>
  <c r="AM17" i="9"/>
  <c r="AL17" i="9"/>
  <c r="AK17" i="9"/>
  <c r="X17" i="9"/>
  <c r="AN16" i="9"/>
  <c r="AM16" i="9"/>
  <c r="AL16" i="9"/>
  <c r="AK16" i="9"/>
  <c r="X16" i="9"/>
  <c r="AM15" i="9"/>
  <c r="AL15" i="9"/>
  <c r="AK15" i="9"/>
  <c r="X15" i="9"/>
  <c r="AL14" i="9"/>
  <c r="AK14" i="9"/>
  <c r="X14" i="9"/>
  <c r="AK13" i="9"/>
  <c r="X13" i="9"/>
  <c r="AJ12" i="9"/>
  <c r="AI12" i="9"/>
  <c r="AH12" i="9"/>
  <c r="AG12" i="9"/>
  <c r="AF12" i="9"/>
  <c r="X12" i="9"/>
  <c r="AI11" i="9"/>
  <c r="AH11" i="9"/>
  <c r="AG11" i="9"/>
  <c r="AF11" i="9"/>
  <c r="X11" i="9"/>
  <c r="AH10" i="9"/>
  <c r="AG10" i="9"/>
  <c r="AF10" i="9"/>
  <c r="X10" i="9"/>
  <c r="AG9" i="9"/>
  <c r="AF9" i="9"/>
  <c r="X9" i="9"/>
  <c r="AF8" i="9"/>
  <c r="AQ8" i="9" a="1"/>
  <c r="AQ8" i="9"/>
  <c r="AR8" i="9"/>
  <c r="AS8" i="9"/>
  <c r="AT8" i="9"/>
  <c r="AU8" i="9"/>
  <c r="AV8" i="9"/>
  <c r="AW8" i="9"/>
  <c r="AX8" i="9"/>
  <c r="AY8" i="9"/>
  <c r="AZ8" i="9"/>
  <c r="AQ9" i="9"/>
  <c r="AR9" i="9"/>
  <c r="AS9" i="9"/>
  <c r="AT9" i="9"/>
  <c r="AU9" i="9"/>
  <c r="AV9" i="9"/>
  <c r="AW9" i="9"/>
  <c r="AX9" i="9"/>
  <c r="AY9" i="9"/>
  <c r="AZ9" i="9"/>
  <c r="AQ10" i="9"/>
  <c r="AR10" i="9"/>
  <c r="AS10" i="9"/>
  <c r="AT10" i="9"/>
  <c r="AU10" i="9"/>
  <c r="AV10" i="9"/>
  <c r="AW10" i="9"/>
  <c r="AX10" i="9"/>
  <c r="AY10" i="9"/>
  <c r="AZ10" i="9"/>
  <c r="AQ11" i="9"/>
  <c r="AR11" i="9"/>
  <c r="AS11" i="9"/>
  <c r="AT11" i="9"/>
  <c r="AU11" i="9"/>
  <c r="AV11" i="9"/>
  <c r="AW11" i="9"/>
  <c r="AX11" i="9"/>
  <c r="AY11" i="9"/>
  <c r="AZ11" i="9"/>
  <c r="AQ12" i="9"/>
  <c r="AR12" i="9"/>
  <c r="AS12" i="9"/>
  <c r="AT12" i="9"/>
  <c r="AU12" i="9"/>
  <c r="AV12" i="9"/>
  <c r="AW12" i="9"/>
  <c r="AX12" i="9"/>
  <c r="AY12" i="9"/>
  <c r="AZ12" i="9"/>
  <c r="AQ13" i="9"/>
  <c r="AR13" i="9"/>
  <c r="AS13" i="9"/>
  <c r="AT13" i="9"/>
  <c r="AU13" i="9"/>
  <c r="AV13" i="9"/>
  <c r="AW13" i="9"/>
  <c r="AX13" i="9"/>
  <c r="AY13" i="9"/>
  <c r="AZ13" i="9"/>
  <c r="AQ14" i="9"/>
  <c r="AR14" i="9"/>
  <c r="AS14" i="9"/>
  <c r="AT14" i="9"/>
  <c r="AU14" i="9"/>
  <c r="AV14" i="9"/>
  <c r="AW14" i="9"/>
  <c r="AX14" i="9"/>
  <c r="AY14" i="9"/>
  <c r="AZ14" i="9"/>
  <c r="AQ15" i="9"/>
  <c r="AR15" i="9"/>
  <c r="AS15" i="9"/>
  <c r="AT15" i="9"/>
  <c r="AU15" i="9"/>
  <c r="AV15" i="9"/>
  <c r="AW15" i="9"/>
  <c r="AX15" i="9"/>
  <c r="AY15" i="9"/>
  <c r="AZ15" i="9"/>
  <c r="AQ16" i="9"/>
  <c r="AR16" i="9"/>
  <c r="AS16" i="9"/>
  <c r="AT16" i="9"/>
  <c r="AU16" i="9"/>
  <c r="AV16" i="9"/>
  <c r="AW16" i="9"/>
  <c r="AX16" i="9"/>
  <c r="AY16" i="9"/>
  <c r="AZ16" i="9"/>
  <c r="AQ17" i="9"/>
  <c r="AR17" i="9"/>
  <c r="AS17" i="9"/>
  <c r="AT17" i="9"/>
  <c r="AU17" i="9"/>
  <c r="AV17" i="9"/>
  <c r="AW17" i="9"/>
  <c r="AX17" i="9"/>
  <c r="AY17" i="9"/>
  <c r="AZ17" i="9"/>
  <c r="X8" i="9"/>
  <c r="AC9" i="7"/>
  <c r="AB9" i="7"/>
  <c r="AC10" i="7"/>
  <c r="AB10" i="7"/>
  <c r="AK15" i="7"/>
  <c r="AC12" i="7"/>
  <c r="AB12" i="7"/>
  <c r="AC11" i="7"/>
  <c r="AB11" i="7"/>
  <c r="AO17" i="7"/>
  <c r="AN16" i="7"/>
  <c r="AN17" i="7"/>
  <c r="AM15" i="7"/>
  <c r="AM16" i="7"/>
  <c r="AM17" i="7"/>
  <c r="AL14" i="7"/>
  <c r="AL15" i="7"/>
  <c r="AL16" i="7"/>
  <c r="AL17" i="7"/>
  <c r="AK13" i="7"/>
  <c r="AK14" i="7"/>
  <c r="AK16" i="7"/>
  <c r="AK17" i="7"/>
  <c r="AJ12" i="7"/>
  <c r="AI12" i="7"/>
  <c r="AH12" i="7"/>
  <c r="AG12" i="7"/>
  <c r="AF12" i="7"/>
  <c r="AI11" i="7"/>
  <c r="AH11" i="7"/>
  <c r="AG11" i="7"/>
  <c r="AF11" i="7"/>
  <c r="AH10" i="7"/>
  <c r="AG10" i="7"/>
  <c r="AF10" i="7"/>
  <c r="AG9" i="7"/>
  <c r="AF9" i="7"/>
  <c r="AF8" i="7"/>
  <c r="X17" i="7"/>
  <c r="X16" i="7"/>
  <c r="X15" i="7"/>
  <c r="X14" i="7"/>
  <c r="X12" i="7"/>
  <c r="X11" i="7"/>
  <c r="X9" i="7"/>
  <c r="AR24" i="7"/>
  <c r="AF54" i="7"/>
  <c r="AJ54" i="7"/>
  <c r="AF55" i="7"/>
  <c r="AJ55" i="7"/>
  <c r="AF56" i="7"/>
  <c r="AJ56" i="7"/>
  <c r="AF57" i="7"/>
  <c r="AJ57" i="7"/>
  <c r="AK54" i="7"/>
  <c r="AL54" i="7"/>
  <c r="AM54" i="7"/>
  <c r="AK55" i="7"/>
  <c r="AL55" i="7"/>
  <c r="AM55" i="7"/>
  <c r="AK56" i="7"/>
  <c r="AL56" i="7"/>
  <c r="AM56" i="7"/>
  <c r="AK57" i="7"/>
  <c r="AL57" i="7"/>
  <c r="AM57" i="7"/>
  <c r="AF58" i="7"/>
  <c r="AJ58" i="7"/>
  <c r="AK58" i="7"/>
  <c r="AL58" i="7"/>
  <c r="AM58" i="7"/>
  <c r="AG54" i="7"/>
  <c r="AG55" i="7"/>
  <c r="AG56" i="7"/>
  <c r="AG57" i="7"/>
  <c r="AG58" i="7"/>
  <c r="AO54" i="7" a="1"/>
  <c r="AO54" i="7"/>
  <c r="AO55" i="7"/>
  <c r="AO56" i="7"/>
  <c r="AO57" i="7"/>
  <c r="AO58" i="7"/>
  <c r="AW24" i="7"/>
  <c r="AW23" i="7"/>
  <c r="AR23" i="7"/>
  <c r="AV25" i="7"/>
  <c r="AW25" i="7"/>
  <c r="AV26" i="7"/>
  <c r="AW26" i="7"/>
  <c r="AV27" i="7"/>
  <c r="AW27" i="7"/>
  <c r="AV28" i="7"/>
  <c r="AW28" i="7"/>
  <c r="AV29" i="7"/>
  <c r="AW29" i="7"/>
  <c r="AV30" i="7"/>
  <c r="AW30" i="7"/>
  <c r="AV31" i="7"/>
  <c r="AW31" i="7"/>
  <c r="AV32" i="7"/>
  <c r="AW32" i="7"/>
  <c r="AV33" i="7"/>
  <c r="AW33" i="7"/>
  <c r="AQ25" i="7"/>
  <c r="AR25" i="7"/>
  <c r="AQ26" i="7"/>
  <c r="AR26" i="7"/>
  <c r="AQ27" i="7"/>
  <c r="AR27" i="7"/>
  <c r="AQ28" i="7"/>
  <c r="AR28" i="7"/>
  <c r="AQ29" i="7"/>
  <c r="AR29" i="7"/>
  <c r="AQ30" i="7"/>
  <c r="AR30" i="7"/>
  <c r="AQ31" i="7"/>
  <c r="AR31" i="7"/>
  <c r="AQ32" i="7"/>
  <c r="AR32" i="7"/>
  <c r="AQ33" i="7"/>
  <c r="AR33" i="7"/>
  <c r="AR58" i="7"/>
  <c r="AR57" i="7"/>
  <c r="AR56" i="7"/>
  <c r="AR55" i="7"/>
  <c r="AR54" i="7"/>
  <c r="X8" i="7"/>
  <c r="X10" i="7"/>
  <c r="AQ8" i="7" a="1"/>
  <c r="AY17" i="7"/>
  <c r="AX17" i="7"/>
  <c r="AW17" i="7"/>
  <c r="AV17" i="7"/>
  <c r="AU17" i="7"/>
  <c r="AT17" i="7"/>
  <c r="AS17" i="7"/>
  <c r="AR17" i="7"/>
  <c r="AQ17" i="7"/>
  <c r="AZ16" i="7"/>
  <c r="AY16" i="7"/>
  <c r="AX16" i="7"/>
  <c r="AW16" i="7"/>
  <c r="AV16" i="7"/>
  <c r="AU16" i="7"/>
  <c r="AT16" i="7"/>
  <c r="AS16" i="7"/>
  <c r="AR16" i="7"/>
  <c r="AQ16" i="7"/>
  <c r="AZ15" i="7"/>
  <c r="AY15" i="7"/>
  <c r="AX15" i="7"/>
  <c r="AW15" i="7"/>
  <c r="AV15" i="7"/>
  <c r="AU15" i="7"/>
  <c r="AT15" i="7"/>
  <c r="AS15" i="7"/>
  <c r="AR15" i="7"/>
  <c r="AQ15" i="7"/>
  <c r="AZ14" i="7"/>
  <c r="AY14" i="7"/>
  <c r="AX14" i="7"/>
  <c r="AW14" i="7"/>
  <c r="AV14" i="7"/>
  <c r="AU14" i="7"/>
  <c r="AT14" i="7"/>
  <c r="AS14" i="7"/>
  <c r="AR14" i="7"/>
  <c r="AQ14" i="7"/>
  <c r="AZ13" i="7"/>
  <c r="AY13" i="7"/>
  <c r="AX13" i="7"/>
  <c r="AW13" i="7"/>
  <c r="AV13" i="7"/>
  <c r="AU13" i="7"/>
  <c r="AT13" i="7"/>
  <c r="AS13" i="7"/>
  <c r="AR13" i="7"/>
  <c r="AQ13" i="7"/>
  <c r="AZ12" i="7"/>
  <c r="AY12" i="7"/>
  <c r="AX12" i="7"/>
  <c r="AW12" i="7"/>
  <c r="AV12" i="7"/>
  <c r="AU12" i="7"/>
  <c r="AT12" i="7"/>
  <c r="AS12" i="7"/>
  <c r="AR12" i="7"/>
  <c r="AQ12" i="7"/>
  <c r="AZ11" i="7"/>
  <c r="AY11" i="7"/>
  <c r="AX11" i="7"/>
  <c r="AW11" i="7"/>
  <c r="AV11" i="7"/>
  <c r="AU11" i="7"/>
  <c r="AT11" i="7"/>
  <c r="AS11" i="7"/>
  <c r="AR11" i="7"/>
  <c r="AQ11" i="7"/>
  <c r="AZ10" i="7"/>
  <c r="AY10" i="7"/>
  <c r="AX10" i="7"/>
  <c r="AW10" i="7"/>
  <c r="AV10" i="7"/>
  <c r="AU10" i="7"/>
  <c r="AT10" i="7"/>
  <c r="AS10" i="7"/>
  <c r="AR10" i="7"/>
  <c r="AQ10" i="7"/>
  <c r="AZ9" i="7"/>
  <c r="AY9" i="7"/>
  <c r="AX9" i="7"/>
  <c r="AW9" i="7"/>
  <c r="AV9" i="7"/>
  <c r="AU9" i="7"/>
  <c r="AT9" i="7"/>
  <c r="AS9" i="7"/>
  <c r="AR9" i="7"/>
  <c r="AQ9" i="7"/>
  <c r="AZ8" i="7"/>
  <c r="AY8" i="7"/>
  <c r="AX8" i="7"/>
  <c r="AW8" i="7"/>
  <c r="AV8" i="7"/>
  <c r="AU8" i="7"/>
  <c r="AT8" i="7"/>
  <c r="AS8" i="7"/>
  <c r="AR8" i="7"/>
  <c r="AQ8" i="7"/>
  <c r="AZ17" i="7"/>
  <c r="U8" i="7" a="1"/>
  <c r="U12" i="7"/>
  <c r="AS33" i="7"/>
  <c r="AT33" i="7"/>
  <c r="U11" i="7"/>
  <c r="AS31" i="7"/>
  <c r="AT31" i="7"/>
  <c r="U10" i="7"/>
  <c r="AS29" i="7"/>
  <c r="AT29" i="7"/>
  <c r="U9" i="7"/>
  <c r="U8" i="7"/>
  <c r="U13" i="7"/>
  <c r="AX25" i="7"/>
  <c r="AY25" i="7"/>
  <c r="U14" i="7"/>
  <c r="AX27" i="7"/>
  <c r="AY27" i="7"/>
  <c r="U15" i="7"/>
  <c r="AX29" i="7"/>
  <c r="AY29" i="7"/>
  <c r="U16" i="7"/>
  <c r="AX31" i="7"/>
  <c r="AY31" i="7"/>
  <c r="U17" i="7"/>
  <c r="AX33" i="7"/>
  <c r="AY33" i="7"/>
  <c r="AS27" i="7"/>
  <c r="AT27" i="7"/>
  <c r="AS25" i="7"/>
  <c r="AT25" i="7"/>
  <c r="Y17" i="7"/>
  <c r="Y16" i="7"/>
  <c r="Y15" i="7"/>
  <c r="Y14" i="7"/>
  <c r="Y13" i="7"/>
  <c r="Y12" i="7"/>
  <c r="Y11" i="7"/>
  <c r="Y10" i="7"/>
  <c r="Y9" i="7"/>
  <c r="Y8" i="7"/>
  <c r="Y4" i="7"/>
  <c r="U8" i="9" a="1"/>
  <c r="U8" i="9"/>
  <c r="Y8" i="9"/>
  <c r="U9" i="9"/>
  <c r="Y9" i="9"/>
  <c r="U10" i="9"/>
  <c r="Y10" i="9"/>
  <c r="U11" i="9"/>
  <c r="Y11" i="9"/>
  <c r="U12" i="9"/>
  <c r="Y12" i="9"/>
  <c r="U13" i="9"/>
  <c r="Y13" i="9"/>
  <c r="U14" i="9"/>
  <c r="Y14" i="9"/>
  <c r="U15" i="9"/>
  <c r="Y15" i="9"/>
  <c r="U16" i="9"/>
  <c r="Y16" i="9"/>
  <c r="U17" i="9"/>
  <c r="Y17" i="9"/>
  <c r="AS25" i="9"/>
  <c r="AT25" i="9"/>
  <c r="AX25" i="9"/>
  <c r="AY25" i="9"/>
  <c r="AS27" i="9"/>
  <c r="AT27" i="9"/>
  <c r="AX27" i="9"/>
  <c r="AY27" i="9"/>
  <c r="AS29" i="9"/>
  <c r="AT29" i="9"/>
  <c r="AX29" i="9"/>
  <c r="AY29" i="9"/>
  <c r="AS31" i="9"/>
  <c r="AT31" i="9"/>
  <c r="AX31" i="9"/>
  <c r="AY31" i="9"/>
  <c r="AS33" i="9"/>
  <c r="AT33" i="9"/>
  <c r="AX33" i="9"/>
  <c r="AY33" i="9"/>
  <c r="Y4" i="9"/>
  <c r="O10" i="8" a="1"/>
  <c r="O10" i="8"/>
  <c r="F10" i="8"/>
  <c r="D10" i="8"/>
  <c r="O11" i="8"/>
  <c r="F11" i="8"/>
  <c r="D11" i="8"/>
  <c r="O12" i="8"/>
  <c r="F12" i="8"/>
  <c r="D12" i="8"/>
  <c r="O13" i="8"/>
  <c r="F13" i="8"/>
  <c r="D13" i="8"/>
  <c r="O14" i="8"/>
  <c r="F14" i="8"/>
  <c r="D14" i="8"/>
  <c r="O15" i="8"/>
  <c r="F15" i="8"/>
  <c r="D15" i="8"/>
  <c r="O16" i="8"/>
  <c r="F16" i="8"/>
  <c r="D16" i="8"/>
  <c r="O17" i="8"/>
  <c r="F17" i="8"/>
  <c r="D17" i="8"/>
  <c r="O18" i="8"/>
  <c r="F18" i="8"/>
  <c r="D18" i="8"/>
  <c r="O19" i="8"/>
  <c r="F19" i="8"/>
  <c r="D19" i="8"/>
  <c r="C6" i="10" a="1"/>
  <c r="C10" i="10"/>
  <c r="E10" i="10"/>
  <c r="C9" i="10"/>
  <c r="E9" i="10"/>
  <c r="C8" i="10"/>
  <c r="E8" i="10"/>
  <c r="C7" i="10"/>
  <c r="E7" i="10"/>
  <c r="C6" i="10"/>
  <c r="E6" i="10"/>
</calcChain>
</file>

<file path=xl/sharedStrings.xml><?xml version="1.0" encoding="utf-8"?>
<sst xmlns="http://schemas.openxmlformats.org/spreadsheetml/2006/main" count="701" uniqueCount="224">
  <si>
    <t>Bloomberg Curve Par Rate Quotes</t>
  </si>
  <si>
    <t>Bloomberg USD 5Y Par Swap</t>
  </si>
  <si>
    <t>https://slideplayer.com/slide/5302065/</t>
  </si>
  <si>
    <t>1Y</t>
  </si>
  <si>
    <t>2Y</t>
  </si>
  <si>
    <t>3Y</t>
  </si>
  <si>
    <t>4Y</t>
  </si>
  <si>
    <t>5Y</t>
  </si>
  <si>
    <t>Tenor</t>
  </si>
  <si>
    <t>dP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</si>
  <si>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</si>
  <si>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</si>
  <si>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</si>
  <si>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Change in Mkt Data</t>
  </si>
  <si>
    <t>+/-</t>
  </si>
  <si>
    <t>Fixed Cashflows</t>
  </si>
  <si>
    <t>Floating Cashflows</t>
  </si>
  <si>
    <t>Epsilon</t>
  </si>
  <si>
    <t>Term</t>
  </si>
  <si>
    <t>DiscFact</t>
  </si>
  <si>
    <t>O/N</t>
  </si>
  <si>
    <t>ParRate, p</t>
  </si>
  <si>
    <t>3M</t>
  </si>
  <si>
    <t>USD3ML</t>
  </si>
  <si>
    <t>USD OIS Market Data</t>
  </si>
  <si>
    <t>USD 3ML Market Data</t>
  </si>
  <si>
    <t>Curve</t>
  </si>
  <si>
    <t>USDOIS</t>
  </si>
  <si>
    <t>DiscFactor</t>
  </si>
  <si>
    <t>ForwardRate</t>
  </si>
  <si>
    <t>Iteration Results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</si>
  <si>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</si>
  <si>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</si>
  <si>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</si>
  <si>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</si>
  <si>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</si>
  <si>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</si>
  <si>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</si>
  <si>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</si>
  <si>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</si>
  <si>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</si>
  <si>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</si>
  <si>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Tolerance</t>
  </si>
  <si>
    <t>Initial Guess</t>
  </si>
  <si>
    <t>RMSE</t>
  </si>
  <si>
    <t>Multi-Dimensional Newton-Raphson Algorithm</t>
  </si>
  <si>
    <t>y</t>
  </si>
  <si>
    <t>x</t>
  </si>
  <si>
    <t>Vandermonde Matrix</t>
  </si>
  <si>
    <t>x^2</t>
  </si>
  <si>
    <t>Polynomial Coefficients</t>
  </si>
  <si>
    <t>Beta</t>
  </si>
  <si>
    <t>Polynomial Regression</t>
  </si>
  <si>
    <r>
      <t>USDOIS, X</t>
    </r>
    <r>
      <rPr>
        <vertAlign val="subscript"/>
        <sz val="11"/>
        <color theme="1"/>
        <rFont val="Calibri"/>
        <family val="2"/>
        <scheme val="minor"/>
      </rPr>
      <t>n</t>
    </r>
  </si>
  <si>
    <r>
      <t>USD3ML, X</t>
    </r>
    <r>
      <rPr>
        <vertAlign val="subscript"/>
        <sz val="11"/>
        <color theme="1"/>
        <rFont val="Calibri"/>
        <family val="2"/>
        <scheme val="minor"/>
      </rPr>
      <t>n</t>
    </r>
  </si>
  <si>
    <t>x^3</t>
  </si>
  <si>
    <t>x^4</t>
  </si>
  <si>
    <t>x^5</t>
  </si>
  <si>
    <t>Integrand Coefficients</t>
  </si>
  <si>
    <t>I</t>
  </si>
  <si>
    <t>Forward Rates Table</t>
  </si>
  <si>
    <t>Check</t>
  </si>
  <si>
    <t>Integrand</t>
  </si>
  <si>
    <t>USDOIS Discount Factors</t>
  </si>
  <si>
    <t>Integrate USDOIS Forward Polynomial</t>
  </si>
  <si>
    <t>Inverse Jacobian</t>
  </si>
  <si>
    <t>ShowIterations</t>
  </si>
  <si>
    <t>Time, t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</si>
  <si>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  <r>
      <rPr>
        <sz val="11"/>
        <color theme="1"/>
        <rFont val="Calibri"/>
        <family val="2"/>
        <scheme val="minor"/>
      </rPr>
      <t xml:space="preserve"> =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-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</si>
  <si>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INSTRUCTIONS</t>
  </si>
  <si>
    <t>OVERVIEW</t>
  </si>
  <si>
    <t>where</t>
  </si>
  <si>
    <t>For a given forward rate we imply discount factors by integrating over u from t to T,</t>
  </si>
  <si>
    <t>Finally we integrate f(u) by assuming all forward rates fit a well-defined polynomial</t>
  </si>
  <si>
    <t>We globally solve for USD discount factors &amp; forward rates using the multi-dimensional</t>
  </si>
  <si>
    <t>Newton-Raphson formula,</t>
  </si>
  <si>
    <r>
      <t>X</t>
    </r>
    <r>
      <rPr>
        <vertAlign val="subscript"/>
        <sz val="11"/>
        <color rgb="FF0000FF"/>
        <rFont val="Calibri"/>
        <family val="2"/>
        <scheme val="minor"/>
      </rPr>
      <t>n+1</t>
    </r>
    <r>
      <rPr>
        <sz val="11"/>
        <color rgb="FF0000FF"/>
        <rFont val="Calibri"/>
        <family val="2"/>
        <scheme val="minor"/>
      </rPr>
      <t xml:space="preserve"> =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- 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rgb="FF0000FF"/>
        <rFont val="Calibri"/>
        <family val="2"/>
        <scheme val="minor"/>
      </rPr>
      <t xml:space="preserve"> . f(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)</t>
    </r>
  </si>
  <si>
    <r>
      <t xml:space="preserve">P(t,T) = exp( - </t>
    </r>
    <r>
      <rPr>
        <sz val="11"/>
        <color rgb="FF0000FF"/>
        <rFont val="Calibri"/>
        <family val="2"/>
      </rPr>
      <t>∫ f(u) du )</t>
    </r>
  </si>
  <si>
    <r>
      <rPr>
        <sz val="11"/>
        <color rgb="FF0000FF"/>
        <rFont val="Calibri"/>
        <family val="2"/>
        <scheme val="minor"/>
      </rPr>
      <t>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is the Forward Rate of the nth solver iteration</t>
    </r>
  </si>
  <si>
    <r>
      <rPr>
        <sz val="11"/>
        <color rgb="FF0000FF"/>
        <rFont val="Calibri"/>
        <family val="2"/>
        <scheme val="minor"/>
      </rPr>
      <t>f(X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target function, which is the Par Rate for the respective swap tenor</t>
    </r>
  </si>
  <si>
    <r>
      <rPr>
        <sz val="11"/>
        <color rgb="FF0000FF"/>
        <rFont val="Calibri"/>
        <family val="2"/>
        <scheme val="minor"/>
      </rPr>
      <t>J = f'(X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Jacobian or first derivative of the target function / Par Rate with respect to X</t>
    </r>
    <r>
      <rPr>
        <vertAlign val="subscript"/>
        <sz val="11"/>
        <color theme="1"/>
        <rFont val="Calibri"/>
        <family val="2"/>
        <scheme val="minor"/>
      </rPr>
      <t>n</t>
    </r>
  </si>
  <si>
    <r>
      <rPr>
        <sz val="11"/>
        <color rgb="FF0000FF"/>
        <rFont val="Calibri"/>
        <family val="2"/>
        <scheme val="minor"/>
      </rPr>
      <t>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is the inverse Jacobian</t>
    </r>
  </si>
  <si>
    <r>
      <rPr>
        <sz val="11"/>
        <color rgb="FF0000FF"/>
        <rFont val="Calibri"/>
        <family val="2"/>
        <scheme val="minor"/>
      </rPr>
      <t>P(t,T)</t>
    </r>
    <r>
      <rPr>
        <sz val="11"/>
        <color theme="1"/>
        <rFont val="Calibri"/>
        <family val="2"/>
        <scheme val="minor"/>
      </rPr>
      <t xml:space="preserve"> is the discount factor at time t for payment date T</t>
    </r>
  </si>
  <si>
    <r>
      <rPr>
        <sz val="11"/>
        <color rgb="FF0000FF"/>
        <rFont val="Calibri"/>
        <family val="2"/>
        <scheme val="minor"/>
      </rPr>
      <t>f(u)</t>
    </r>
    <r>
      <rPr>
        <sz val="11"/>
        <color theme="1"/>
        <rFont val="Calibri"/>
        <family val="2"/>
        <scheme val="minor"/>
      </rPr>
      <t xml:space="preserve"> is the OIS forward rate at time u</t>
    </r>
  </si>
  <si>
    <t>… Click above to expand for instructions</t>
  </si>
  <si>
    <t>3. All calculations are performed on this Excel sheet, the macro only copies interation results</t>
  </si>
  <si>
    <t>ASSUMPTIONS</t>
  </si>
  <si>
    <t>1. We assume all swaps have annualized coupons</t>
  </si>
  <si>
    <t>2. There are no holidays and that all year fractions are based on a regular 30/360 daycount basis</t>
  </si>
  <si>
    <t>For simplicity and brevity we assume,</t>
  </si>
  <si>
    <t>3. We assume OIS Swaps are determined by a single fixing in-advance for simplicity. In practise</t>
  </si>
  <si>
    <t>which are set In-Arrears.</t>
  </si>
  <si>
    <t>hower OIS Swap effective forward rates comprise of averaged or compounded daily fixing rates,</t>
  </si>
  <si>
    <t>USD OIS Discount Factors</t>
  </si>
  <si>
    <t>USD 3ML Forward Rates</t>
  </si>
  <si>
    <t>3. Press the update macro button to globally solve for forward rates</t>
  </si>
  <si>
    <r>
      <rPr>
        <b/>
        <sz val="11"/>
        <color theme="1"/>
        <rFont val="Symbol"/>
        <family val="1"/>
        <charset val="2"/>
      </rPr>
      <t>b</t>
    </r>
    <r>
      <rPr>
        <b/>
        <sz val="11"/>
        <color theme="1"/>
        <rFont val="Calibri"/>
        <family val="2"/>
        <scheme val="minor"/>
      </rPr>
      <t xml:space="preserve"> = (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X )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 xml:space="preserve"> 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Y</t>
    </r>
  </si>
  <si>
    <r>
      <t xml:space="preserve">Beta, </t>
    </r>
    <r>
      <rPr>
        <sz val="11"/>
        <color theme="1"/>
        <rFont val="Symbol"/>
        <family val="1"/>
        <charset val="2"/>
      </rPr>
      <t>b</t>
    </r>
  </si>
  <si>
    <t>1. Enter your initial guess for the USDOIS and USD3ML forward rates in the yellow cells W8:W18</t>
  </si>
  <si>
    <t>2. Enter the solver precission in cell W4</t>
  </si>
  <si>
    <t>4. To see the intermediate results for each iteration, select TRUE in cell AA20</t>
  </si>
  <si>
    <t>5. USDOIS and USD3ML forward rate results are displayed in blue in cells U8:U18</t>
  </si>
  <si>
    <t>6. USDOIS discount factor results are displayed in blue in cells AB8:AB12</t>
  </si>
  <si>
    <t>7. For comparison live market data par rates, discount factors and forwards are shown in cells L4:P18</t>
  </si>
  <si>
    <r>
      <t>dP(OIS</t>
    </r>
    <r>
      <rPr>
        <vertAlign val="subscript"/>
        <sz val="11"/>
        <color theme="1"/>
        <rFont val="Calibri"/>
        <family val="2"/>
        <scheme val="minor"/>
      </rPr>
      <t>5Y</t>
    </r>
    <r>
      <rPr>
        <sz val="11"/>
        <color theme="1"/>
        <rFont val="Calibri"/>
        <family val="2"/>
        <scheme val="minor"/>
      </rPr>
      <t>)</t>
    </r>
  </si>
  <si>
    <r>
      <t>dP(OIS</t>
    </r>
    <r>
      <rPr>
        <vertAlign val="subscript"/>
        <sz val="11"/>
        <color theme="1"/>
        <rFont val="Calibri"/>
        <family val="2"/>
        <scheme val="minor"/>
      </rPr>
      <t>4Y</t>
    </r>
    <r>
      <rPr>
        <sz val="11"/>
        <color theme="1"/>
        <rFont val="Calibri"/>
        <family val="2"/>
        <scheme val="minor"/>
      </rPr>
      <t>)</t>
    </r>
  </si>
  <si>
    <r>
      <t>dP(OIS</t>
    </r>
    <r>
      <rPr>
        <vertAlign val="subscript"/>
        <sz val="11"/>
        <color theme="1"/>
        <rFont val="Calibri"/>
        <family val="2"/>
        <scheme val="minor"/>
      </rPr>
      <t>3Y</t>
    </r>
    <r>
      <rPr>
        <sz val="11"/>
        <color theme="1"/>
        <rFont val="Calibri"/>
        <family val="2"/>
        <scheme val="minor"/>
      </rPr>
      <t>)</t>
    </r>
  </si>
  <si>
    <r>
      <t>dP(OIS</t>
    </r>
    <r>
      <rPr>
        <vertAlign val="subscript"/>
        <sz val="11"/>
        <color theme="1"/>
        <rFont val="Calibri"/>
        <family val="2"/>
        <scheme val="minor"/>
      </rPr>
      <t>2Y</t>
    </r>
    <r>
      <rPr>
        <sz val="11"/>
        <color theme="1"/>
        <rFont val="Calibri"/>
        <family val="2"/>
        <scheme val="minor"/>
      </rPr>
      <t>)</t>
    </r>
  </si>
  <si>
    <r>
      <t>dP(OIS</t>
    </r>
    <r>
      <rPr>
        <vertAlign val="subscript"/>
        <sz val="11"/>
        <color theme="1"/>
        <rFont val="Calibri"/>
        <family val="2"/>
        <scheme val="minor"/>
      </rPr>
      <t>1Y</t>
    </r>
    <r>
      <rPr>
        <sz val="11"/>
        <color theme="1"/>
        <rFont val="Calibri"/>
        <family val="2"/>
        <scheme val="minor"/>
      </rPr>
      <t>)</t>
    </r>
  </si>
  <si>
    <r>
      <t>dP(IRS</t>
    </r>
    <r>
      <rPr>
        <vertAlign val="subscript"/>
        <sz val="11"/>
        <color theme="1"/>
        <rFont val="Calibri"/>
        <family val="2"/>
        <scheme val="minor"/>
      </rPr>
      <t>1Y</t>
    </r>
    <r>
      <rPr>
        <sz val="11"/>
        <color theme="1"/>
        <rFont val="Calibri"/>
        <family val="2"/>
        <scheme val="minor"/>
      </rPr>
      <t>)</t>
    </r>
  </si>
  <si>
    <r>
      <t>dP(IRS</t>
    </r>
    <r>
      <rPr>
        <vertAlign val="subscript"/>
        <sz val="11"/>
        <color theme="1"/>
        <rFont val="Calibri"/>
        <family val="2"/>
        <scheme val="minor"/>
      </rPr>
      <t>2Y</t>
    </r>
    <r>
      <rPr>
        <sz val="11"/>
        <color theme="1"/>
        <rFont val="Calibri"/>
        <family val="2"/>
        <scheme val="minor"/>
      </rPr>
      <t>)</t>
    </r>
  </si>
  <si>
    <r>
      <t>dP(IRS</t>
    </r>
    <r>
      <rPr>
        <vertAlign val="subscript"/>
        <sz val="11"/>
        <color theme="1"/>
        <rFont val="Calibri"/>
        <family val="2"/>
        <scheme val="minor"/>
      </rPr>
      <t>3Y</t>
    </r>
    <r>
      <rPr>
        <sz val="11"/>
        <color theme="1"/>
        <rFont val="Calibri"/>
        <family val="2"/>
        <scheme val="minor"/>
      </rPr>
      <t>)</t>
    </r>
  </si>
  <si>
    <r>
      <t>dP(IRS</t>
    </r>
    <r>
      <rPr>
        <vertAlign val="subscript"/>
        <sz val="11"/>
        <color theme="1"/>
        <rFont val="Calibri"/>
        <family val="2"/>
        <scheme val="minor"/>
      </rPr>
      <t>4Y</t>
    </r>
    <r>
      <rPr>
        <sz val="11"/>
        <color theme="1"/>
        <rFont val="Calibri"/>
        <family val="2"/>
        <scheme val="minor"/>
      </rPr>
      <t>)</t>
    </r>
  </si>
  <si>
    <r>
      <t>dP(IRS</t>
    </r>
    <r>
      <rPr>
        <vertAlign val="subscript"/>
        <sz val="11"/>
        <color theme="1"/>
        <rFont val="Calibri"/>
        <family val="2"/>
        <scheme val="minor"/>
      </rPr>
      <t>5Y</t>
    </r>
    <r>
      <rPr>
        <sz val="11"/>
        <color theme="1"/>
        <rFont val="Calibri"/>
        <family val="2"/>
        <scheme val="minor"/>
      </rPr>
      <t>)</t>
    </r>
  </si>
  <si>
    <t>Iteration: 4</t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</si>
  <si>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</si>
  <si>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</si>
  <si>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</si>
  <si>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</si>
  <si>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</si>
  <si>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</si>
  <si>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</si>
  <si>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</si>
  <si>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</si>
  <si>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</si>
  <si>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t>Jacobian, dParRate/dLibor (dp/dL)</t>
  </si>
  <si>
    <t>p = PV(Float Leg)/Annuity(Fixed Leg)</t>
  </si>
  <si>
    <r>
      <t>dp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/dL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= N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(Fixed) = 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(Fixed), since N=1 and 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  <scheme val="minor"/>
      </rPr>
      <t>=1</t>
    </r>
  </si>
  <si>
    <t>Change in Market Data</t>
  </si>
  <si>
    <t>dLibor/dParRate (dL/dp)</t>
  </si>
  <si>
    <t>New Forwards</t>
  </si>
  <si>
    <t>Original Forwards</t>
  </si>
  <si>
    <t>dL/dp</t>
  </si>
  <si>
    <t>Bps</t>
  </si>
  <si>
    <t>dp (%)</t>
  </si>
  <si>
    <t>From Calibration</t>
  </si>
  <si>
    <t>From Jacobian</t>
  </si>
  <si>
    <r>
      <t>Inverse Jacobian, J</t>
    </r>
    <r>
      <rPr>
        <b/>
        <vertAlign val="superscript"/>
        <sz val="11"/>
        <color theme="1"/>
        <rFont val="Calibri"/>
        <family val="2"/>
        <scheme val="minor"/>
      </rPr>
      <t>-1</t>
    </r>
  </si>
  <si>
    <t>Notes:</t>
  </si>
  <si>
    <t>Instructions</t>
  </si>
  <si>
    <r>
      <t>OIS</t>
    </r>
    <r>
      <rPr>
        <vertAlign val="subscript"/>
        <sz val="11"/>
        <color theme="1"/>
        <rFont val="Calibri"/>
        <family val="2"/>
        <scheme val="minor"/>
      </rPr>
      <t>1Y</t>
    </r>
  </si>
  <si>
    <r>
      <t>OIS</t>
    </r>
    <r>
      <rPr>
        <vertAlign val="subscript"/>
        <sz val="11"/>
        <color theme="1"/>
        <rFont val="Calibri"/>
        <family val="2"/>
        <scheme val="minor"/>
      </rPr>
      <t>2Y</t>
    </r>
  </si>
  <si>
    <r>
      <t>IRS</t>
    </r>
    <r>
      <rPr>
        <vertAlign val="subscript"/>
        <sz val="11"/>
        <color theme="1"/>
        <rFont val="Calibri"/>
        <family val="2"/>
        <scheme val="minor"/>
      </rPr>
      <t>1Y</t>
    </r>
  </si>
  <si>
    <r>
      <t>IRS</t>
    </r>
    <r>
      <rPr>
        <vertAlign val="subscript"/>
        <sz val="11"/>
        <color theme="1"/>
        <rFont val="Calibri"/>
        <family val="2"/>
        <scheme val="minor"/>
      </rPr>
      <t>2Y</t>
    </r>
  </si>
  <si>
    <r>
      <t>IRS</t>
    </r>
    <r>
      <rPr>
        <vertAlign val="subscript"/>
        <sz val="11"/>
        <color theme="1"/>
        <rFont val="Calibri"/>
        <family val="2"/>
        <scheme val="minor"/>
      </rPr>
      <t>3Y</t>
    </r>
  </si>
  <si>
    <r>
      <t>IRS</t>
    </r>
    <r>
      <rPr>
        <vertAlign val="subscript"/>
        <sz val="11"/>
        <color theme="1"/>
        <rFont val="Calibri"/>
        <family val="2"/>
        <scheme val="minor"/>
      </rPr>
      <t>4Y</t>
    </r>
  </si>
  <si>
    <r>
      <t>IRS</t>
    </r>
    <r>
      <rPr>
        <vertAlign val="subscript"/>
        <sz val="11"/>
        <color theme="1"/>
        <rFont val="Calibri"/>
        <family val="2"/>
        <scheme val="minor"/>
      </rPr>
      <t>5Y</t>
    </r>
  </si>
  <si>
    <r>
      <t>OIS</t>
    </r>
    <r>
      <rPr>
        <vertAlign val="subscript"/>
        <sz val="11"/>
        <color theme="1"/>
        <rFont val="Calibri"/>
        <family val="2"/>
        <scheme val="minor"/>
      </rPr>
      <t>3Y</t>
    </r>
  </si>
  <si>
    <r>
      <t>OIS</t>
    </r>
    <r>
      <rPr>
        <vertAlign val="subscript"/>
        <sz val="11"/>
        <color theme="1"/>
        <rFont val="Calibri"/>
        <family val="2"/>
        <scheme val="minor"/>
      </rPr>
      <t>4Y</t>
    </r>
  </si>
  <si>
    <r>
      <t>OIS</t>
    </r>
    <r>
      <rPr>
        <vertAlign val="subscript"/>
        <sz val="11"/>
        <color theme="1"/>
        <rFont val="Calibri"/>
        <family val="2"/>
        <scheme val="minor"/>
      </rPr>
      <t>5Y</t>
    </r>
  </si>
  <si>
    <t xml:space="preserve">   dL = (dL/dp) x dp</t>
  </si>
  <si>
    <t xml:space="preserve">   Change in Forwards = Inverse Jacobian x Change in Market Data</t>
  </si>
  <si>
    <r>
      <t>L</t>
    </r>
    <r>
      <rPr>
        <i/>
        <vertAlign val="subscript"/>
        <sz val="10"/>
        <color theme="1"/>
        <rFont val="Calibri"/>
        <family val="2"/>
        <scheme val="minor"/>
      </rPr>
      <t>1Y</t>
    </r>
    <r>
      <rPr>
        <i/>
        <vertAlign val="superscript"/>
        <sz val="10"/>
        <color theme="1"/>
        <rFont val="Calibri"/>
        <family val="2"/>
        <scheme val="minor"/>
      </rPr>
      <t>OIS</t>
    </r>
  </si>
  <si>
    <r>
      <t>L</t>
    </r>
    <r>
      <rPr>
        <i/>
        <vertAlign val="subscript"/>
        <sz val="10"/>
        <color theme="1"/>
        <rFont val="Calibri"/>
        <family val="2"/>
        <scheme val="minor"/>
      </rPr>
      <t>2Y</t>
    </r>
    <r>
      <rPr>
        <i/>
        <vertAlign val="superscript"/>
        <sz val="10"/>
        <color theme="1"/>
        <rFont val="Calibri"/>
        <family val="2"/>
        <scheme val="minor"/>
      </rPr>
      <t>OIS</t>
    </r>
  </si>
  <si>
    <r>
      <t>L</t>
    </r>
    <r>
      <rPr>
        <i/>
        <vertAlign val="subscript"/>
        <sz val="10"/>
        <color theme="1"/>
        <rFont val="Calibri"/>
        <family val="2"/>
        <scheme val="minor"/>
      </rPr>
      <t>3Y</t>
    </r>
    <r>
      <rPr>
        <i/>
        <vertAlign val="superscript"/>
        <sz val="10"/>
        <color theme="1"/>
        <rFont val="Calibri"/>
        <family val="2"/>
        <scheme val="minor"/>
      </rPr>
      <t>OIS</t>
    </r>
  </si>
  <si>
    <r>
      <t>L</t>
    </r>
    <r>
      <rPr>
        <i/>
        <vertAlign val="subscript"/>
        <sz val="10"/>
        <color theme="1"/>
        <rFont val="Calibri"/>
        <family val="2"/>
        <scheme val="minor"/>
      </rPr>
      <t>4Y</t>
    </r>
    <r>
      <rPr>
        <i/>
        <vertAlign val="superscript"/>
        <sz val="10"/>
        <color theme="1"/>
        <rFont val="Calibri"/>
        <family val="2"/>
        <scheme val="minor"/>
      </rPr>
      <t>OIS</t>
    </r>
  </si>
  <si>
    <r>
      <t>L</t>
    </r>
    <r>
      <rPr>
        <i/>
        <vertAlign val="subscript"/>
        <sz val="10"/>
        <color theme="1"/>
        <rFont val="Calibri"/>
        <family val="2"/>
        <scheme val="minor"/>
      </rPr>
      <t>5Y</t>
    </r>
    <r>
      <rPr>
        <i/>
        <vertAlign val="superscript"/>
        <sz val="10"/>
        <color theme="1"/>
        <rFont val="Calibri"/>
        <family val="2"/>
        <scheme val="minor"/>
      </rPr>
      <t>OIS</t>
    </r>
  </si>
  <si>
    <r>
      <t>L</t>
    </r>
    <r>
      <rPr>
        <i/>
        <vertAlign val="subscript"/>
        <sz val="10"/>
        <color theme="1"/>
        <rFont val="Calibri"/>
        <family val="2"/>
        <scheme val="minor"/>
      </rPr>
      <t>1Y</t>
    </r>
    <r>
      <rPr>
        <i/>
        <vertAlign val="superscript"/>
        <sz val="10"/>
        <color theme="1"/>
        <rFont val="Calibri"/>
        <family val="2"/>
        <scheme val="minor"/>
      </rPr>
      <t>IRS</t>
    </r>
  </si>
  <si>
    <r>
      <t>L</t>
    </r>
    <r>
      <rPr>
        <i/>
        <vertAlign val="subscript"/>
        <sz val="10"/>
        <color theme="1"/>
        <rFont val="Calibri"/>
        <family val="2"/>
        <scheme val="minor"/>
      </rPr>
      <t>2Y</t>
    </r>
    <r>
      <rPr>
        <i/>
        <vertAlign val="superscript"/>
        <sz val="10"/>
        <color theme="1"/>
        <rFont val="Calibri"/>
        <family val="2"/>
        <scheme val="minor"/>
      </rPr>
      <t>IRS</t>
    </r>
  </si>
  <si>
    <r>
      <t>L</t>
    </r>
    <r>
      <rPr>
        <i/>
        <vertAlign val="subscript"/>
        <sz val="10"/>
        <color theme="1"/>
        <rFont val="Calibri"/>
        <family val="2"/>
        <scheme val="minor"/>
      </rPr>
      <t>3Y</t>
    </r>
    <r>
      <rPr>
        <i/>
        <vertAlign val="superscript"/>
        <sz val="10"/>
        <color theme="1"/>
        <rFont val="Calibri"/>
        <family val="2"/>
        <scheme val="minor"/>
      </rPr>
      <t>IRS</t>
    </r>
  </si>
  <si>
    <r>
      <t>L</t>
    </r>
    <r>
      <rPr>
        <i/>
        <vertAlign val="subscript"/>
        <sz val="10"/>
        <color theme="1"/>
        <rFont val="Calibri"/>
        <family val="2"/>
        <scheme val="minor"/>
      </rPr>
      <t>4Y</t>
    </r>
    <r>
      <rPr>
        <i/>
        <vertAlign val="superscript"/>
        <sz val="10"/>
        <color theme="1"/>
        <rFont val="Calibri"/>
        <family val="2"/>
        <scheme val="minor"/>
      </rPr>
      <t>IRS</t>
    </r>
  </si>
  <si>
    <r>
      <t>L</t>
    </r>
    <r>
      <rPr>
        <i/>
        <vertAlign val="subscript"/>
        <sz val="10"/>
        <color theme="1"/>
        <rFont val="Calibri"/>
        <family val="2"/>
        <scheme val="minor"/>
      </rPr>
      <t>5Y</t>
    </r>
    <r>
      <rPr>
        <i/>
        <vertAlign val="superscript"/>
        <sz val="10"/>
        <color theme="1"/>
        <rFont val="Calibri"/>
        <family val="2"/>
        <scheme val="minor"/>
      </rPr>
      <t>IRS</t>
    </r>
  </si>
  <si>
    <t>Chg in Forwards</t>
  </si>
  <si>
    <t>Chg in Mkt Data</t>
  </si>
  <si>
    <t>This gives the change in forwards for a change in market data i.e. dL/dp</t>
  </si>
  <si>
    <r>
      <t xml:space="preserve">dL </t>
    </r>
    <r>
      <rPr>
        <vertAlign val="superscript"/>
        <sz val="11"/>
        <color theme="1"/>
        <rFont val="Calibri"/>
        <family val="2"/>
        <scheme val="minor"/>
      </rPr>
      <t>1</t>
    </r>
  </si>
  <si>
    <r>
      <t>dp (Bps)</t>
    </r>
    <r>
      <rPr>
        <vertAlign val="superscript"/>
        <sz val="11"/>
        <color theme="1"/>
        <rFont val="Calibri"/>
        <family val="2"/>
        <scheme val="minor"/>
      </rPr>
      <t xml:space="preserve"> 2</t>
    </r>
  </si>
  <si>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The change in Libor forward rates (L) is determined from the inverse Jacobian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as follows,</t>
    </r>
  </si>
  <si>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Change in market par rates in basis points. Note one basis point (1 bps) is considered a fairly large change in market par rates, 1 bps = 0.01% = 0.0001</t>
    </r>
  </si>
  <si>
    <t>dL = (dL/dp) . dp</t>
  </si>
  <si>
    <r>
      <rPr>
        <sz val="14"/>
        <color rgb="FF0000FF"/>
        <rFont val="Calibri"/>
        <family val="2"/>
        <scheme val="minor"/>
      </rPr>
      <t xml:space="preserve"> </t>
    </r>
    <r>
      <rPr>
        <u/>
        <sz val="14"/>
        <color rgb="FF0000FF"/>
        <rFont val="Calibri"/>
        <family val="2"/>
        <scheme val="minor"/>
      </rPr>
      <t>Ultra-Fast Yield Curves</t>
    </r>
  </si>
  <si>
    <t>Instrument</t>
  </si>
  <si>
    <t>2. Refresh this workheet using Shift-F9 to calculate forward rates from the Jacobian</t>
  </si>
  <si>
    <r>
      <t xml:space="preserve">4. Refresh this worksheet a second time using Shift-F9 to compare the difference between Jacobian and Calibration results </t>
    </r>
    <r>
      <rPr>
        <sz val="11"/>
        <color rgb="FFFF0000"/>
        <rFont val="Calibri"/>
        <family val="2"/>
        <scheme val="minor"/>
      </rPr>
      <t>(see cells E7:E16)</t>
    </r>
  </si>
  <si>
    <t>Analytical Risk</t>
  </si>
  <si>
    <t>DV01</t>
  </si>
  <si>
    <t>Notional</t>
  </si>
  <si>
    <t>PV01</t>
  </si>
  <si>
    <r>
      <t>PV01</t>
    </r>
    <r>
      <rPr>
        <vertAlign val="superscript"/>
        <sz val="11"/>
        <rFont val="Calibri"/>
        <family val="2"/>
        <scheme val="minor"/>
      </rPr>
      <t xml:space="preserve"> 2</t>
    </r>
  </si>
  <si>
    <t>PV01=  J . Shift Size . Annuity</t>
  </si>
  <si>
    <t>Jacobian, J</t>
  </si>
  <si>
    <t>The Jacobian gives the change in par rates for a change in Libor Forwards</t>
  </si>
  <si>
    <r>
      <rPr>
        <vertAlign val="super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PV01 meassures the change in IRS PV for a 1 bps (0.01%) change in forward rates.</t>
    </r>
  </si>
  <si>
    <t>Market Data</t>
  </si>
  <si>
    <t>IRS 5Y Price and Risk</t>
  </si>
  <si>
    <t>Newton-Raphson Solver and Jacobian</t>
  </si>
  <si>
    <r>
      <rPr>
        <vertAlign val="superscript"/>
        <sz val="11"/>
        <color theme="1"/>
        <rFont val="Calibri"/>
        <family val="2"/>
        <scheme val="minor"/>
      </rPr>
      <t xml:space="preserve">3 </t>
    </r>
    <r>
      <rPr>
        <sz val="11"/>
        <color theme="1"/>
        <rFont val="Calibri"/>
        <family val="2"/>
        <scheme val="minor"/>
      </rPr>
      <t>We can measure any sensitivity to Libor forward rates by changing the shift size (dL)</t>
    </r>
  </si>
  <si>
    <r>
      <t>Shift Size, dL</t>
    </r>
    <r>
      <rPr>
        <vertAlign val="superscript"/>
        <sz val="11"/>
        <color theme="1"/>
        <rFont val="Calibri"/>
        <family val="2"/>
        <scheme val="minor"/>
      </rPr>
      <t xml:space="preserve"> 3</t>
    </r>
  </si>
  <si>
    <t>Risks</t>
  </si>
  <si>
    <r>
      <rPr>
        <vertAlign val="superscript"/>
        <sz val="11"/>
        <color theme="1"/>
        <rFont val="Calibri"/>
        <family val="2"/>
        <scheme val="minor"/>
      </rPr>
      <t xml:space="preserve">4 </t>
    </r>
    <r>
      <rPr>
        <sz val="11"/>
        <color theme="1"/>
        <rFont val="Calibri"/>
        <family val="2"/>
        <scheme val="minor"/>
      </rPr>
      <t>Below we display risk results for a live 5Y IRS from Bloomberg</t>
    </r>
  </si>
  <si>
    <t>Measures the change in Swap PV for a 1 bps change in Libor Rates</t>
  </si>
  <si>
    <t>Measures the change in Swap PV for a 1 bps change in Libor Rates and Discount Factors</t>
  </si>
  <si>
    <r>
      <t xml:space="preserve">YearFrac, </t>
    </r>
    <r>
      <rPr>
        <sz val="11"/>
        <color theme="1"/>
        <rFont val="Symbol"/>
        <family val="1"/>
        <charset val="2"/>
      </rPr>
      <t>t</t>
    </r>
  </si>
  <si>
    <r>
      <t>DiscFactor</t>
    </r>
    <r>
      <rPr>
        <vertAlign val="superscript"/>
        <sz val="11"/>
        <color theme="1"/>
        <rFont val="Calibri"/>
        <family val="2"/>
        <scheme val="minor"/>
      </rPr>
      <t xml:space="preserve"> 5</t>
    </r>
  </si>
  <si>
    <t>Bloomberg 5Y IRS Price and Risks</t>
  </si>
  <si>
    <r>
      <t>dL =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. dp</t>
    </r>
  </si>
  <si>
    <t>3. Select the "Shifted USD Curve" worksheet and click the "Update Solver" button in cell AA14 - this is to calibrate the same curve for comparison</t>
  </si>
  <si>
    <t>Inverse Jacobian, dL/dP</t>
  </si>
  <si>
    <r>
      <t>OIS</t>
    </r>
    <r>
      <rPr>
        <i/>
        <vertAlign val="subscript"/>
        <sz val="10"/>
        <color theme="1"/>
        <rFont val="Calibri"/>
        <family val="2"/>
        <scheme val="minor"/>
      </rPr>
      <t>2Y</t>
    </r>
  </si>
  <si>
    <r>
      <t>OIS</t>
    </r>
    <r>
      <rPr>
        <i/>
        <vertAlign val="subscript"/>
        <sz val="10"/>
        <color theme="1"/>
        <rFont val="Calibri"/>
        <family val="2"/>
        <scheme val="minor"/>
      </rPr>
      <t>1Y</t>
    </r>
  </si>
  <si>
    <r>
      <t>OIS</t>
    </r>
    <r>
      <rPr>
        <i/>
        <vertAlign val="subscript"/>
        <sz val="10"/>
        <color theme="1"/>
        <rFont val="Calibri"/>
        <family val="2"/>
        <scheme val="minor"/>
      </rPr>
      <t>3Y</t>
    </r>
  </si>
  <si>
    <r>
      <t>OIS</t>
    </r>
    <r>
      <rPr>
        <i/>
        <vertAlign val="subscript"/>
        <sz val="10"/>
        <color theme="1"/>
        <rFont val="Calibri"/>
        <family val="2"/>
        <scheme val="minor"/>
      </rPr>
      <t>4Y</t>
    </r>
  </si>
  <si>
    <r>
      <t>OIS</t>
    </r>
    <r>
      <rPr>
        <i/>
        <vertAlign val="subscript"/>
        <sz val="10"/>
        <color theme="1"/>
        <rFont val="Calibri"/>
        <family val="2"/>
        <scheme val="minor"/>
      </rPr>
      <t>5Y</t>
    </r>
  </si>
  <si>
    <r>
      <t>IRS</t>
    </r>
    <r>
      <rPr>
        <i/>
        <vertAlign val="subscript"/>
        <sz val="10"/>
        <color theme="1"/>
        <rFont val="Calibri"/>
        <family val="2"/>
        <scheme val="minor"/>
      </rPr>
      <t>1Y</t>
    </r>
  </si>
  <si>
    <r>
      <t>IRS</t>
    </r>
    <r>
      <rPr>
        <i/>
        <vertAlign val="subscript"/>
        <sz val="10"/>
        <color theme="1"/>
        <rFont val="Calibri"/>
        <family val="2"/>
        <scheme val="minor"/>
      </rPr>
      <t>2Y</t>
    </r>
  </si>
  <si>
    <r>
      <t>IRS</t>
    </r>
    <r>
      <rPr>
        <i/>
        <vertAlign val="subscript"/>
        <sz val="10"/>
        <color theme="1"/>
        <rFont val="Calibri"/>
        <family val="2"/>
        <scheme val="minor"/>
      </rPr>
      <t>3Y</t>
    </r>
  </si>
  <si>
    <r>
      <t>IRS</t>
    </r>
    <r>
      <rPr>
        <i/>
        <vertAlign val="subscript"/>
        <sz val="10"/>
        <color theme="1"/>
        <rFont val="Calibri"/>
        <family val="2"/>
        <scheme val="minor"/>
      </rPr>
      <t>4Y</t>
    </r>
  </si>
  <si>
    <r>
      <t>IRS</t>
    </r>
    <r>
      <rPr>
        <i/>
        <vertAlign val="subscript"/>
        <sz val="10"/>
        <color theme="1"/>
        <rFont val="Calibri"/>
        <family val="2"/>
        <scheme val="minor"/>
      </rPr>
      <t>5Y</t>
    </r>
  </si>
  <si>
    <r>
      <t>L</t>
    </r>
    <r>
      <rPr>
        <vertAlign val="subscript"/>
        <sz val="11"/>
        <color theme="1"/>
        <rFont val="Calibri"/>
        <family val="2"/>
        <scheme val="minor"/>
      </rPr>
      <t>NEW</t>
    </r>
  </si>
  <si>
    <r>
      <t>L</t>
    </r>
    <r>
      <rPr>
        <vertAlign val="subscript"/>
        <sz val="11"/>
        <color theme="1"/>
        <rFont val="Calibri"/>
        <family val="2"/>
        <scheme val="minor"/>
      </rPr>
      <t>OLD</t>
    </r>
  </si>
  <si>
    <t>(in Bps)</t>
  </si>
  <si>
    <t>1. Enter the change in market data in the yellow cells (O10:O19) in basis points</t>
  </si>
  <si>
    <r>
      <t>L</t>
    </r>
    <r>
      <rPr>
        <i/>
        <vertAlign val="subscript"/>
        <sz val="14"/>
        <color rgb="FF0000FF"/>
        <rFont val="Calibri"/>
        <family val="2"/>
        <scheme val="minor"/>
      </rPr>
      <t>NEW</t>
    </r>
    <r>
      <rPr>
        <i/>
        <sz val="14"/>
        <color rgb="FF0000FF"/>
        <rFont val="Calibri"/>
        <family val="2"/>
        <scheme val="minor"/>
      </rPr>
      <t xml:space="preserve"> = L</t>
    </r>
    <r>
      <rPr>
        <i/>
        <vertAlign val="subscript"/>
        <sz val="14"/>
        <color rgb="FF0000FF"/>
        <rFont val="Calibri"/>
        <family val="2"/>
        <scheme val="minor"/>
      </rPr>
      <t>OLD</t>
    </r>
    <r>
      <rPr>
        <i/>
        <sz val="14"/>
        <color rgb="FF0000FF"/>
        <rFont val="Calibri"/>
        <family val="2"/>
        <scheme val="minor"/>
      </rPr>
      <t xml:space="preserve"> + J</t>
    </r>
    <r>
      <rPr>
        <i/>
        <vertAlign val="superscript"/>
        <sz val="14"/>
        <color rgb="FF0000FF"/>
        <rFont val="Calibri"/>
        <family val="2"/>
        <scheme val="minor"/>
      </rPr>
      <t xml:space="preserve">-1 </t>
    </r>
    <r>
      <rPr>
        <i/>
        <vertAlign val="subscript"/>
        <sz val="14"/>
        <color rgb="FF0000FF"/>
        <rFont val="Calibri"/>
        <family val="2"/>
        <scheme val="minor"/>
      </rPr>
      <t>.</t>
    </r>
    <r>
      <rPr>
        <i/>
        <sz val="14"/>
        <color rgb="FF0000FF"/>
        <rFont val="Calibri"/>
        <family val="2"/>
        <scheme val="minor"/>
      </rPr>
      <t xml:space="preserve"> Mkt Data Chg</t>
    </r>
  </si>
  <si>
    <r>
      <t>Change in Forwards = J</t>
    </r>
    <r>
      <rPr>
        <vertAlign val="superscript"/>
        <sz val="12"/>
        <rFont val="Calibri"/>
        <family val="2"/>
        <scheme val="minor"/>
      </rPr>
      <t>-1</t>
    </r>
    <r>
      <rPr>
        <sz val="12"/>
        <rFont val="Calibri"/>
        <family val="2"/>
        <scheme val="minor"/>
      </rPr>
      <t>.dP = dL/dP.dP = dL</t>
    </r>
  </si>
  <si>
    <t>Use Jacobian to Imply Change in Forward Rates</t>
  </si>
  <si>
    <r>
      <t>L</t>
    </r>
    <r>
      <rPr>
        <vertAlign val="subscript"/>
        <sz val="12"/>
        <rFont val="Calibri"/>
        <family val="2"/>
        <scheme val="minor"/>
      </rPr>
      <t>NEW</t>
    </r>
    <r>
      <rPr>
        <sz val="12"/>
        <rFont val="Calibri"/>
        <family val="2"/>
        <scheme val="minor"/>
      </rPr>
      <t xml:space="preserve"> = L</t>
    </r>
    <r>
      <rPr>
        <vertAlign val="subscript"/>
        <sz val="12"/>
        <rFont val="Calibri"/>
        <family val="2"/>
        <scheme val="minor"/>
      </rPr>
      <t>OLD</t>
    </r>
    <r>
      <rPr>
        <sz val="12"/>
        <rFont val="Calibri"/>
        <family val="2"/>
        <scheme val="minor"/>
      </rPr>
      <t xml:space="preserve"> + dL</t>
    </r>
  </si>
  <si>
    <t>Ultra-Fast Curves using Inverse Jacobian</t>
  </si>
  <si>
    <r>
      <rPr>
        <vertAlign val="superscript"/>
        <sz val="11"/>
        <color theme="1"/>
        <rFont val="Calibri"/>
        <family val="2"/>
        <scheme val="minor"/>
      </rPr>
      <t xml:space="preserve">1 </t>
    </r>
    <r>
      <rPr>
        <sz val="11"/>
        <color theme="1"/>
        <rFont val="Calibri"/>
        <family val="2"/>
        <scheme val="minor"/>
      </rPr>
      <t>We scale the unit annuity by the trade notional of USD 1,000,000 giving A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= N x Annuity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</si>
  <si>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 xml:space="preserve"> 1</t>
    </r>
  </si>
  <si>
    <t>Annuity, A</t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</si>
  <si>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</si>
  <si>
    <r>
      <rPr>
        <vertAlign val="super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Discount Factors are sourced from the "Solve USD" Curve worksheet</t>
    </r>
  </si>
  <si>
    <t>Jacobian, dP/dL</t>
  </si>
  <si>
    <t>dP/dL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</si>
</sst>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%"/>
    <numFmt numFmtId="165" formatCode="0.0E+00"/>
    <numFmt numFmtId="166" formatCode="#,##0.000000"/>
    <numFmt numFmtId="167" formatCode="0.000%"/>
    <numFmt numFmtId="168" formatCode="0.0000%"/>
    <numFmt numFmtId="169" formatCode="#,##0.00000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u/>
      <sz val="14"/>
      <color rgb="FF0000FF"/>
      <name val="Calibri"/>
      <family val="2"/>
      <scheme val="minor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vertAlign val="subscript"/>
      <sz val="14"/>
      <color rgb="FF0000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vertAlign val="subscript"/>
      <sz val="11"/>
      <color rgb="FF0000FF"/>
      <name val="Calibri"/>
      <family val="2"/>
      <scheme val="minor"/>
    </font>
    <font>
      <vertAlign val="superscript"/>
      <sz val="11"/>
      <color rgb="FF0000FF"/>
      <name val="Calibri"/>
      <family val="2"/>
      <scheme val="minor"/>
    </font>
    <font>
      <sz val="11"/>
      <color rgb="FF0000FF"/>
      <name val="Calibri"/>
      <family val="2"/>
    </font>
    <font>
      <sz val="11"/>
      <color theme="1"/>
      <name val="Symbol"/>
      <family val="1"/>
      <charset val="2"/>
    </font>
    <font>
      <b/>
      <sz val="11"/>
      <color theme="1"/>
      <name val="Symbol"/>
      <family val="1"/>
      <charset val="2"/>
    </font>
    <font>
      <b/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vertAlign val="subscript"/>
      <sz val="10"/>
      <color theme="1"/>
      <name val="Calibri"/>
      <family val="2"/>
      <scheme val="minor"/>
    </font>
    <font>
      <i/>
      <vertAlign val="superscript"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vertAlign val="superscript"/>
      <sz val="14"/>
      <color rgb="FF0000FF"/>
      <name val="Calibri"/>
      <family val="2"/>
      <scheme val="minor"/>
    </font>
    <font>
      <vertAlign val="superscript"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C00000"/>
      <name val="Calibri"/>
      <family val="2"/>
      <scheme val="minor"/>
    </font>
    <font>
      <sz val="12"/>
      <color rgb="FF0000FF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2"/>
      <name val="Calibri"/>
      <family val="2"/>
      <scheme val="minor"/>
    </font>
    <font>
      <vertAlign val="superscript"/>
      <sz val="12"/>
      <name val="Calibri"/>
      <family val="2"/>
      <scheme val="minor"/>
    </font>
    <font>
      <u/>
      <sz val="12"/>
      <name val="Calibri"/>
      <family val="2"/>
      <scheme val="minor"/>
    </font>
    <font>
      <vertAlign val="subscript"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color rgb="FF006600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</fills>
  <borders count="5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dotted">
        <color theme="0" tint="-0.14993743705557422"/>
      </bottom>
      <diagonal/>
    </border>
    <border>
      <left/>
      <right/>
      <top/>
      <bottom style="dotted">
        <color theme="0" tint="-0.14993743705557422"/>
      </bottom>
      <diagonal/>
    </border>
    <border>
      <left/>
      <right style="thin">
        <color theme="0" tint="-0.14996795556505021"/>
      </right>
      <top/>
      <bottom style="dotted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dashed">
        <color theme="0" tint="-0.24994659260841701"/>
      </left>
      <right/>
      <top style="dashed">
        <color theme="0" tint="-0.24994659260841701"/>
      </top>
      <bottom/>
      <diagonal/>
    </border>
    <border>
      <left/>
      <right/>
      <top style="dashed">
        <color theme="0" tint="-0.24994659260841701"/>
      </top>
      <bottom/>
      <diagonal/>
    </border>
    <border>
      <left/>
      <right style="thin">
        <color theme="0" tint="-0.24994659260841701"/>
      </right>
      <top style="dashed">
        <color theme="0" tint="-0.24994659260841701"/>
      </top>
      <bottom/>
      <diagonal/>
    </border>
    <border>
      <left style="dashed">
        <color theme="0" tint="-0.24994659260841701"/>
      </left>
      <right/>
      <top/>
      <bottom/>
      <diagonal/>
    </border>
    <border>
      <left style="dashed">
        <color theme="0" tint="-0.24994659260841701"/>
      </left>
      <right/>
      <top/>
      <bottom style="thin">
        <color theme="0" tint="-0.24994659260841701"/>
      </bottom>
      <diagonal/>
    </border>
    <border>
      <left/>
      <right style="dashed">
        <color theme="0" tint="-0.24994659260841701"/>
      </right>
      <top style="thin">
        <color theme="0" tint="-0.24994659260841701"/>
      </top>
      <bottom/>
      <diagonal/>
    </border>
    <border>
      <left/>
      <right style="dashed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dashed">
        <color theme="0" tint="-0.24994659260841701"/>
      </bottom>
      <diagonal/>
    </border>
    <border>
      <left/>
      <right/>
      <top/>
      <bottom style="dashed">
        <color theme="0" tint="-0.24994659260841701"/>
      </bottom>
      <diagonal/>
    </border>
    <border>
      <left/>
      <right style="dashed">
        <color theme="0" tint="-0.24994659260841701"/>
      </right>
      <top/>
      <bottom style="dashed">
        <color theme="0" tint="-0.24994659260841701"/>
      </bottom>
      <diagonal/>
    </border>
    <border>
      <left/>
      <right style="thin">
        <color theme="0" tint="-0.24994659260841701"/>
      </right>
      <top/>
      <bottom style="dashed">
        <color theme="0" tint="-0.24994659260841701"/>
      </bottom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/>
      <right style="thin">
        <color theme="0" tint="-0.14990691854609822"/>
      </right>
      <top/>
      <bottom/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/>
      <right style="thin">
        <color theme="0" tint="-0.1498764000366222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59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1"/>
    <xf numFmtId="0" fontId="2" fillId="0" borderId="0" xfId="0" applyFont="1"/>
    <xf numFmtId="0" fontId="4" fillId="0" borderId="0" xfId="0" applyFont="1"/>
    <xf numFmtId="0" fontId="0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" fillId="0" borderId="0" xfId="0" applyFont="1"/>
    <xf numFmtId="0" fontId="0" fillId="0" borderId="0" xfId="0" quotePrefix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4" fontId="0" fillId="0" borderId="0" xfId="0" applyNumberFormat="1"/>
    <xf numFmtId="165" fontId="0" fillId="0" borderId="9" xfId="0" applyNumberForma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0" borderId="0" xfId="0" quotePrefix="1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4" fontId="0" fillId="0" borderId="1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13" fillId="0" borderId="0" xfId="0" applyFont="1"/>
    <xf numFmtId="167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4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64" fontId="10" fillId="5" borderId="6" xfId="0" applyNumberFormat="1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164" fontId="10" fillId="5" borderId="9" xfId="0" applyNumberFormat="1" applyFont="1" applyFill="1" applyBorder="1" applyAlignment="1">
      <alignment horizontal="center" vertical="center"/>
    </xf>
    <xf numFmtId="169" fontId="10" fillId="5" borderId="3" xfId="0" applyNumberFormat="1" applyFont="1" applyFill="1" applyBorder="1" applyAlignment="1">
      <alignment horizontal="center" vertical="center"/>
    </xf>
    <xf numFmtId="169" fontId="10" fillId="5" borderId="6" xfId="0" applyNumberFormat="1" applyFont="1" applyFill="1" applyBorder="1" applyAlignment="1">
      <alignment horizontal="center" vertical="center"/>
    </xf>
    <xf numFmtId="169" fontId="10" fillId="5" borderId="9" xfId="0" applyNumberFormat="1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164" fontId="10" fillId="5" borderId="3" xfId="0" applyNumberFormat="1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64" fontId="0" fillId="4" borderId="14" xfId="0" applyNumberFormat="1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164" fontId="0" fillId="4" borderId="16" xfId="0" applyNumberFormat="1" applyFill="1" applyBorder="1" applyAlignment="1">
      <alignment horizontal="center" vertical="center"/>
    </xf>
    <xf numFmtId="164" fontId="0" fillId="4" borderId="17" xfId="0" applyNumberFormat="1" applyFill="1" applyBorder="1" applyAlignment="1">
      <alignment horizontal="center" vertical="center"/>
    </xf>
    <xf numFmtId="164" fontId="0" fillId="4" borderId="18" xfId="0" applyNumberFormat="1" applyFill="1" applyBorder="1" applyAlignment="1">
      <alignment horizontal="center" vertical="center"/>
    </xf>
    <xf numFmtId="164" fontId="0" fillId="4" borderId="19" xfId="0" applyNumberFormat="1" applyFill="1" applyBorder="1" applyAlignment="1">
      <alignment horizontal="center" vertical="center"/>
    </xf>
    <xf numFmtId="164" fontId="0" fillId="4" borderId="20" xfId="0" applyNumberFormat="1" applyFill="1" applyBorder="1" applyAlignment="1">
      <alignment horizontal="center" vertical="center"/>
    </xf>
    <xf numFmtId="164" fontId="0" fillId="4" borderId="21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0" fillId="0" borderId="10" xfId="0" applyBorder="1"/>
    <xf numFmtId="0" fontId="0" fillId="0" borderId="0" xfId="0" applyBorder="1"/>
    <xf numFmtId="4" fontId="0" fillId="0" borderId="2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4" fontId="0" fillId="0" borderId="0" xfId="0" applyNumberFormat="1" applyFill="1" applyBorder="1" applyAlignment="1">
      <alignment horizontal="center" vertical="center"/>
    </xf>
    <xf numFmtId="10" fontId="0" fillId="0" borderId="1" xfId="0" applyNumberFormat="1" applyFill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64" fontId="0" fillId="0" borderId="0" xfId="0" applyNumberFormat="1" applyBorder="1"/>
    <xf numFmtId="164" fontId="0" fillId="0" borderId="11" xfId="0" applyNumberFormat="1" applyBorder="1"/>
    <xf numFmtId="10" fontId="0" fillId="0" borderId="0" xfId="0" applyNumberFormat="1"/>
    <xf numFmtId="167" fontId="0" fillId="0" borderId="0" xfId="0" applyNumberFormat="1"/>
    <xf numFmtId="167" fontId="0" fillId="0" borderId="0" xfId="0" applyNumberFormat="1" applyAlignment="1">
      <alignment horizontal="center"/>
    </xf>
    <xf numFmtId="165" fontId="14" fillId="0" borderId="0" xfId="0" applyNumberFormat="1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4" fontId="0" fillId="0" borderId="15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4" fontId="0" fillId="2" borderId="15" xfId="0" applyNumberFormat="1" applyFill="1" applyBorder="1" applyAlignment="1">
      <alignment horizontal="center" vertical="center"/>
    </xf>
    <xf numFmtId="11" fontId="0" fillId="0" borderId="16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1" fontId="0" fillId="0" borderId="18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" fontId="0" fillId="0" borderId="23" xfId="0" applyNumberForma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0" fillId="2" borderId="23" xfId="0" applyNumberFormat="1" applyFill="1" applyBorder="1" applyAlignment="1">
      <alignment horizontal="center" vertical="center"/>
    </xf>
    <xf numFmtId="11" fontId="0" fillId="0" borderId="24" xfId="0" applyNumberFormat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164" fontId="0" fillId="0" borderId="21" xfId="0" applyNumberFormat="1" applyBorder="1" applyAlignment="1">
      <alignment horizontal="center" vertical="center"/>
    </xf>
    <xf numFmtId="4" fontId="0" fillId="2" borderId="20" xfId="0" applyNumberFormat="1" applyFill="1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4" fontId="0" fillId="0" borderId="17" xfId="0" applyNumberFormat="1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1" fontId="0" fillId="2" borderId="13" xfId="0" applyNumberFormat="1" applyFill="1" applyBorder="1" applyAlignment="1">
      <alignment horizontal="center" vertical="center"/>
    </xf>
    <xf numFmtId="11" fontId="0" fillId="0" borderId="13" xfId="0" applyNumberFormat="1" applyBorder="1" applyAlignment="1">
      <alignment horizontal="center" vertical="center"/>
    </xf>
    <xf numFmtId="4" fontId="0" fillId="3" borderId="0" xfId="0" applyNumberFormat="1" applyFill="1" applyBorder="1" applyAlignment="1">
      <alignment horizontal="center" vertical="center"/>
    </xf>
    <xf numFmtId="4" fontId="0" fillId="3" borderId="2" xfId="0" applyNumberFormat="1" applyFill="1" applyBorder="1" applyAlignment="1">
      <alignment horizontal="center" vertical="center"/>
    </xf>
    <xf numFmtId="4" fontId="0" fillId="3" borderId="10" xfId="0" applyNumberFormat="1" applyFill="1" applyBorder="1" applyAlignment="1">
      <alignment horizontal="center" vertical="center"/>
    </xf>
    <xf numFmtId="4" fontId="0" fillId="3" borderId="3" xfId="0" applyNumberFormat="1" applyFill="1" applyBorder="1" applyAlignment="1">
      <alignment horizontal="center" vertical="center"/>
    </xf>
    <xf numFmtId="4" fontId="0" fillId="3" borderId="5" xfId="0" applyNumberFormat="1" applyFill="1" applyBorder="1" applyAlignment="1">
      <alignment horizontal="center" vertical="center"/>
    </xf>
    <xf numFmtId="4" fontId="0" fillId="3" borderId="6" xfId="0" applyNumberFormat="1" applyFill="1" applyBorder="1" applyAlignment="1">
      <alignment horizontal="center" vertical="center"/>
    </xf>
    <xf numFmtId="4" fontId="0" fillId="3" borderId="8" xfId="0" applyNumberFormat="1" applyFill="1" applyBorder="1" applyAlignment="1">
      <alignment horizontal="center" vertical="center"/>
    </xf>
    <xf numFmtId="4" fontId="0" fillId="3" borderId="11" xfId="0" applyNumberFormat="1" applyFill="1" applyBorder="1" applyAlignment="1">
      <alignment horizontal="center" vertical="center"/>
    </xf>
    <xf numFmtId="4" fontId="0" fillId="3" borderId="9" xfId="0" applyNumberFormat="1" applyFill="1" applyBorder="1" applyAlignment="1">
      <alignment horizontal="center" vertical="center"/>
    </xf>
    <xf numFmtId="164" fontId="15" fillId="0" borderId="15" xfId="0" applyNumberFormat="1" applyFont="1" applyBorder="1" applyAlignment="1">
      <alignment horizontal="center" vertical="center"/>
    </xf>
    <xf numFmtId="164" fontId="15" fillId="0" borderId="0" xfId="0" applyNumberFormat="1" applyFont="1" applyBorder="1" applyAlignment="1">
      <alignment horizontal="center" vertical="center"/>
    </xf>
    <xf numFmtId="164" fontId="15" fillId="0" borderId="23" xfId="0" applyNumberFormat="1" applyFont="1" applyBorder="1" applyAlignment="1">
      <alignment horizontal="center" vertical="center"/>
    </xf>
    <xf numFmtId="166" fontId="15" fillId="0" borderId="15" xfId="0" applyNumberFormat="1" applyFont="1" applyFill="1" applyBorder="1" applyAlignment="1">
      <alignment horizontal="center" vertical="center"/>
    </xf>
    <xf numFmtId="166" fontId="15" fillId="0" borderId="0" xfId="0" applyNumberFormat="1" applyFont="1" applyFill="1" applyBorder="1" applyAlignment="1">
      <alignment horizontal="center" vertical="center"/>
    </xf>
    <xf numFmtId="166" fontId="15" fillId="0" borderId="20" xfId="0" applyNumberFormat="1" applyFont="1" applyFill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0" fillId="2" borderId="12" xfId="0" applyFill="1" applyBorder="1"/>
    <xf numFmtId="0" fontId="16" fillId="0" borderId="0" xfId="0" applyFont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0" fontId="1" fillId="0" borderId="0" xfId="0" applyFont="1" applyFill="1" applyBorder="1" applyAlignment="1">
      <alignment horizontal="left" vertical="center"/>
    </xf>
    <xf numFmtId="4" fontId="0" fillId="5" borderId="5" xfId="0" applyNumberFormat="1" applyFill="1" applyBorder="1" applyAlignment="1">
      <alignment horizontal="center" vertical="center"/>
    </xf>
    <xf numFmtId="4" fontId="0" fillId="5" borderId="0" xfId="0" applyNumberFormat="1" applyFill="1" applyBorder="1" applyAlignment="1">
      <alignment horizontal="center" vertical="center"/>
    </xf>
    <xf numFmtId="4" fontId="0" fillId="5" borderId="8" xfId="0" applyNumberFormat="1" applyFill="1" applyBorder="1" applyAlignment="1">
      <alignment horizontal="center" vertical="center"/>
    </xf>
    <xf numFmtId="4" fontId="0" fillId="5" borderId="11" xfId="0" applyNumberFormat="1" applyFill="1" applyBorder="1" applyAlignment="1">
      <alignment horizontal="center" vertical="center"/>
    </xf>
    <xf numFmtId="4" fontId="0" fillId="5" borderId="10" xfId="0" applyNumberFormat="1" applyFill="1" applyBorder="1" applyAlignment="1">
      <alignment horizontal="center" vertical="center"/>
    </xf>
    <xf numFmtId="4" fontId="0" fillId="5" borderId="3" xfId="0" applyNumberFormat="1" applyFill="1" applyBorder="1" applyAlignment="1">
      <alignment horizontal="center" vertical="center"/>
    </xf>
    <xf numFmtId="4" fontId="0" fillId="5" borderId="6" xfId="0" applyNumberFormat="1" applyFill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1" fontId="0" fillId="0" borderId="21" xfId="0" applyNumberFormat="1" applyBorder="1" applyAlignment="1">
      <alignment horizontal="center" vertical="center"/>
    </xf>
    <xf numFmtId="0" fontId="0" fillId="0" borderId="0" xfId="0" quotePrefix="1"/>
    <xf numFmtId="4" fontId="10" fillId="6" borderId="2" xfId="0" applyNumberFormat="1" applyFont="1" applyFill="1" applyBorder="1" applyAlignment="1">
      <alignment horizontal="center" vertical="center"/>
    </xf>
    <xf numFmtId="4" fontId="10" fillId="6" borderId="5" xfId="0" applyNumberFormat="1" applyFont="1" applyFill="1" applyBorder="1" applyAlignment="1">
      <alignment horizontal="center" vertical="center"/>
    </xf>
    <xf numFmtId="4" fontId="10" fillId="6" borderId="0" xfId="0" applyNumberFormat="1" applyFont="1" applyFill="1" applyBorder="1" applyAlignment="1">
      <alignment horizontal="center" vertical="center"/>
    </xf>
    <xf numFmtId="4" fontId="10" fillId="6" borderId="11" xfId="0" applyNumberFormat="1" applyFont="1" applyFill="1" applyBorder="1" applyAlignment="1">
      <alignment horizontal="center" vertical="center"/>
    </xf>
    <xf numFmtId="4" fontId="10" fillId="6" borderId="9" xfId="0" applyNumberFormat="1" applyFont="1" applyFill="1" applyBorder="1" applyAlignment="1">
      <alignment horizontal="center" vertical="center"/>
    </xf>
    <xf numFmtId="164" fontId="0" fillId="0" borderId="0" xfId="0" applyNumberFormat="1"/>
    <xf numFmtId="168" fontId="0" fillId="0" borderId="0" xfId="0" applyNumberFormat="1"/>
    <xf numFmtId="4" fontId="0" fillId="7" borderId="25" xfId="0" applyNumberFormat="1" applyFill="1" applyBorder="1" applyAlignment="1">
      <alignment horizontal="center" vertical="center"/>
    </xf>
    <xf numFmtId="4" fontId="10" fillId="7" borderId="26" xfId="0" applyNumberFormat="1" applyFont="1" applyFill="1" applyBorder="1" applyAlignment="1">
      <alignment horizontal="center" vertical="center"/>
    </xf>
    <xf numFmtId="4" fontId="10" fillId="7" borderId="27" xfId="0" applyNumberFormat="1" applyFont="1" applyFill="1" applyBorder="1" applyAlignment="1">
      <alignment horizontal="center" vertical="center"/>
    </xf>
    <xf numFmtId="4" fontId="0" fillId="5" borderId="2" xfId="0" applyNumberFormat="1" applyFill="1" applyBorder="1" applyAlignment="1">
      <alignment horizontal="center" vertical="center"/>
    </xf>
    <xf numFmtId="4" fontId="0" fillId="5" borderId="9" xfId="0" applyNumberFormat="1" applyFill="1" applyBorder="1" applyAlignment="1">
      <alignment horizontal="center" vertical="center"/>
    </xf>
    <xf numFmtId="164" fontId="16" fillId="0" borderId="0" xfId="0" applyNumberFormat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164" fontId="10" fillId="5" borderId="28" xfId="0" applyNumberFormat="1" applyFont="1" applyFill="1" applyBorder="1" applyAlignment="1">
      <alignment horizontal="center" vertical="center"/>
    </xf>
    <xf numFmtId="164" fontId="10" fillId="5" borderId="29" xfId="0" applyNumberFormat="1" applyFont="1" applyFill="1" applyBorder="1" applyAlignment="1">
      <alignment horizontal="center" vertical="center"/>
    </xf>
    <xf numFmtId="164" fontId="10" fillId="5" borderId="30" xfId="0" applyNumberFormat="1" applyFont="1" applyFill="1" applyBorder="1" applyAlignment="1">
      <alignment horizontal="center" vertical="center"/>
    </xf>
    <xf numFmtId="4" fontId="0" fillId="5" borderId="31" xfId="0" applyNumberFormat="1" applyFill="1" applyBorder="1" applyAlignment="1">
      <alignment horizontal="center" vertical="center"/>
    </xf>
    <xf numFmtId="4" fontId="0" fillId="5" borderId="32" xfId="0" applyNumberFormat="1" applyFill="1" applyBorder="1" applyAlignment="1">
      <alignment horizontal="center" vertical="center"/>
    </xf>
    <xf numFmtId="4" fontId="0" fillId="5" borderId="33" xfId="0" applyNumberFormat="1" applyFill="1" applyBorder="1" applyAlignment="1">
      <alignment horizontal="center" vertical="center"/>
    </xf>
    <xf numFmtId="4" fontId="0" fillId="5" borderId="34" xfId="0" applyNumberFormat="1" applyFill="1" applyBorder="1" applyAlignment="1">
      <alignment horizontal="center" vertical="center"/>
    </xf>
    <xf numFmtId="4" fontId="0" fillId="5" borderId="35" xfId="0" applyNumberFormat="1" applyFill="1" applyBorder="1" applyAlignment="1">
      <alignment horizontal="center" vertical="center"/>
    </xf>
    <xf numFmtId="4" fontId="0" fillId="5" borderId="36" xfId="0" applyNumberFormat="1" applyFill="1" applyBorder="1" applyAlignment="1">
      <alignment horizontal="center" vertical="center"/>
    </xf>
    <xf numFmtId="4" fontId="0" fillId="5" borderId="37" xfId="0" applyNumberFormat="1" applyFill="1" applyBorder="1" applyAlignment="1">
      <alignment horizontal="center" vertical="center"/>
    </xf>
    <xf numFmtId="4" fontId="0" fillId="5" borderId="38" xfId="0" applyNumberFormat="1" applyFill="1" applyBorder="1" applyAlignment="1">
      <alignment horizontal="center" vertical="center"/>
    </xf>
    <xf numFmtId="4" fontId="0" fillId="5" borderId="39" xfId="0" applyNumberFormat="1" applyFill="1" applyBorder="1" applyAlignment="1">
      <alignment horizontal="center" vertical="center"/>
    </xf>
    <xf numFmtId="4" fontId="0" fillId="5" borderId="40" xfId="0" applyNumberForma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26" fillId="0" borderId="41" xfId="0" applyFont="1" applyBorder="1" applyAlignment="1">
      <alignment horizontal="right" vertical="center"/>
    </xf>
    <xf numFmtId="0" fontId="29" fillId="0" borderId="0" xfId="0" applyFont="1"/>
    <xf numFmtId="168" fontId="16" fillId="0" borderId="0" xfId="0" applyNumberFormat="1" applyFont="1" applyAlignment="1">
      <alignment horizontal="left" vertical="center"/>
    </xf>
    <xf numFmtId="10" fontId="0" fillId="2" borderId="1" xfId="0" applyNumberFormat="1" applyFill="1" applyBorder="1" applyAlignment="1">
      <alignment horizontal="center" vertical="center"/>
    </xf>
    <xf numFmtId="10" fontId="0" fillId="2" borderId="4" xfId="0" applyNumberFormat="1" applyFill="1" applyBorder="1" applyAlignment="1">
      <alignment horizontal="center" vertical="center"/>
    </xf>
    <xf numFmtId="10" fontId="0" fillId="2" borderId="7" xfId="0" applyNumberForma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166" fontId="15" fillId="5" borderId="0" xfId="0" applyNumberFormat="1" applyFont="1" applyFill="1" applyBorder="1" applyAlignment="1">
      <alignment horizontal="center" vertical="center"/>
    </xf>
    <xf numFmtId="4" fontId="0" fillId="5" borderId="44" xfId="0" applyNumberFormat="1" applyFill="1" applyBorder="1" applyAlignment="1">
      <alignment horizontal="center" vertical="center"/>
    </xf>
    <xf numFmtId="166" fontId="15" fillId="5" borderId="44" xfId="0" applyNumberFormat="1" applyFont="1" applyFill="1" applyBorder="1" applyAlignment="1">
      <alignment horizontal="center" vertical="center"/>
    </xf>
    <xf numFmtId="166" fontId="0" fillId="5" borderId="44" xfId="0" applyNumberFormat="1" applyFill="1" applyBorder="1" applyAlignment="1">
      <alignment horizontal="center" vertical="center"/>
    </xf>
    <xf numFmtId="3" fontId="0" fillId="5" borderId="44" xfId="0" applyNumberFormat="1" applyFill="1" applyBorder="1" applyAlignment="1">
      <alignment horizontal="center" vertical="center"/>
    </xf>
    <xf numFmtId="3" fontId="0" fillId="5" borderId="45" xfId="0" applyNumberFormat="1" applyFill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3" fontId="0" fillId="5" borderId="0" xfId="0" applyNumberFormat="1" applyFill="1" applyBorder="1" applyAlignment="1">
      <alignment horizontal="center" vertical="center"/>
    </xf>
    <xf numFmtId="3" fontId="0" fillId="5" borderId="46" xfId="0" applyNumberFormat="1" applyFill="1" applyBorder="1" applyAlignment="1">
      <alignment horizontal="center" vertical="center"/>
    </xf>
    <xf numFmtId="4" fontId="0" fillId="5" borderId="47" xfId="0" applyNumberFormat="1" applyFill="1" applyBorder="1" applyAlignment="1">
      <alignment horizontal="center" vertical="center"/>
    </xf>
    <xf numFmtId="166" fontId="15" fillId="5" borderId="47" xfId="0" applyNumberFormat="1" applyFont="1" applyFill="1" applyBorder="1" applyAlignment="1">
      <alignment horizontal="center" vertical="center"/>
    </xf>
    <xf numFmtId="166" fontId="0" fillId="5" borderId="47" xfId="0" applyNumberFormat="1" applyFill="1" applyBorder="1" applyAlignment="1">
      <alignment horizontal="center" vertical="center"/>
    </xf>
    <xf numFmtId="3" fontId="0" fillId="5" borderId="47" xfId="0" applyNumberFormat="1" applyFill="1" applyBorder="1" applyAlignment="1">
      <alignment horizontal="center" vertical="center"/>
    </xf>
    <xf numFmtId="3" fontId="0" fillId="5" borderId="48" xfId="0" applyNumberFormat="1" applyFill="1" applyBorder="1" applyAlignment="1">
      <alignment horizontal="center" vertical="center"/>
    </xf>
    <xf numFmtId="4" fontId="10" fillId="5" borderId="2" xfId="0" applyNumberFormat="1" applyFont="1" applyFill="1" applyBorder="1" applyAlignment="1">
      <alignment horizontal="center" vertical="center"/>
    </xf>
    <xf numFmtId="4" fontId="10" fillId="5" borderId="5" xfId="0" applyNumberFormat="1" applyFont="1" applyFill="1" applyBorder="1" applyAlignment="1">
      <alignment horizontal="center" vertical="center"/>
    </xf>
    <xf numFmtId="4" fontId="10" fillId="5" borderId="0" xfId="0" applyNumberFormat="1" applyFont="1" applyFill="1" applyBorder="1" applyAlignment="1">
      <alignment horizontal="center" vertical="center"/>
    </xf>
    <xf numFmtId="4" fontId="10" fillId="5" borderId="8" xfId="0" applyNumberFormat="1" applyFont="1" applyFill="1" applyBorder="1" applyAlignment="1">
      <alignment horizontal="center" vertical="center"/>
    </xf>
    <xf numFmtId="4" fontId="10" fillId="5" borderId="11" xfId="0" applyNumberFormat="1" applyFont="1" applyFill="1" applyBorder="1" applyAlignment="1">
      <alignment horizontal="center" vertical="center"/>
    </xf>
    <xf numFmtId="4" fontId="10" fillId="5" borderId="9" xfId="0" applyNumberFormat="1" applyFont="1" applyFill="1" applyBorder="1" applyAlignment="1">
      <alignment horizontal="center" vertical="center"/>
    </xf>
    <xf numFmtId="4" fontId="0" fillId="0" borderId="49" xfId="0" applyNumberFormat="1" applyFill="1" applyBorder="1" applyAlignment="1">
      <alignment horizontal="center" vertical="center"/>
    </xf>
    <xf numFmtId="0" fontId="32" fillId="0" borderId="0" xfId="0" applyFont="1"/>
    <xf numFmtId="0" fontId="33" fillId="0" borderId="0" xfId="0" applyFont="1"/>
    <xf numFmtId="0" fontId="34" fillId="0" borderId="0" xfId="0" applyFont="1" applyAlignment="1">
      <alignment horizontal="center" vertical="center"/>
    </xf>
    <xf numFmtId="0" fontId="35" fillId="0" borderId="0" xfId="0" applyFont="1"/>
    <xf numFmtId="0" fontId="36" fillId="0" borderId="0" xfId="0" applyFont="1"/>
    <xf numFmtId="0" fontId="35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10" fontId="0" fillId="5" borderId="0" xfId="0" applyNumberFormat="1" applyFill="1" applyBorder="1" applyAlignment="1">
      <alignment horizontal="center" vertical="center"/>
    </xf>
    <xf numFmtId="10" fontId="0" fillId="5" borderId="10" xfId="0" applyNumberFormat="1" applyFill="1" applyBorder="1" applyAlignment="1">
      <alignment horizontal="center" vertical="center"/>
    </xf>
    <xf numFmtId="3" fontId="0" fillId="5" borderId="10" xfId="0" applyNumberFormat="1" applyFill="1" applyBorder="1" applyAlignment="1">
      <alignment horizontal="center" vertical="center"/>
    </xf>
    <xf numFmtId="4" fontId="15" fillId="5" borderId="3" xfId="0" applyNumberFormat="1" applyFont="1" applyFill="1" applyBorder="1" applyAlignment="1">
      <alignment horizontal="center" vertical="center"/>
    </xf>
    <xf numFmtId="4" fontId="15" fillId="5" borderId="6" xfId="0" applyNumberFormat="1" applyFont="1" applyFill="1" applyBorder="1" applyAlignment="1">
      <alignment horizontal="center" vertical="center"/>
    </xf>
    <xf numFmtId="10" fontId="0" fillId="5" borderId="11" xfId="0" applyNumberFormat="1" applyFill="1" applyBorder="1" applyAlignment="1">
      <alignment horizontal="center" vertical="center"/>
    </xf>
    <xf numFmtId="3" fontId="0" fillId="5" borderId="11" xfId="0" applyNumberFormat="1" applyFill="1" applyBorder="1" applyAlignment="1">
      <alignment horizontal="center" vertical="center"/>
    </xf>
    <xf numFmtId="4" fontId="11" fillId="5" borderId="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4" fontId="10" fillId="5" borderId="6" xfId="0" applyNumberFormat="1" applyFont="1" applyFill="1" applyBorder="1" applyAlignment="1">
      <alignment horizontal="center" vertical="center"/>
    </xf>
    <xf numFmtId="164" fontId="16" fillId="5" borderId="50" xfId="0" applyNumberFormat="1" applyFont="1" applyFill="1" applyBorder="1" applyAlignment="1">
      <alignment horizontal="center" vertical="center"/>
    </xf>
    <xf numFmtId="164" fontId="16" fillId="5" borderId="51" xfId="0" applyNumberFormat="1" applyFont="1" applyFill="1" applyBorder="1" applyAlignment="1">
      <alignment horizontal="center" vertical="center"/>
    </xf>
    <xf numFmtId="164" fontId="16" fillId="5" borderId="52" xfId="0" applyNumberFormat="1" applyFont="1" applyFill="1" applyBorder="1" applyAlignment="1">
      <alignment horizontal="center" vertical="center"/>
    </xf>
    <xf numFmtId="0" fontId="26" fillId="0" borderId="6" xfId="0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167" fontId="13" fillId="0" borderId="0" xfId="0" applyNumberFormat="1" applyFont="1" applyFill="1" applyBorder="1" applyAlignment="1">
      <alignment horizontal="center" vertical="center"/>
    </xf>
    <xf numFmtId="0" fontId="26" fillId="0" borderId="46" xfId="0" applyFont="1" applyBorder="1" applyAlignment="1">
      <alignment horizontal="right" vertical="center"/>
    </xf>
    <xf numFmtId="0" fontId="26" fillId="0" borderId="43" xfId="0" applyFont="1" applyBorder="1" applyAlignment="1">
      <alignment horizontal="right" vertical="center"/>
    </xf>
    <xf numFmtId="10" fontId="10" fillId="5" borderId="28" xfId="0" applyNumberFormat="1" applyFont="1" applyFill="1" applyBorder="1" applyAlignment="1">
      <alignment horizontal="center" vertical="center"/>
    </xf>
    <xf numFmtId="10" fontId="10" fillId="5" borderId="29" xfId="0" applyNumberFormat="1" applyFont="1" applyFill="1" applyBorder="1" applyAlignment="1">
      <alignment horizontal="center" vertical="center"/>
    </xf>
    <xf numFmtId="10" fontId="10" fillId="5" borderId="30" xfId="0" applyNumberFormat="1" applyFont="1" applyFill="1" applyBorder="1" applyAlignment="1">
      <alignment horizontal="center" vertical="center"/>
    </xf>
    <xf numFmtId="164" fontId="16" fillId="0" borderId="42" xfId="0" applyNumberFormat="1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168" fontId="16" fillId="5" borderId="28" xfId="0" applyNumberFormat="1" applyFont="1" applyFill="1" applyBorder="1" applyAlignment="1">
      <alignment horizontal="center" vertical="center"/>
    </xf>
    <xf numFmtId="168" fontId="16" fillId="5" borderId="29" xfId="0" applyNumberFormat="1" applyFont="1" applyFill="1" applyBorder="1" applyAlignment="1">
      <alignment horizontal="center" vertical="center"/>
    </xf>
    <xf numFmtId="168" fontId="16" fillId="5" borderId="30" xfId="0" applyNumberFormat="1" applyFont="1" applyFill="1" applyBorder="1" applyAlignment="1">
      <alignment horizontal="center" vertical="center"/>
    </xf>
    <xf numFmtId="0" fontId="37" fillId="0" borderId="0" xfId="0" applyFont="1"/>
    <xf numFmtId="0" fontId="39" fillId="0" borderId="0" xfId="0" applyFont="1"/>
    <xf numFmtId="0" fontId="41" fillId="0" borderId="0" xfId="0" applyFont="1"/>
    <xf numFmtId="0" fontId="1" fillId="0" borderId="0" xfId="0" applyFont="1" applyAlignment="1">
      <alignment horizontal="right" vertical="center"/>
    </xf>
    <xf numFmtId="0" fontId="26" fillId="0" borderId="11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0" xfId="0" applyFont="1" applyBorder="1" applyAlignment="1">
      <alignment horizontal="right" vertical="center"/>
    </xf>
    <xf numFmtId="0" fontId="26" fillId="0" borderId="11" xfId="0" applyFont="1" applyBorder="1" applyAlignment="1">
      <alignment horizontal="right" vertical="center"/>
    </xf>
    <xf numFmtId="168" fontId="42" fillId="0" borderId="0" xfId="0" applyNumberFormat="1" applyFont="1" applyAlignment="1">
      <alignment horizontal="center" vertical="center"/>
    </xf>
    <xf numFmtId="168" fontId="42" fillId="0" borderId="42" xfId="0" applyNumberFormat="1" applyFont="1" applyBorder="1" applyAlignment="1">
      <alignment horizontal="center" vertical="center"/>
    </xf>
    <xf numFmtId="4" fontId="43" fillId="6" borderId="5" xfId="0" applyNumberFormat="1" applyFont="1" applyFill="1" applyBorder="1" applyAlignment="1">
      <alignment horizontal="center" vertical="center"/>
    </xf>
    <xf numFmtId="4" fontId="43" fillId="6" borderId="0" xfId="0" applyNumberFormat="1" applyFont="1" applyFill="1" applyBorder="1" applyAlignment="1">
      <alignment horizontal="center" vertical="center"/>
    </xf>
    <xf numFmtId="4" fontId="43" fillId="6" borderId="2" xfId="0" applyNumberFormat="1" applyFont="1" applyFill="1" applyBorder="1" applyAlignment="1">
      <alignment horizontal="center" vertical="center"/>
    </xf>
    <xf numFmtId="4" fontId="43" fillId="6" borderId="11" xfId="0" applyNumberFormat="1" applyFont="1" applyFill="1" applyBorder="1" applyAlignment="1">
      <alignment horizontal="center" vertical="center"/>
    </xf>
    <xf numFmtId="4" fontId="43" fillId="6" borderId="9" xfId="0" applyNumberFormat="1" applyFont="1" applyFill="1" applyBorder="1" applyAlignment="1">
      <alignment horizontal="center" vertical="center"/>
    </xf>
    <xf numFmtId="4" fontId="10" fillId="3" borderId="5" xfId="0" applyNumberFormat="1" applyFont="1" applyFill="1" applyBorder="1" applyAlignment="1">
      <alignment horizontal="center" vertical="center"/>
    </xf>
    <xf numFmtId="4" fontId="10" fillId="3" borderId="8" xfId="0" applyNumberFormat="1" applyFont="1" applyFill="1" applyBorder="1" applyAlignment="1">
      <alignment horizontal="center" vertical="center"/>
    </xf>
    <xf numFmtId="4" fontId="10" fillId="3" borderId="0" xfId="0" applyNumberFormat="1" applyFont="1" applyFill="1" applyBorder="1" applyAlignment="1">
      <alignment horizontal="center" vertical="center"/>
    </xf>
    <xf numFmtId="4" fontId="10" fillId="3" borderId="11" xfId="0" applyNumberFormat="1" applyFont="1" applyFill="1" applyBorder="1" applyAlignment="1">
      <alignment horizontal="center" vertical="center"/>
    </xf>
    <xf numFmtId="4" fontId="10" fillId="3" borderId="10" xfId="0" applyNumberFormat="1" applyFont="1" applyFill="1" applyBorder="1" applyAlignment="1">
      <alignment horizontal="center" vertical="center"/>
    </xf>
    <xf numFmtId="4" fontId="10" fillId="3" borderId="3" xfId="0" applyNumberFormat="1" applyFont="1" applyFill="1" applyBorder="1" applyAlignment="1">
      <alignment horizontal="center" vertical="center"/>
    </xf>
    <xf numFmtId="4" fontId="10" fillId="3" borderId="6" xfId="0" applyNumberFormat="1" applyFont="1" applyFill="1" applyBorder="1" applyAlignment="1">
      <alignment horizontal="center" vertical="center"/>
    </xf>
    <xf numFmtId="4" fontId="43" fillId="3" borderId="2" xfId="0" applyNumberFormat="1" applyFont="1" applyFill="1" applyBorder="1" applyAlignment="1">
      <alignment horizontal="center" vertical="center"/>
    </xf>
    <xf numFmtId="4" fontId="43" fillId="3" borderId="5" xfId="0" applyNumberFormat="1" applyFont="1" applyFill="1" applyBorder="1" applyAlignment="1">
      <alignment horizontal="center" vertical="center"/>
    </xf>
    <xf numFmtId="4" fontId="43" fillId="3" borderId="0" xfId="0" applyNumberFormat="1" applyFont="1" applyFill="1" applyBorder="1" applyAlignment="1">
      <alignment horizontal="center" vertical="center"/>
    </xf>
    <xf numFmtId="4" fontId="43" fillId="3" borderId="11" xfId="0" applyNumberFormat="1" applyFont="1" applyFill="1" applyBorder="1" applyAlignment="1">
      <alignment horizontal="center" vertical="center"/>
    </xf>
    <xf numFmtId="4" fontId="43" fillId="3" borderId="9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  <color rgb="FF0066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'Solve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'Solve USD Curve'!$AR$23:$AR$33</c:f>
              <c:numCache>
                <c:formatCode>0.00000%</c:formatCode>
                <c:ptCount val="11"/>
                <c:pt idx="0">
                  <c:v>2.2992773723248476E-2</c:v>
                </c:pt>
                <c:pt idx="1">
                  <c:v>1.7480428379837029E-2</c:v>
                </c:pt>
                <c:pt idx="2">
                  <c:v>1.435909999972031E-2</c:v>
                </c:pt>
                <c:pt idx="3">
                  <c:v>1.2851675121455186E-2</c:v>
                </c:pt>
                <c:pt idx="4">
                  <c:v>1.2332310331555921E-2</c:v>
                </c:pt>
                <c:pt idx="5">
                  <c:v>1.2326432264494196E-2</c:v>
                </c:pt>
                <c:pt idx="6">
                  <c:v>1.2510737602699116E-2</c:v>
                </c:pt>
                <c:pt idx="7">
                  <c:v>1.2713193076557187E-2</c:v>
                </c:pt>
                <c:pt idx="8">
                  <c:v>1.2913035464412331E-2</c:v>
                </c:pt>
                <c:pt idx="9">
                  <c:v>1.324077159256587E-2</c:v>
                </c:pt>
                <c:pt idx="10">
                  <c:v>1.397817833527662E-2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'Solve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'Solve USD Curve'!$AW$23:$AW$33</c:f>
              <c:numCache>
                <c:formatCode>0.00000%</c:formatCode>
                <c:ptCount val="11"/>
                <c:pt idx="0">
                  <c:v>2.5952422915628808E-2</c:v>
                </c:pt>
                <c:pt idx="1">
                  <c:v>2.0391292700577962E-2</c:v>
                </c:pt>
                <c:pt idx="2">
                  <c:v>1.7089599999667488E-2</c:v>
                </c:pt>
                <c:pt idx="3">
                  <c:v>1.5387206818401535E-2</c:v>
                </c:pt>
                <c:pt idx="4">
                  <c:v>1.4735882796638419E-2</c:v>
                </c:pt>
                <c:pt idx="5">
                  <c:v>1.4699305208590667E-2</c:v>
                </c:pt>
                <c:pt idx="6">
                  <c:v>1.4953058962824992E-2</c:v>
                </c:pt>
                <c:pt idx="7">
                  <c:v>1.5284636602262262E-2</c:v>
                </c:pt>
                <c:pt idx="8">
                  <c:v>1.5593438304177601E-2</c:v>
                </c:pt>
                <c:pt idx="9">
                  <c:v>1.5890771880200244E-2</c:v>
                </c:pt>
                <c:pt idx="10">
                  <c:v>1.6299852776313691E-2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5977088"/>
        <c:axId val="245978624"/>
      </c:lineChart>
      <c:catAx>
        <c:axId val="245977088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78624"/>
        <c:crosses val="autoZero"/>
        <c:auto val="1"/>
        <c:lblAlgn val="ctr"/>
        <c:lblOffset val="100"/>
        <c:noMultiLvlLbl val="0"/>
      </c:catAx>
      <c:valAx>
        <c:axId val="24597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7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'Shifted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'Shifted USD Curve'!$AR$23:$AR$33</c:f>
              <c:numCache>
                <c:formatCode>0.00000%</c:formatCode>
                <c:ptCount val="11"/>
                <c:pt idx="0">
                  <c:v>2.3093258894895222E-2</c:v>
                </c:pt>
                <c:pt idx="1">
                  <c:v>1.7580599198982843E-2</c:v>
                </c:pt>
                <c:pt idx="2">
                  <c:v>1.4459099999718181E-2</c:v>
                </c:pt>
                <c:pt idx="3">
                  <c:v>1.2951597171328193E-2</c:v>
                </c:pt>
                <c:pt idx="4">
                  <c:v>1.243220839793735E-2</c:v>
                </c:pt>
                <c:pt idx="5">
                  <c:v>1.2426333173567592E-2</c:v>
                </c:pt>
                <c:pt idx="6">
                  <c:v>1.2610652802138356E-2</c:v>
                </c:pt>
                <c:pt idx="7">
                  <c:v>1.2813130397466578E-2</c:v>
                </c:pt>
                <c:pt idx="8">
                  <c:v>1.3013010883266715E-2</c:v>
                </c:pt>
                <c:pt idx="9">
                  <c:v>1.3340820993150662E-2</c:v>
                </c:pt>
                <c:pt idx="10">
                  <c:v>1.4078369270627847E-2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'Shifted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'Shifted USD Curve'!$AW$23:$AW$33</c:f>
              <c:numCache>
                <c:formatCode>0.00000%</c:formatCode>
                <c:ptCount val="11"/>
                <c:pt idx="0">
                  <c:v>2.6052780183996958E-2</c:v>
                </c:pt>
                <c:pt idx="1">
                  <c:v>2.049143385599549E-2</c:v>
                </c:pt>
                <c:pt idx="2">
                  <c:v>1.7189599999665378E-2</c:v>
                </c:pt>
                <c:pt idx="3">
                  <c:v>1.5487124829626067E-2</c:v>
                </c:pt>
                <c:pt idx="4">
                  <c:v>1.4835764420807245E-2</c:v>
                </c:pt>
                <c:pt idx="5">
                  <c:v>1.4799184708448793E-2</c:v>
                </c:pt>
                <c:pt idx="6">
                  <c:v>1.5052961488100808E-2</c:v>
                </c:pt>
                <c:pt idx="7">
                  <c:v>1.5384580415623591E-2</c:v>
                </c:pt>
                <c:pt idx="8">
                  <c:v>1.5693437007187699E-2</c:v>
                </c:pt>
                <c:pt idx="9">
                  <c:v>1.599083663927385E-2</c:v>
                </c:pt>
                <c:pt idx="10">
                  <c:v>1.6399994548673025E-2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2089856"/>
        <c:axId val="252091392"/>
      </c:lineChart>
      <c:catAx>
        <c:axId val="252089856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091392"/>
        <c:crosses val="autoZero"/>
        <c:auto val="1"/>
        <c:lblAlgn val="ctr"/>
        <c:lblOffset val="100"/>
        <c:noMultiLvlLbl val="0"/>
      </c:catAx>
      <c:valAx>
        <c:axId val="25209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08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6.png"/><Relationship Id="rId7" Type="http://schemas.openxmlformats.org/officeDocument/2006/relationships/image" Target="../media/image9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9526</xdr:colOff>
      <xdr:row>18</xdr:row>
      <xdr:rowOff>0</xdr:rowOff>
    </xdr:from>
    <xdr:to>
      <xdr:col>40</xdr:col>
      <xdr:colOff>0</xdr:colOff>
      <xdr:row>39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12</xdr:row>
          <xdr:rowOff>180975</xdr:rowOff>
        </xdr:from>
        <xdr:to>
          <xdr:col>28</xdr:col>
          <xdr:colOff>161925</xdr:colOff>
          <xdr:row>17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37</xdr:col>
      <xdr:colOff>352425</xdr:colOff>
      <xdr:row>1</xdr:row>
      <xdr:rowOff>66675</xdr:rowOff>
    </xdr:from>
    <xdr:to>
      <xdr:col>39</xdr:col>
      <xdr:colOff>496044</xdr:colOff>
      <xdr:row>5</xdr:row>
      <xdr:rowOff>156987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60</xdr:row>
      <xdr:rowOff>76200</xdr:rowOff>
    </xdr:from>
    <xdr:to>
      <xdr:col>48</xdr:col>
      <xdr:colOff>153881</xdr:colOff>
      <xdr:row>84</xdr:row>
      <xdr:rowOff>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1706225"/>
          <a:ext cx="10612331" cy="44964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12</xdr:col>
      <xdr:colOff>438150</xdr:colOff>
      <xdr:row>51</xdr:row>
      <xdr:rowOff>19407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4667250"/>
          <a:ext cx="8839200" cy="57344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9526</xdr:colOff>
      <xdr:row>18</xdr:row>
      <xdr:rowOff>0</xdr:rowOff>
    </xdr:from>
    <xdr:to>
      <xdr:col>40</xdr:col>
      <xdr:colOff>0</xdr:colOff>
      <xdr:row>39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12</xdr:row>
          <xdr:rowOff>180975</xdr:rowOff>
        </xdr:from>
        <xdr:to>
          <xdr:col>28</xdr:col>
          <xdr:colOff>161925</xdr:colOff>
          <xdr:row>17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37</xdr:col>
      <xdr:colOff>352425</xdr:colOff>
      <xdr:row>1</xdr:row>
      <xdr:rowOff>66675</xdr:rowOff>
    </xdr:from>
    <xdr:to>
      <xdr:col>39</xdr:col>
      <xdr:colOff>496044</xdr:colOff>
      <xdr:row>5</xdr:row>
      <xdr:rowOff>156987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60</xdr:row>
      <xdr:rowOff>76200</xdr:rowOff>
    </xdr:from>
    <xdr:to>
      <xdr:col>48</xdr:col>
      <xdr:colOff>153881</xdr:colOff>
      <xdr:row>84</xdr:row>
      <xdr:rowOff>627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2344400"/>
          <a:ext cx="10612331" cy="44964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</xdr:row>
      <xdr:rowOff>4867</xdr:rowOff>
    </xdr:from>
    <xdr:to>
      <xdr:col>16</xdr:col>
      <xdr:colOff>274355</xdr:colOff>
      <xdr:row>33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0" y="614467"/>
          <a:ext cx="0" cy="5729183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41</xdr:row>
      <xdr:rowOff>189248</xdr:rowOff>
    </xdr:from>
    <xdr:to>
      <xdr:col>32</xdr:col>
      <xdr:colOff>240300</xdr:colOff>
      <xdr:row>48</xdr:row>
      <xdr:rowOff>124140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25600" y="8037848"/>
          <a:ext cx="0" cy="1268392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33</xdr:row>
      <xdr:rowOff>7061</xdr:rowOff>
    </xdr:from>
    <xdr:to>
      <xdr:col>32</xdr:col>
      <xdr:colOff>238125</xdr:colOff>
      <xdr:row>40</xdr:row>
      <xdr:rowOff>49612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25600" y="6322136"/>
          <a:ext cx="0" cy="1385576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5</xdr:row>
      <xdr:rowOff>9526</xdr:rowOff>
    </xdr:from>
    <xdr:to>
      <xdr:col>32</xdr:col>
      <xdr:colOff>314325</xdr:colOff>
      <xdr:row>30</xdr:row>
      <xdr:rowOff>181333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25600" y="619126"/>
          <a:ext cx="0" cy="5181957"/>
        </a:xfrm>
        <a:prstGeom prst="rect">
          <a:avLst/>
        </a:prstGeom>
      </xdr:spPr>
    </xdr:pic>
    <xdr:clientData/>
  </xdr:twoCellAnchor>
  <xdr:twoCellAnchor>
    <xdr:from>
      <xdr:col>34</xdr:col>
      <xdr:colOff>523875</xdr:colOff>
      <xdr:row>5</xdr:row>
      <xdr:rowOff>0</xdr:rowOff>
    </xdr:from>
    <xdr:to>
      <xdr:col>46</xdr:col>
      <xdr:colOff>477264</xdr:colOff>
      <xdr:row>20</xdr:row>
      <xdr:rowOff>114646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35200" y="609600"/>
          <a:ext cx="0" cy="2743546"/>
        </a:xfrm>
        <a:prstGeom prst="rect">
          <a:avLst/>
        </a:prstGeom>
      </xdr:spPr>
    </xdr:pic>
    <xdr:clientData/>
  </xdr:twoCellAnchor>
  <xdr:twoCellAnchor>
    <xdr:from>
      <xdr:col>34</xdr:col>
      <xdr:colOff>552450</xdr:colOff>
      <xdr:row>20</xdr:row>
      <xdr:rowOff>19050</xdr:rowOff>
    </xdr:from>
    <xdr:to>
      <xdr:col>46</xdr:col>
      <xdr:colOff>515366</xdr:colOff>
      <xdr:row>39</xdr:row>
      <xdr:rowOff>172035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35200" y="3257550"/>
          <a:ext cx="0" cy="4382085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63</xdr:row>
      <xdr:rowOff>0</xdr:rowOff>
    </xdr:from>
    <xdr:to>
      <xdr:col>46</xdr:col>
      <xdr:colOff>239094</xdr:colOff>
      <xdr:row>83</xdr:row>
      <xdr:rowOff>172006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35200" y="12039600"/>
          <a:ext cx="0" cy="3982006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41</xdr:row>
      <xdr:rowOff>0</xdr:rowOff>
    </xdr:from>
    <xdr:to>
      <xdr:col>45</xdr:col>
      <xdr:colOff>572431</xdr:colOff>
      <xdr:row>62</xdr:row>
      <xdr:rowOff>67243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35200" y="7848600"/>
          <a:ext cx="0" cy="40677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38100</xdr:rowOff>
    </xdr:from>
    <xdr:to>
      <xdr:col>3</xdr:col>
      <xdr:colOff>67419</xdr:colOff>
      <xdr:row>43</xdr:row>
      <xdr:rowOff>9780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819031" y="6934200"/>
          <a:ext cx="1896219" cy="13051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slideplayer.com/slide/5302065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AZ60"/>
  <sheetViews>
    <sheetView showGridLines="0" topLeftCell="K1" zoomScaleNormal="100" workbookViewId="0">
      <selection activeCell="K1" sqref="K1"/>
    </sheetView>
  </sheetViews>
  <sheetFormatPr defaultRowHeight="14.4" outlineLevelCol="1" x14ac:dyDescent="0.3"/>
  <cols>
    <col min="1" max="10" width="9.109375" hidden="1" customWidth="1" outlineLevel="1"/>
    <col min="11" max="11" width="9.109375" customWidth="1" collapsed="1"/>
    <col min="13" max="13" width="10.109375" bestFit="1" customWidth="1"/>
    <col min="16" max="16" width="11.109375" bestFit="1" customWidth="1"/>
    <col min="17" max="17" width="9.88671875" customWidth="1"/>
    <col min="19" max="19" width="5.5546875" bestFit="1" customWidth="1"/>
    <col min="21" max="21" width="9.109375" customWidth="1"/>
    <col min="22" max="22" width="9.5546875" bestFit="1" customWidth="1"/>
    <col min="23" max="23" width="9.88671875" bestFit="1" customWidth="1"/>
    <col min="24" max="25" width="9.5546875" customWidth="1"/>
    <col min="26" max="26" width="4.6640625" customWidth="1"/>
    <col min="29" max="29" width="12.109375" bestFit="1" customWidth="1"/>
    <col min="43" max="43" width="9.33203125" bestFit="1" customWidth="1"/>
    <col min="44" max="44" width="9.109375" customWidth="1"/>
    <col min="45" max="45" width="10.109375" bestFit="1" customWidth="1"/>
    <col min="46" max="46" width="9.109375" customWidth="1"/>
    <col min="47" max="52" width="9.33203125" bestFit="1" customWidth="1"/>
  </cols>
  <sheetData>
    <row r="1" spans="2:52" x14ac:dyDescent="0.3">
      <c r="K1" s="3" t="s">
        <v>84</v>
      </c>
    </row>
    <row r="2" spans="2:52" x14ac:dyDescent="0.3">
      <c r="K2" s="3"/>
    </row>
    <row r="3" spans="2:52" x14ac:dyDescent="0.3">
      <c r="B3" s="11" t="s">
        <v>69</v>
      </c>
      <c r="L3" s="11" t="s">
        <v>24</v>
      </c>
      <c r="O3" s="11" t="s">
        <v>25</v>
      </c>
      <c r="R3" s="11" t="s">
        <v>45</v>
      </c>
      <c r="T3" s="11"/>
      <c r="U3" s="11"/>
      <c r="W3" s="8" t="s">
        <v>42</v>
      </c>
      <c r="Y3" s="8" t="s">
        <v>44</v>
      </c>
      <c r="AA3" s="11" t="s">
        <v>63</v>
      </c>
      <c r="AF3" s="11" t="s">
        <v>125</v>
      </c>
      <c r="AQ3" s="11" t="s">
        <v>65</v>
      </c>
    </row>
    <row r="4" spans="2:52" ht="16.8" x14ac:dyDescent="0.35">
      <c r="B4" t="s">
        <v>98</v>
      </c>
      <c r="L4" s="8" t="s">
        <v>8</v>
      </c>
      <c r="M4" s="8" t="s">
        <v>21</v>
      </c>
      <c r="O4" s="8" t="s">
        <v>8</v>
      </c>
      <c r="P4" s="8" t="s">
        <v>21</v>
      </c>
      <c r="R4" t="s">
        <v>68</v>
      </c>
      <c r="U4" s="11"/>
      <c r="W4" s="104">
        <v>1E-8</v>
      </c>
      <c r="Y4" s="105">
        <f ca="1">SQRT(SUMPRODUCT(Y8:Y17,Y8:Y17))</f>
        <v>8.7211673713643887E-12</v>
      </c>
      <c r="AA4" t="s">
        <v>64</v>
      </c>
      <c r="AF4" t="s">
        <v>126</v>
      </c>
    </row>
    <row r="5" spans="2:52" ht="15.6" x14ac:dyDescent="0.35">
      <c r="B5" t="s">
        <v>99</v>
      </c>
      <c r="K5" s="29">
        <v>0</v>
      </c>
      <c r="L5" s="36" t="s">
        <v>20</v>
      </c>
      <c r="M5" s="37">
        <v>1.55E-2</v>
      </c>
      <c r="N5" s="29">
        <v>0.25</v>
      </c>
      <c r="O5" s="45" t="s">
        <v>22</v>
      </c>
      <c r="P5" s="46">
        <v>1.8871300000000001E-2</v>
      </c>
      <c r="AF5" s="136" t="s">
        <v>127</v>
      </c>
    </row>
    <row r="6" spans="2:52" x14ac:dyDescent="0.3">
      <c r="B6" t="s">
        <v>95</v>
      </c>
      <c r="K6" s="29">
        <v>1</v>
      </c>
      <c r="L6" s="38" t="s">
        <v>3</v>
      </c>
      <c r="M6" s="39">
        <v>1.43591E-2</v>
      </c>
      <c r="N6" s="29">
        <v>1</v>
      </c>
      <c r="O6" s="47" t="s">
        <v>3</v>
      </c>
      <c r="P6" s="39">
        <v>1.70896E-2</v>
      </c>
      <c r="R6" s="123" t="s">
        <v>114</v>
      </c>
      <c r="T6" s="11"/>
      <c r="W6" s="8" t="s">
        <v>43</v>
      </c>
      <c r="Y6" s="8"/>
    </row>
    <row r="7" spans="2:52" ht="16.2" x14ac:dyDescent="0.3">
      <c r="B7" t="s">
        <v>85</v>
      </c>
      <c r="K7" s="29">
        <v>2</v>
      </c>
      <c r="L7" s="38" t="s">
        <v>4</v>
      </c>
      <c r="M7" s="39">
        <v>1.3352299999999999E-2</v>
      </c>
      <c r="N7" s="29">
        <v>2</v>
      </c>
      <c r="O7" s="47" t="s">
        <v>4</v>
      </c>
      <c r="P7" s="39">
        <v>1.5920400000000001E-2</v>
      </c>
      <c r="R7" s="8" t="s">
        <v>26</v>
      </c>
      <c r="S7" s="23" t="s">
        <v>18</v>
      </c>
      <c r="T7" s="23" t="s">
        <v>67</v>
      </c>
      <c r="U7" s="23" t="s">
        <v>10</v>
      </c>
      <c r="V7" s="23" t="s">
        <v>11</v>
      </c>
      <c r="W7" s="8" t="s">
        <v>31</v>
      </c>
      <c r="X7" s="23" t="s">
        <v>12</v>
      </c>
      <c r="Y7" s="24" t="s">
        <v>17</v>
      </c>
      <c r="AA7" s="8" t="s">
        <v>67</v>
      </c>
      <c r="AB7" s="8" t="s">
        <v>28</v>
      </c>
      <c r="AC7" s="35" t="s">
        <v>62</v>
      </c>
      <c r="AE7" s="8"/>
      <c r="AF7" s="8" t="s">
        <v>115</v>
      </c>
      <c r="AG7" s="8" t="s">
        <v>116</v>
      </c>
      <c r="AH7" s="8" t="s">
        <v>117</v>
      </c>
      <c r="AI7" s="8" t="s">
        <v>118</v>
      </c>
      <c r="AJ7" s="8" t="s">
        <v>119</v>
      </c>
      <c r="AK7" s="8" t="s">
        <v>120</v>
      </c>
      <c r="AL7" s="8" t="s">
        <v>121</v>
      </c>
      <c r="AM7" s="8" t="s">
        <v>122</v>
      </c>
      <c r="AN7" s="8" t="s">
        <v>123</v>
      </c>
      <c r="AO7" s="8" t="s">
        <v>124</v>
      </c>
      <c r="AP7" s="8"/>
      <c r="AQ7" s="8" t="s">
        <v>108</v>
      </c>
      <c r="AR7" s="8" t="s">
        <v>107</v>
      </c>
      <c r="AS7" s="8" t="s">
        <v>106</v>
      </c>
      <c r="AT7" s="8" t="s">
        <v>105</v>
      </c>
      <c r="AU7" s="8" t="s">
        <v>104</v>
      </c>
      <c r="AV7" s="8" t="s">
        <v>109</v>
      </c>
      <c r="AW7" s="8" t="s">
        <v>110</v>
      </c>
      <c r="AX7" s="8" t="s">
        <v>111</v>
      </c>
      <c r="AY7" s="8" t="s">
        <v>112</v>
      </c>
      <c r="AZ7" s="8" t="s">
        <v>113</v>
      </c>
    </row>
    <row r="8" spans="2:52" ht="16.2" x14ac:dyDescent="0.3">
      <c r="B8" t="s">
        <v>100</v>
      </c>
      <c r="K8" s="29">
        <v>3</v>
      </c>
      <c r="L8" s="38" t="s">
        <v>5</v>
      </c>
      <c r="M8" s="39">
        <v>1.30753E-2</v>
      </c>
      <c r="N8" s="29">
        <v>3</v>
      </c>
      <c r="O8" s="47" t="s">
        <v>5</v>
      </c>
      <c r="P8" s="39">
        <v>1.5602E-2</v>
      </c>
      <c r="R8" s="80" t="s">
        <v>27</v>
      </c>
      <c r="S8" s="81" t="s">
        <v>3</v>
      </c>
      <c r="T8" s="82">
        <v>1</v>
      </c>
      <c r="U8" s="115">
        <f t="array" aca="1" ref="U8:U17" ca="1">V8:V17-MMULT(AQ8:AZ17,X8:X17)</f>
        <v>1.43591E-2</v>
      </c>
      <c r="V8" s="83">
        <v>1.43591E-2</v>
      </c>
      <c r="W8" s="84">
        <v>0.02</v>
      </c>
      <c r="X8" s="83">
        <f ca="1">(SUMPRODUCT($V$8:$V8,$AB$8:$AB8)/SUM($AB$8:$AB8))-$M6</f>
        <v>0</v>
      </c>
      <c r="Y8" s="85">
        <f t="shared" ref="Y8:Y17" ca="1" si="0">U8-V8</f>
        <v>0</v>
      </c>
      <c r="AA8" s="99">
        <v>1</v>
      </c>
      <c r="AB8" s="118">
        <f ca="1">EXP(-AC8)</f>
        <v>0.98228077410510939</v>
      </c>
      <c r="AC8" s="100">
        <f ca="1">$AR$46*$AA8+$AR$47*$AA8^2+$AR$48*$AA8^3+$AR$49*$AA8^4+$AR$50*$AA8^5</f>
        <v>1.7878090817897496E-2</v>
      </c>
      <c r="AE8" s="8" t="s">
        <v>108</v>
      </c>
      <c r="AF8" s="243">
        <f ca="1">$AB$8/SUM($AB$8:$AB8)</f>
        <v>1</v>
      </c>
      <c r="AG8" s="131">
        <v>0</v>
      </c>
      <c r="AH8" s="131">
        <v>0</v>
      </c>
      <c r="AI8" s="131">
        <v>0</v>
      </c>
      <c r="AJ8" s="131">
        <v>0</v>
      </c>
      <c r="AK8" s="131">
        <v>0</v>
      </c>
      <c r="AL8" s="131">
        <v>0</v>
      </c>
      <c r="AM8" s="131">
        <v>0</v>
      </c>
      <c r="AN8" s="131">
        <v>0</v>
      </c>
      <c r="AO8" s="132">
        <v>0</v>
      </c>
      <c r="AP8" s="150" t="s">
        <v>115</v>
      </c>
      <c r="AQ8" s="253">
        <f t="array" aca="1" ref="AQ8:AZ17" ca="1">MINVERSE(AF8:AO17)</f>
        <v>1</v>
      </c>
      <c r="AR8" s="250">
        <f ca="1"/>
        <v>0</v>
      </c>
      <c r="AS8" s="250">
        <f ca="1"/>
        <v>0</v>
      </c>
      <c r="AT8" s="250">
        <f ca="1"/>
        <v>0</v>
      </c>
      <c r="AU8" s="250">
        <f ca="1"/>
        <v>0</v>
      </c>
      <c r="AV8" s="250">
        <f ca="1"/>
        <v>0</v>
      </c>
      <c r="AW8" s="250">
        <f ca="1"/>
        <v>0</v>
      </c>
      <c r="AX8" s="250">
        <f ca="1"/>
        <v>0</v>
      </c>
      <c r="AY8" s="250">
        <f ca="1"/>
        <v>0</v>
      </c>
      <c r="AZ8" s="251">
        <f ca="1"/>
        <v>0</v>
      </c>
    </row>
    <row r="9" spans="2:52" ht="16.2" x14ac:dyDescent="0.3">
      <c r="B9" t="s">
        <v>101</v>
      </c>
      <c r="K9" s="29">
        <v>4</v>
      </c>
      <c r="L9" s="38" t="s">
        <v>6</v>
      </c>
      <c r="M9" s="39">
        <v>1.30355E-2</v>
      </c>
      <c r="N9" s="29">
        <v>4</v>
      </c>
      <c r="O9" s="47" t="s">
        <v>6</v>
      </c>
      <c r="P9" s="39">
        <v>1.55999E-2</v>
      </c>
      <c r="R9" s="86" t="s">
        <v>27</v>
      </c>
      <c r="S9" s="58" t="s">
        <v>4</v>
      </c>
      <c r="T9" s="27">
        <v>2</v>
      </c>
      <c r="U9" s="116">
        <f ca="1"/>
        <v>1.233231033418318E-2</v>
      </c>
      <c r="V9" s="14">
        <v>1.2332310331489972E-2</v>
      </c>
      <c r="W9" s="22">
        <v>0.02</v>
      </c>
      <c r="X9" s="14">
        <f ca="1">(SUMPRODUCT($V$8:$V9,$AB$8:$AB9)/SUM($AB$8:$AB9))-$M7</f>
        <v>-1.3378412960785013E-12</v>
      </c>
      <c r="Y9" s="87">
        <f t="shared" ca="1" si="0"/>
        <v>2.6932085034347963E-12</v>
      </c>
      <c r="AA9" s="101">
        <v>2</v>
      </c>
      <c r="AB9" s="119">
        <f ca="1">EXP(-AC9)</f>
        <v>0.9695787286011891</v>
      </c>
      <c r="AC9" s="102">
        <f ca="1">$AR$46*$AA9+$AR$47*$AA9^2+$AR$48*$AA9^3+$AR$49*$AA9^4+$AR$50*$AA9^5</f>
        <v>3.0893602231591672E-2</v>
      </c>
      <c r="AE9" s="8" t="s">
        <v>107</v>
      </c>
      <c r="AF9" s="241">
        <f ca="1">$AB$8/SUM($AB$8:$AB9)</f>
        <v>0.50325383191933348</v>
      </c>
      <c r="AG9" s="242">
        <f ca="1">$AB$9/SUM($AB$8:$AB9)</f>
        <v>0.49674616808066646</v>
      </c>
      <c r="AH9" s="128">
        <v>0</v>
      </c>
      <c r="AI9" s="128">
        <v>0</v>
      </c>
      <c r="AJ9" s="128">
        <v>0</v>
      </c>
      <c r="AK9" s="128">
        <v>0</v>
      </c>
      <c r="AL9" s="128">
        <v>0</v>
      </c>
      <c r="AM9" s="128">
        <v>0</v>
      </c>
      <c r="AN9" s="128">
        <v>0</v>
      </c>
      <c r="AO9" s="133">
        <v>0</v>
      </c>
      <c r="AP9" s="150" t="s">
        <v>116</v>
      </c>
      <c r="AQ9" s="254">
        <f ca="1"/>
        <v>-1.013100581860171</v>
      </c>
      <c r="AR9" s="255">
        <f ca="1"/>
        <v>2.0131005818601713</v>
      </c>
      <c r="AS9" s="248">
        <f ca="1"/>
        <v>0</v>
      </c>
      <c r="AT9" s="248">
        <f ca="1"/>
        <v>0</v>
      </c>
      <c r="AU9" s="248">
        <f ca="1"/>
        <v>0</v>
      </c>
      <c r="AV9" s="248">
        <f ca="1"/>
        <v>0</v>
      </c>
      <c r="AW9" s="248">
        <f ca="1"/>
        <v>0</v>
      </c>
      <c r="AX9" s="248">
        <f ca="1"/>
        <v>0</v>
      </c>
      <c r="AY9" s="248">
        <f ca="1"/>
        <v>0</v>
      </c>
      <c r="AZ9" s="252">
        <f ca="1"/>
        <v>0</v>
      </c>
    </row>
    <row r="10" spans="2:52" ht="16.2" x14ac:dyDescent="0.3">
      <c r="B10" t="s">
        <v>102</v>
      </c>
      <c r="K10" s="29">
        <v>5</v>
      </c>
      <c r="L10" s="40" t="s">
        <v>7</v>
      </c>
      <c r="M10" s="41">
        <v>1.32192E-2</v>
      </c>
      <c r="N10" s="29">
        <v>5</v>
      </c>
      <c r="O10" s="48" t="s">
        <v>7</v>
      </c>
      <c r="P10" s="41">
        <v>1.5736300000000002E-2</v>
      </c>
      <c r="R10" s="86" t="s">
        <v>27</v>
      </c>
      <c r="S10" s="58" t="s">
        <v>5</v>
      </c>
      <c r="T10" s="27">
        <v>3</v>
      </c>
      <c r="U10" s="116">
        <f ca="1"/>
        <v>1.2510737606168054E-2</v>
      </c>
      <c r="V10" s="14">
        <v>1.2510737602308161E-2</v>
      </c>
      <c r="W10" s="22">
        <v>0.02</v>
      </c>
      <c r="X10" s="14">
        <f ca="1">(SUMPRODUCT($V$8:$V10,$AB$8:$AB10)/SUM($AB$8:$AB10))-$M8</f>
        <v>-2.1679741335489666E-12</v>
      </c>
      <c r="Y10" s="87">
        <f t="shared" ca="1" si="0"/>
        <v>3.859893307756046E-12</v>
      </c>
      <c r="AA10" s="101">
        <v>3</v>
      </c>
      <c r="AB10" s="119">
        <f ca="1">EXP(-AC10)</f>
        <v>0.9576710885397286</v>
      </c>
      <c r="AC10" s="102">
        <f ca="1">$AR$46*$AA10+$AR$47*$AA10^2+$AR$48*$AA10^3+$AR$49*$AA10^4+$AR$50*$AA10^5</f>
        <v>4.3250891341141656E-2</v>
      </c>
      <c r="AE10" s="8" t="s">
        <v>106</v>
      </c>
      <c r="AF10" s="241">
        <f ca="1">$AB$8/SUM($AB$8:$AB10)</f>
        <v>0.33760798977694906</v>
      </c>
      <c r="AG10" s="242">
        <f ca="1">$AB$9/SUM($AB$8:$AB10)</f>
        <v>0.33324232146531929</v>
      </c>
      <c r="AH10" s="242">
        <f ca="1">$AB$10/SUM($AB$8:$AB10)</f>
        <v>0.32914968875773154</v>
      </c>
      <c r="AI10" s="128">
        <v>0</v>
      </c>
      <c r="AJ10" s="128">
        <v>0</v>
      </c>
      <c r="AK10" s="128">
        <v>0</v>
      </c>
      <c r="AL10" s="128">
        <v>0</v>
      </c>
      <c r="AM10" s="128">
        <v>0</v>
      </c>
      <c r="AN10" s="128">
        <v>0</v>
      </c>
      <c r="AO10" s="133">
        <v>0</v>
      </c>
      <c r="AP10" s="150" t="s">
        <v>117</v>
      </c>
      <c r="AQ10" s="246">
        <f ca="1"/>
        <v>1.6865017081063214E-16</v>
      </c>
      <c r="AR10" s="255">
        <f ca="1"/>
        <v>-2.0381313856749337</v>
      </c>
      <c r="AS10" s="255">
        <f ca="1"/>
        <v>3.0381313856749337</v>
      </c>
      <c r="AT10" s="248">
        <f ca="1"/>
        <v>0</v>
      </c>
      <c r="AU10" s="248">
        <f ca="1"/>
        <v>0</v>
      </c>
      <c r="AV10" s="248">
        <f ca="1"/>
        <v>0</v>
      </c>
      <c r="AW10" s="248">
        <f ca="1"/>
        <v>0</v>
      </c>
      <c r="AX10" s="248">
        <f ca="1"/>
        <v>0</v>
      </c>
      <c r="AY10" s="248">
        <f ca="1"/>
        <v>0</v>
      </c>
      <c r="AZ10" s="252">
        <f ca="1"/>
        <v>0</v>
      </c>
    </row>
    <row r="11" spans="2:52" ht="16.2" x14ac:dyDescent="0.3">
      <c r="B11" t="s">
        <v>103</v>
      </c>
      <c r="R11" s="86" t="s">
        <v>27</v>
      </c>
      <c r="S11" s="58" t="s">
        <v>6</v>
      </c>
      <c r="T11" s="27">
        <v>4</v>
      </c>
      <c r="U11" s="116">
        <f ca="1"/>
        <v>1.2913035464723036E-2</v>
      </c>
      <c r="V11" s="14">
        <v>1.2913035463721353E-2</v>
      </c>
      <c r="W11" s="22">
        <v>0.02</v>
      </c>
      <c r="X11" s="14">
        <f ca="1">(SUMPRODUCT($V$8:$V11,$AB$8:$AB11)/SUM($AB$8:$AB11))-$M9</f>
        <v>-1.8819078240195353E-12</v>
      </c>
      <c r="Y11" s="87">
        <f t="shared" ca="1" si="0"/>
        <v>1.0016831114567637E-12</v>
      </c>
      <c r="AA11" s="101">
        <v>4</v>
      </c>
      <c r="AB11" s="119">
        <f ca="1">EXP(-AC11)</f>
        <v>0.945574302549679</v>
      </c>
      <c r="AC11" s="102">
        <f ca="1">$AR$46*$AA11+$AR$47*$AA11^2+$AR$48*$AA11^3+$AR$49*$AA11^4+$AR$50*$AA11^5</f>
        <v>5.5962808514209698E-2</v>
      </c>
      <c r="AE11" s="8" t="s">
        <v>105</v>
      </c>
      <c r="AF11" s="241">
        <f ca="1">$AB$8/SUM($AB$8:$AB11)</f>
        <v>0.25480001223467702</v>
      </c>
      <c r="AG11" s="242">
        <f ca="1">$AB$9/SUM($AB$8:$AB11)</f>
        <v>0.25150514844916433</v>
      </c>
      <c r="AH11" s="242">
        <f ca="1">$AB$10/SUM($AB$8:$AB11)</f>
        <v>0.24841635050734326</v>
      </c>
      <c r="AI11" s="242">
        <f ca="1">$AB$11/SUM($AB$8:$AB11)</f>
        <v>0.24527848880881523</v>
      </c>
      <c r="AJ11" s="128">
        <v>0</v>
      </c>
      <c r="AK11" s="128">
        <v>0</v>
      </c>
      <c r="AL11" s="128">
        <v>0</v>
      </c>
      <c r="AM11" s="128">
        <v>0</v>
      </c>
      <c r="AN11" s="128">
        <v>0</v>
      </c>
      <c r="AO11" s="133">
        <v>0</v>
      </c>
      <c r="AP11" s="150" t="s">
        <v>118</v>
      </c>
      <c r="AQ11" s="246">
        <f ca="1"/>
        <v>5.5511151231257852E-17</v>
      </c>
      <c r="AR11" s="248">
        <f ca="1"/>
        <v>0</v>
      </c>
      <c r="AS11" s="255">
        <f ca="1"/>
        <v>-3.0769983737932272</v>
      </c>
      <c r="AT11" s="255">
        <f ca="1"/>
        <v>4.0769983737932272</v>
      </c>
      <c r="AU11" s="248">
        <f ca="1"/>
        <v>0</v>
      </c>
      <c r="AV11" s="248">
        <f ca="1"/>
        <v>0</v>
      </c>
      <c r="AW11" s="248">
        <f ca="1"/>
        <v>0</v>
      </c>
      <c r="AX11" s="248">
        <f ca="1"/>
        <v>0</v>
      </c>
      <c r="AY11" s="248">
        <f ca="1"/>
        <v>0</v>
      </c>
      <c r="AZ11" s="252">
        <f ca="1"/>
        <v>0</v>
      </c>
    </row>
    <row r="12" spans="2:52" ht="16.2" x14ac:dyDescent="0.3">
      <c r="L12" s="126" t="s">
        <v>93</v>
      </c>
      <c r="O12" s="126" t="s">
        <v>94</v>
      </c>
      <c r="R12" s="89" t="s">
        <v>27</v>
      </c>
      <c r="S12" s="90" t="s">
        <v>7</v>
      </c>
      <c r="T12" s="91">
        <v>5</v>
      </c>
      <c r="U12" s="117">
        <f ca="1"/>
        <v>1.39781783304254E-2</v>
      </c>
      <c r="V12" s="92">
        <v>1.3978178334311966E-2</v>
      </c>
      <c r="W12" s="93">
        <v>0.02</v>
      </c>
      <c r="X12" s="92">
        <f ca="1">(SUMPRODUCT($V$8:$V12,$AB$8:$AB12)/SUM($AB$8:$AB12))-$M10</f>
        <v>-7.5780354213961232E-13</v>
      </c>
      <c r="Y12" s="94">
        <f t="shared" ca="1" si="0"/>
        <v>-3.8865664159226654E-12</v>
      </c>
      <c r="AA12" s="103">
        <v>5</v>
      </c>
      <c r="AB12" s="120">
        <f ca="1">EXP(-AC12)</f>
        <v>0.93307376587858482</v>
      </c>
      <c r="AC12" s="97">
        <f ca="1">$AR$46*$AA12+$AR$47*$AA12^2+$AR$48*$AA12^3+$AR$49*$AA12^4+$AR$50*$AA12^5</f>
        <v>6.9271018153379785E-2</v>
      </c>
      <c r="AE12" s="8" t="s">
        <v>104</v>
      </c>
      <c r="AF12" s="241">
        <f ca="1">$AB$8/SUM($AB$8:$AB12)</f>
        <v>0.20514705985760515</v>
      </c>
      <c r="AG12" s="242">
        <f ca="1">$AB$9/SUM($AB$8:$AB12)</f>
        <v>0.20249426713479049</v>
      </c>
      <c r="AH12" s="242">
        <f ca="1">$AB$10/SUM($AB$8:$AB12)</f>
        <v>0.20000738414486663</v>
      </c>
      <c r="AI12" s="242">
        <f ca="1">$AB$11/SUM($AB$8:$AB12)</f>
        <v>0.19748099846675318</v>
      </c>
      <c r="AJ12" s="242">
        <f ca="1">$AB$12/SUM($AB$8:$AB12)</f>
        <v>0.19487029039598447</v>
      </c>
      <c r="AK12" s="128">
        <v>0</v>
      </c>
      <c r="AL12" s="128">
        <v>0</v>
      </c>
      <c r="AM12" s="128">
        <v>0</v>
      </c>
      <c r="AN12" s="128">
        <v>0</v>
      </c>
      <c r="AO12" s="133">
        <v>0</v>
      </c>
      <c r="AP12" s="150" t="s">
        <v>119</v>
      </c>
      <c r="AQ12" s="246">
        <f ca="1"/>
        <v>-2.2935090300213447E-16</v>
      </c>
      <c r="AR12" s="248">
        <f ca="1"/>
        <v>5.697241084667845E-16</v>
      </c>
      <c r="AS12" s="248">
        <f ca="1"/>
        <v>-5.697241084667845E-16</v>
      </c>
      <c r="AT12" s="255">
        <f ca="1"/>
        <v>-4.1316185651899975</v>
      </c>
      <c r="AU12" s="255">
        <f ca="1"/>
        <v>5.1316185651899975</v>
      </c>
      <c r="AV12" s="248">
        <f ca="1"/>
        <v>0</v>
      </c>
      <c r="AW12" s="248">
        <f ca="1"/>
        <v>0</v>
      </c>
      <c r="AX12" s="248">
        <f ca="1"/>
        <v>0</v>
      </c>
      <c r="AY12" s="248">
        <f ca="1"/>
        <v>0</v>
      </c>
      <c r="AZ12" s="252">
        <f ca="1"/>
        <v>0</v>
      </c>
    </row>
    <row r="13" spans="2:52" ht="16.2" x14ac:dyDescent="0.3">
      <c r="B13" s="11" t="s">
        <v>86</v>
      </c>
      <c r="L13" s="8" t="s">
        <v>8</v>
      </c>
      <c r="M13" s="8" t="s">
        <v>19</v>
      </c>
      <c r="O13" s="8" t="s">
        <v>8</v>
      </c>
      <c r="P13" s="8" t="s">
        <v>29</v>
      </c>
      <c r="R13" s="86" t="s">
        <v>23</v>
      </c>
      <c r="S13" s="58" t="s">
        <v>3</v>
      </c>
      <c r="T13" s="27">
        <v>1</v>
      </c>
      <c r="U13" s="116">
        <f ca="1"/>
        <v>1.70896E-2</v>
      </c>
      <c r="V13" s="14">
        <v>1.70896E-2</v>
      </c>
      <c r="W13" s="22">
        <v>0.02</v>
      </c>
      <c r="X13" s="14">
        <f ca="1">(SUMPRODUCT($V$13:$V13,$AB$8:$AB8)/SUM($AB$8:$AB8))-$P6</f>
        <v>0</v>
      </c>
      <c r="Y13" s="87">
        <f t="shared" ca="1" si="0"/>
        <v>0</v>
      </c>
      <c r="AE13" s="8" t="s">
        <v>109</v>
      </c>
      <c r="AF13" s="127">
        <v>0</v>
      </c>
      <c r="AG13" s="128">
        <v>0</v>
      </c>
      <c r="AH13" s="128">
        <v>0</v>
      </c>
      <c r="AI13" s="128">
        <v>0</v>
      </c>
      <c r="AJ13" s="128">
        <v>0</v>
      </c>
      <c r="AK13" s="242">
        <f ca="1">$AB$8/SUM($AB$8:$AB8)</f>
        <v>1</v>
      </c>
      <c r="AL13" s="128">
        <v>0</v>
      </c>
      <c r="AM13" s="128">
        <v>0</v>
      </c>
      <c r="AN13" s="128">
        <v>0</v>
      </c>
      <c r="AO13" s="133">
        <v>0</v>
      </c>
      <c r="AP13" s="150" t="s">
        <v>120</v>
      </c>
      <c r="AQ13" s="246">
        <f ca="1"/>
        <v>0</v>
      </c>
      <c r="AR13" s="248">
        <f ca="1"/>
        <v>0</v>
      </c>
      <c r="AS13" s="248">
        <f ca="1"/>
        <v>0</v>
      </c>
      <c r="AT13" s="248">
        <f ca="1"/>
        <v>0</v>
      </c>
      <c r="AU13" s="248">
        <f ca="1"/>
        <v>0</v>
      </c>
      <c r="AV13" s="255">
        <f ca="1"/>
        <v>1</v>
      </c>
      <c r="AW13" s="248">
        <f ca="1"/>
        <v>0</v>
      </c>
      <c r="AX13" s="248">
        <f ca="1"/>
        <v>0</v>
      </c>
      <c r="AY13" s="248">
        <f ca="1"/>
        <v>0</v>
      </c>
      <c r="AZ13" s="252">
        <f ca="1"/>
        <v>0</v>
      </c>
    </row>
    <row r="14" spans="2:52" ht="16.2" x14ac:dyDescent="0.3">
      <c r="B14" t="s">
        <v>89</v>
      </c>
      <c r="L14" s="36" t="s">
        <v>3</v>
      </c>
      <c r="M14" s="42">
        <v>0.98566900000000002</v>
      </c>
      <c r="N14" s="79"/>
      <c r="O14" s="36" t="s">
        <v>3</v>
      </c>
      <c r="P14" s="46">
        <v>1.6799999999999999E-2</v>
      </c>
      <c r="Q14" s="79"/>
      <c r="R14" s="86" t="s">
        <v>23</v>
      </c>
      <c r="S14" s="58" t="s">
        <v>4</v>
      </c>
      <c r="T14" s="27">
        <v>2</v>
      </c>
      <c r="U14" s="116">
        <f ca="1"/>
        <v>1.4735882799689095E-2</v>
      </c>
      <c r="V14" s="14">
        <v>1.4735882796561463E-2</v>
      </c>
      <c r="W14" s="22">
        <v>0.02</v>
      </c>
      <c r="X14" s="14">
        <f ca="1">(SUMPRODUCT($V$13:$V14,$AB$8:$AB9)/SUM($AB$8:$AB9))-$P7</f>
        <v>-1.5536391617665402E-12</v>
      </c>
      <c r="Y14" s="87">
        <f t="shared" ca="1" si="0"/>
        <v>3.1276318340767162E-12</v>
      </c>
      <c r="AE14" s="8" t="s">
        <v>110</v>
      </c>
      <c r="AF14" s="127">
        <v>0</v>
      </c>
      <c r="AG14" s="128">
        <v>0</v>
      </c>
      <c r="AH14" s="128">
        <v>0</v>
      </c>
      <c r="AI14" s="128">
        <v>0</v>
      </c>
      <c r="AJ14" s="128">
        <v>0</v>
      </c>
      <c r="AK14" s="242">
        <f ca="1">$AB$8/SUM($AB$8:$AB9)</f>
        <v>0.50325383191933348</v>
      </c>
      <c r="AL14" s="242">
        <f ca="1">$AB$9/SUM($AB$8:$AB9)</f>
        <v>0.49674616808066646</v>
      </c>
      <c r="AM14" s="128">
        <v>0</v>
      </c>
      <c r="AN14" s="128">
        <v>0</v>
      </c>
      <c r="AO14" s="133">
        <v>0</v>
      </c>
      <c r="AP14" s="150" t="s">
        <v>121</v>
      </c>
      <c r="AQ14" s="246">
        <f ca="1"/>
        <v>0</v>
      </c>
      <c r="AR14" s="248">
        <f ca="1"/>
        <v>0</v>
      </c>
      <c r="AS14" s="248">
        <f ca="1"/>
        <v>0</v>
      </c>
      <c r="AT14" s="248">
        <f ca="1"/>
        <v>0</v>
      </c>
      <c r="AU14" s="248">
        <f ca="1"/>
        <v>0</v>
      </c>
      <c r="AV14" s="255">
        <f ca="1"/>
        <v>-1.013100581860171</v>
      </c>
      <c r="AW14" s="255">
        <f ca="1"/>
        <v>2.0131005818601713</v>
      </c>
      <c r="AX14" s="248">
        <f ca="1"/>
        <v>0</v>
      </c>
      <c r="AY14" s="248">
        <f ca="1"/>
        <v>0</v>
      </c>
      <c r="AZ14" s="252">
        <f ca="1"/>
        <v>0</v>
      </c>
    </row>
    <row r="15" spans="2:52" ht="16.2" x14ac:dyDescent="0.3">
      <c r="B15" t="s">
        <v>87</v>
      </c>
      <c r="L15" s="38" t="s">
        <v>4</v>
      </c>
      <c r="M15" s="43">
        <v>0.97340300000000002</v>
      </c>
      <c r="N15" s="79"/>
      <c r="O15" s="38" t="s">
        <v>4</v>
      </c>
      <c r="P15" s="39">
        <v>1.47E-2</v>
      </c>
      <c r="Q15" s="79"/>
      <c r="R15" s="86" t="s">
        <v>23</v>
      </c>
      <c r="S15" s="58" t="s">
        <v>5</v>
      </c>
      <c r="T15" s="27">
        <v>3</v>
      </c>
      <c r="U15" s="116">
        <f ca="1"/>
        <v>1.4953058966801099E-2</v>
      </c>
      <c r="V15" s="14">
        <v>1.4953058962364322E-2</v>
      </c>
      <c r="W15" s="22">
        <v>0.02</v>
      </c>
      <c r="X15" s="14">
        <f ca="1">(SUMPRODUCT($V$13:$V15,$AB$8:$AB10)/SUM($AB$8:$AB10))-$P8</f>
        <v>-2.5026231087466044E-12</v>
      </c>
      <c r="Y15" s="87">
        <f t="shared" ca="1" si="0"/>
        <v>4.4367773344156092E-12</v>
      </c>
      <c r="AE15" s="8" t="s">
        <v>111</v>
      </c>
      <c r="AF15" s="127">
        <v>0</v>
      </c>
      <c r="AG15" s="128">
        <v>0</v>
      </c>
      <c r="AH15" s="128">
        <v>0</v>
      </c>
      <c r="AI15" s="128">
        <v>0</v>
      </c>
      <c r="AJ15" s="128">
        <v>0</v>
      </c>
      <c r="AK15" s="242">
        <f ca="1">$AB$8/SUM($AB$8:$AB10)</f>
        <v>0.33760798977694906</v>
      </c>
      <c r="AL15" s="242">
        <f ca="1">$AB$9/SUM($AB$8:$AB10)</f>
        <v>0.33324232146531929</v>
      </c>
      <c r="AM15" s="242">
        <f ca="1">$AB$10/SUM($AB$8:$AB10)</f>
        <v>0.32914968875773154</v>
      </c>
      <c r="AN15" s="128">
        <v>0</v>
      </c>
      <c r="AO15" s="133">
        <v>0</v>
      </c>
      <c r="AP15" s="150" t="s">
        <v>122</v>
      </c>
      <c r="AQ15" s="246">
        <f ca="1"/>
        <v>0</v>
      </c>
      <c r="AR15" s="248">
        <f ca="1"/>
        <v>0</v>
      </c>
      <c r="AS15" s="248">
        <f ca="1"/>
        <v>0</v>
      </c>
      <c r="AT15" s="248">
        <f ca="1"/>
        <v>0</v>
      </c>
      <c r="AU15" s="248">
        <f ca="1"/>
        <v>0</v>
      </c>
      <c r="AV15" s="248">
        <f ca="1"/>
        <v>1.6865017081063214E-16</v>
      </c>
      <c r="AW15" s="255">
        <f ca="1"/>
        <v>-2.0381313856749337</v>
      </c>
      <c r="AX15" s="255">
        <f ca="1"/>
        <v>3.0381313856749337</v>
      </c>
      <c r="AY15" s="248">
        <f ca="1"/>
        <v>0</v>
      </c>
      <c r="AZ15" s="252">
        <f ca="1"/>
        <v>0</v>
      </c>
    </row>
    <row r="16" spans="2:52" ht="16.2" x14ac:dyDescent="0.3">
      <c r="B16" t="s">
        <v>88</v>
      </c>
      <c r="L16" s="38" t="s">
        <v>5</v>
      </c>
      <c r="M16" s="43">
        <v>0.96081000000000005</v>
      </c>
      <c r="N16" s="79"/>
      <c r="O16" s="38" t="s">
        <v>5</v>
      </c>
      <c r="P16" s="39">
        <v>1.4999999999999999E-2</v>
      </c>
      <c r="Q16" s="79"/>
      <c r="R16" s="86" t="s">
        <v>23</v>
      </c>
      <c r="S16" s="58" t="s">
        <v>6</v>
      </c>
      <c r="T16" s="27">
        <v>4</v>
      </c>
      <c r="U16" s="116">
        <f ca="1"/>
        <v>1.5593438303415037E-2</v>
      </c>
      <c r="V16" s="14">
        <v>1.5593438303362189E-2</v>
      </c>
      <c r="W16" s="22">
        <v>0.02</v>
      </c>
      <c r="X16" s="14">
        <f ca="1">(SUMPRODUCT($V$13:$V16,$AB$8:$AB11)/SUM($AB$8:$AB11))-$P9</f>
        <v>-1.901746121690806E-12</v>
      </c>
      <c r="Y16" s="87">
        <f t="shared" ca="1" si="0"/>
        <v>5.2848350695633428E-14</v>
      </c>
      <c r="AE16" s="8" t="s">
        <v>112</v>
      </c>
      <c r="AF16" s="127">
        <v>0</v>
      </c>
      <c r="AG16" s="128">
        <v>0</v>
      </c>
      <c r="AH16" s="128">
        <v>0</v>
      </c>
      <c r="AI16" s="128">
        <v>0</v>
      </c>
      <c r="AJ16" s="128">
        <v>0</v>
      </c>
      <c r="AK16" s="242">
        <f ca="1">$AB$8/SUM($AB$8:$AB11)</f>
        <v>0.25480001223467702</v>
      </c>
      <c r="AL16" s="242">
        <f ca="1">$AB$9/SUM($AB$8:$AB11)</f>
        <v>0.25150514844916433</v>
      </c>
      <c r="AM16" s="242">
        <f ca="1">$AB$10/SUM($AB$8:$AB11)</f>
        <v>0.24841635050734326</v>
      </c>
      <c r="AN16" s="242">
        <f ca="1">$AB$11/SUM($AB$8:$AB11)</f>
        <v>0.24527848880881523</v>
      </c>
      <c r="AO16" s="133">
        <v>0</v>
      </c>
      <c r="AP16" s="150" t="s">
        <v>123</v>
      </c>
      <c r="AQ16" s="246">
        <f ca="1"/>
        <v>0</v>
      </c>
      <c r="AR16" s="248">
        <f ca="1"/>
        <v>0</v>
      </c>
      <c r="AS16" s="248">
        <f ca="1"/>
        <v>0</v>
      </c>
      <c r="AT16" s="248">
        <f ca="1"/>
        <v>0</v>
      </c>
      <c r="AU16" s="248">
        <f ca="1"/>
        <v>0</v>
      </c>
      <c r="AV16" s="248">
        <f ca="1"/>
        <v>5.5511151231257852E-17</v>
      </c>
      <c r="AW16" s="248">
        <f ca="1"/>
        <v>0</v>
      </c>
      <c r="AX16" s="255">
        <f ca="1"/>
        <v>-3.0769983737932272</v>
      </c>
      <c r="AY16" s="255">
        <f ca="1"/>
        <v>4.0769983737932272</v>
      </c>
      <c r="AZ16" s="252">
        <f ca="1"/>
        <v>0</v>
      </c>
    </row>
    <row r="17" spans="2:52" ht="16.2" x14ac:dyDescent="0.3">
      <c r="B17" t="s">
        <v>90</v>
      </c>
      <c r="L17" s="38" t="s">
        <v>6</v>
      </c>
      <c r="M17" s="43">
        <v>0.94769999999999999</v>
      </c>
      <c r="N17" s="79"/>
      <c r="O17" s="38" t="s">
        <v>6</v>
      </c>
      <c r="P17" s="39">
        <v>1.5600000000000001E-2</v>
      </c>
      <c r="Q17" s="79"/>
      <c r="R17" s="86" t="s">
        <v>23</v>
      </c>
      <c r="S17" s="58" t="s">
        <v>7</v>
      </c>
      <c r="T17" s="27">
        <v>5</v>
      </c>
      <c r="U17" s="116">
        <f ca="1"/>
        <v>1.6299852772291925E-2</v>
      </c>
      <c r="V17" s="14">
        <v>1.6299852775177748E-2</v>
      </c>
      <c r="W17" s="22">
        <v>0.02</v>
      </c>
      <c r="X17" s="14">
        <f ca="1">(SUMPRODUCT($V$13:$V17,$AB$8:$AB12)/SUM($AB$8:$AB12))-$P10</f>
        <v>-9.6879101962876746E-13</v>
      </c>
      <c r="Y17" s="87">
        <f t="shared" ca="1" si="0"/>
        <v>-2.8858235245898811E-12</v>
      </c>
      <c r="Z17" s="8"/>
      <c r="AE17" s="8" t="s">
        <v>113</v>
      </c>
      <c r="AF17" s="129">
        <v>0</v>
      </c>
      <c r="AG17" s="130">
        <v>0</v>
      </c>
      <c r="AH17" s="130">
        <v>0</v>
      </c>
      <c r="AI17" s="130">
        <v>0</v>
      </c>
      <c r="AJ17" s="130">
        <v>0</v>
      </c>
      <c r="AK17" s="244">
        <f ca="1">$AB$8/SUM($AB$8:$AB12)</f>
        <v>0.20514705985760515</v>
      </c>
      <c r="AL17" s="244">
        <f ca="1">$AB$9/SUM($AB$8:$AB12)</f>
        <v>0.20249426713479049</v>
      </c>
      <c r="AM17" s="244">
        <f ca="1">$AB$10/SUM($AB$8:$AB12)</f>
        <v>0.20000738414486663</v>
      </c>
      <c r="AN17" s="244">
        <f ca="1">$AB$11/SUM($AB$8:$AB12)</f>
        <v>0.19748099846675318</v>
      </c>
      <c r="AO17" s="245">
        <f ca="1">$AB$12/SUM($AB$8:$AB12)</f>
        <v>0.19487029039598447</v>
      </c>
      <c r="AP17" s="150" t="s">
        <v>124</v>
      </c>
      <c r="AQ17" s="247">
        <f ca="1"/>
        <v>0</v>
      </c>
      <c r="AR17" s="249">
        <f ca="1"/>
        <v>0</v>
      </c>
      <c r="AS17" s="249">
        <f ca="1"/>
        <v>0</v>
      </c>
      <c r="AT17" s="249">
        <f ca="1"/>
        <v>0</v>
      </c>
      <c r="AU17" s="249">
        <f ca="1"/>
        <v>0</v>
      </c>
      <c r="AV17" s="249">
        <f ca="1"/>
        <v>-2.2935090300213447E-16</v>
      </c>
      <c r="AW17" s="249">
        <f ca="1"/>
        <v>5.697241084667845E-16</v>
      </c>
      <c r="AX17" s="249">
        <f ca="1"/>
        <v>-5.697241084667845E-16</v>
      </c>
      <c r="AY17" s="256">
        <f ca="1"/>
        <v>-4.1316185651899975</v>
      </c>
      <c r="AZ17" s="257">
        <f ca="1"/>
        <v>5.1316185651899975</v>
      </c>
    </row>
    <row r="18" spans="2:52" x14ac:dyDescent="0.3">
      <c r="B18" t="s">
        <v>92</v>
      </c>
      <c r="L18" s="40" t="s">
        <v>7</v>
      </c>
      <c r="M18" s="44">
        <v>0.93433100000000002</v>
      </c>
      <c r="N18" s="79"/>
      <c r="O18" s="40" t="s">
        <v>7</v>
      </c>
      <c r="P18" s="41">
        <v>1.6299999999999999E-2</v>
      </c>
      <c r="Q18" s="79"/>
      <c r="R18" s="95"/>
      <c r="S18" s="96"/>
      <c r="T18" s="88"/>
      <c r="U18" s="121"/>
      <c r="V18" s="88"/>
      <c r="W18" s="98"/>
      <c r="X18" s="134"/>
      <c r="Y18" s="135"/>
      <c r="Z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</row>
    <row r="19" spans="2:52" x14ac:dyDescent="0.3">
      <c r="B19" t="s">
        <v>91</v>
      </c>
      <c r="T19" s="8"/>
      <c r="U19" s="8"/>
      <c r="V19" s="8"/>
      <c r="W19" s="8"/>
      <c r="X19" s="8"/>
      <c r="Y19" s="25"/>
      <c r="Z19" s="8"/>
      <c r="AA19" t="s">
        <v>66</v>
      </c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49" t="s">
        <v>60</v>
      </c>
      <c r="AR19" s="8"/>
      <c r="AS19" s="8"/>
      <c r="AT19" s="8"/>
      <c r="AV19" s="49" t="s">
        <v>60</v>
      </c>
    </row>
    <row r="20" spans="2:52" x14ac:dyDescent="0.3">
      <c r="AA20" s="122" t="b">
        <v>0</v>
      </c>
    </row>
    <row r="21" spans="2:52" x14ac:dyDescent="0.3">
      <c r="B21" s="49" t="s">
        <v>70</v>
      </c>
      <c r="N21" s="49" t="s">
        <v>30</v>
      </c>
      <c r="O21" s="8"/>
      <c r="P21" s="8"/>
      <c r="Q21" s="8"/>
      <c r="R21" s="8"/>
      <c r="S21" s="25"/>
      <c r="T21" s="8"/>
      <c r="U21" s="8"/>
      <c r="AQ21" t="s">
        <v>27</v>
      </c>
      <c r="AV21" t="s">
        <v>23</v>
      </c>
    </row>
    <row r="22" spans="2:52" ht="15.6" x14ac:dyDescent="0.3">
      <c r="B22" s="124" t="s">
        <v>74</v>
      </c>
      <c r="L22" s="8" t="s">
        <v>26</v>
      </c>
      <c r="M22" s="23" t="s">
        <v>18</v>
      </c>
      <c r="N22" s="8" t="s">
        <v>31</v>
      </c>
      <c r="O22" s="8" t="s">
        <v>32</v>
      </c>
      <c r="P22" s="8" t="s">
        <v>33</v>
      </c>
      <c r="Q22" s="8" t="s">
        <v>34</v>
      </c>
      <c r="R22" s="8" t="s">
        <v>35</v>
      </c>
      <c r="S22" s="8" t="s">
        <v>36</v>
      </c>
      <c r="T22" s="8" t="s">
        <v>37</v>
      </c>
      <c r="U22" s="8" t="s">
        <v>38</v>
      </c>
      <c r="V22" s="8" t="s">
        <v>39</v>
      </c>
      <c r="W22" s="8" t="s">
        <v>40</v>
      </c>
      <c r="X22" s="8" t="s">
        <v>41</v>
      </c>
      <c r="AA22" s="49"/>
      <c r="AQ22" s="8" t="s">
        <v>47</v>
      </c>
      <c r="AR22" s="8" t="s">
        <v>46</v>
      </c>
      <c r="AS22" s="8" t="s">
        <v>10</v>
      </c>
      <c r="AT22" s="8" t="s">
        <v>61</v>
      </c>
      <c r="AV22" s="8" t="s">
        <v>47</v>
      </c>
      <c r="AW22" s="8" t="s">
        <v>46</v>
      </c>
      <c r="AX22" s="8" t="s">
        <v>10</v>
      </c>
      <c r="AY22" s="8" t="s">
        <v>61</v>
      </c>
    </row>
    <row r="23" spans="2:52" x14ac:dyDescent="0.3">
      <c r="B23" s="124" t="s">
        <v>75</v>
      </c>
      <c r="L23" s="8" t="s">
        <v>27</v>
      </c>
      <c r="M23" s="8" t="s">
        <v>3</v>
      </c>
      <c r="N23" s="50">
        <v>0.02</v>
      </c>
      <c r="O23" s="51">
        <v>1.43591E-2</v>
      </c>
      <c r="P23" s="51">
        <v>1.43591E-2</v>
      </c>
      <c r="Q23" s="51">
        <v>1.43591E-2</v>
      </c>
      <c r="R23" s="51">
        <v>1.43591E-2</v>
      </c>
      <c r="S23" s="51"/>
      <c r="T23" s="51"/>
      <c r="U23" s="51"/>
      <c r="V23" s="51"/>
      <c r="W23" s="51"/>
      <c r="X23" s="52"/>
      <c r="AA23" s="124"/>
      <c r="AQ23" s="67">
        <v>0</v>
      </c>
      <c r="AR23" s="13">
        <f t="shared" ref="AR23:AR33" ca="1" si="1">$AO$46+$AO$47*$AQ23+$AO$48*$AQ23^2+$AO$49*$AQ23^3+$AO$50*$AQ23^4</f>
        <v>2.2992773723248476E-2</v>
      </c>
      <c r="AS23" s="65"/>
      <c r="AT23" s="16"/>
      <c r="AV23" s="67">
        <v>0</v>
      </c>
      <c r="AW23" s="13">
        <f t="shared" ref="AW23:AW33" ca="1" si="2">$AO$54+$AO$55*$AV23+$AO$56*$AV23^2+$AO$57*$AV23^3+$AO$58*$AV23^4</f>
        <v>2.5952422915628808E-2</v>
      </c>
      <c r="AX23" s="65"/>
      <c r="AY23" s="16"/>
    </row>
    <row r="24" spans="2:52" ht="16.8" x14ac:dyDescent="0.35">
      <c r="B24" s="125" t="s">
        <v>76</v>
      </c>
      <c r="L24" s="8" t="s">
        <v>27</v>
      </c>
      <c r="M24" s="8" t="s">
        <v>4</v>
      </c>
      <c r="N24" s="53">
        <v>0.02</v>
      </c>
      <c r="O24" s="21">
        <v>1.2325161290861229E-2</v>
      </c>
      <c r="P24" s="21">
        <v>1.2332315148777489E-2</v>
      </c>
      <c r="Q24" s="21">
        <v>1.2332310331489972E-2</v>
      </c>
      <c r="R24" s="21">
        <v>1.233231033418318E-2</v>
      </c>
      <c r="S24" s="21"/>
      <c r="T24" s="21"/>
      <c r="U24" s="21"/>
      <c r="V24" s="21"/>
      <c r="W24" s="21"/>
      <c r="X24" s="54"/>
      <c r="AA24" s="124"/>
      <c r="AQ24" s="68">
        <v>0.5</v>
      </c>
      <c r="AR24" s="14">
        <f t="shared" ca="1" si="1"/>
        <v>1.7480428379837029E-2</v>
      </c>
      <c r="AS24" s="66"/>
      <c r="AT24" s="17"/>
      <c r="AV24" s="68">
        <v>0.5</v>
      </c>
      <c r="AW24" s="14">
        <f t="shared" ca="1" si="2"/>
        <v>2.0391292700577962E-2</v>
      </c>
      <c r="AX24" s="66"/>
      <c r="AY24" s="17"/>
    </row>
    <row r="25" spans="2:52" x14ac:dyDescent="0.3">
      <c r="L25" s="8" t="s">
        <v>27</v>
      </c>
      <c r="M25" s="8" t="s">
        <v>5</v>
      </c>
      <c r="N25" s="53">
        <v>0.02</v>
      </c>
      <c r="O25" s="21">
        <v>1.2504399644361154E-2</v>
      </c>
      <c r="P25" s="21">
        <v>1.2510742929031742E-2</v>
      </c>
      <c r="Q25" s="21">
        <v>1.2510737602308161E-2</v>
      </c>
      <c r="R25" s="21">
        <v>1.2510737606168054E-2</v>
      </c>
      <c r="S25" s="21"/>
      <c r="T25" s="21"/>
      <c r="U25" s="21"/>
      <c r="V25" s="21"/>
      <c r="W25" s="21"/>
      <c r="X25" s="54"/>
      <c r="AA25" s="124"/>
      <c r="AQ25" s="68">
        <f t="shared" ref="AQ25:AQ33" ca="1" si="3">AQ24+0.5</f>
        <v>1</v>
      </c>
      <c r="AR25" s="14">
        <f t="shared" ca="1" si="1"/>
        <v>1.435909999972031E-2</v>
      </c>
      <c r="AS25" s="74">
        <f ca="1">U8</f>
        <v>1.43591E-2</v>
      </c>
      <c r="AT25" s="17">
        <f ca="1">AS25-AR25</f>
        <v>2.7968946603174061E-13</v>
      </c>
      <c r="AV25" s="68">
        <f t="shared" ref="AV25:AV33" ca="1" si="4">AV24+0.5</f>
        <v>1</v>
      </c>
      <c r="AW25" s="14">
        <f t="shared" ca="1" si="2"/>
        <v>1.7089599999667488E-2</v>
      </c>
      <c r="AX25" s="74">
        <f ca="1">U13</f>
        <v>1.70896E-2</v>
      </c>
      <c r="AY25" s="17">
        <f ca="1">AX25-AW25</f>
        <v>3.3251179587523438E-13</v>
      </c>
    </row>
    <row r="26" spans="2:52" x14ac:dyDescent="0.3">
      <c r="B26" s="124" t="s">
        <v>71</v>
      </c>
      <c r="L26" s="8" t="s">
        <v>27</v>
      </c>
      <c r="M26" s="8" t="s">
        <v>6</v>
      </c>
      <c r="N26" s="53">
        <v>0.02</v>
      </c>
      <c r="O26" s="21">
        <v>1.2911210623301441E-2</v>
      </c>
      <c r="P26" s="21">
        <v>1.2913036792530825E-2</v>
      </c>
      <c r="Q26" s="21">
        <v>1.2913035463721353E-2</v>
      </c>
      <c r="R26" s="21">
        <v>1.2913035464723036E-2</v>
      </c>
      <c r="S26" s="21"/>
      <c r="T26" s="21"/>
      <c r="U26" s="21"/>
      <c r="V26" s="21"/>
      <c r="W26" s="21"/>
      <c r="X26" s="54"/>
      <c r="Z26" s="124"/>
      <c r="AA26" s="124"/>
      <c r="AQ26" s="68">
        <f t="shared" ca="1" si="3"/>
        <v>1.5</v>
      </c>
      <c r="AR26" s="14">
        <f t="shared" ca="1" si="1"/>
        <v>1.2851675121455186E-2</v>
      </c>
      <c r="AS26" s="66"/>
      <c r="AT26" s="17"/>
      <c r="AV26" s="68">
        <f t="shared" ca="1" si="4"/>
        <v>1.5</v>
      </c>
      <c r="AW26" s="14">
        <f t="shared" ca="1" si="2"/>
        <v>1.5387206818401535E-2</v>
      </c>
      <c r="AX26" s="66"/>
      <c r="AY26" s="17"/>
    </row>
    <row r="27" spans="2:52" ht="15.6" x14ac:dyDescent="0.35">
      <c r="B27" s="124" t="s">
        <v>78</v>
      </c>
      <c r="L27" s="8" t="s">
        <v>27</v>
      </c>
      <c r="M27" s="8" t="s">
        <v>7</v>
      </c>
      <c r="N27" s="53">
        <v>0.02</v>
      </c>
      <c r="O27" s="21">
        <v>1.3991867133315846E-2</v>
      </c>
      <c r="P27" s="21">
        <v>1.3978175463909859E-2</v>
      </c>
      <c r="Q27" s="21">
        <v>1.3978178334311966E-2</v>
      </c>
      <c r="R27" s="21">
        <v>1.39781783304254E-2</v>
      </c>
      <c r="S27" s="21"/>
      <c r="T27" s="21"/>
      <c r="U27" s="21"/>
      <c r="V27" s="21"/>
      <c r="W27" s="21"/>
      <c r="X27" s="54"/>
      <c r="Z27" s="124"/>
      <c r="AA27" s="124"/>
      <c r="AQ27" s="68">
        <f t="shared" ca="1" si="3"/>
        <v>2</v>
      </c>
      <c r="AR27" s="14">
        <f t="shared" ca="1" si="1"/>
        <v>1.2332310331555921E-2</v>
      </c>
      <c r="AS27" s="74">
        <f ca="1">U9</f>
        <v>1.233231033418318E-2</v>
      </c>
      <c r="AT27" s="17">
        <f ca="1">AS27-AR27</f>
        <v>2.6272595210485861E-12</v>
      </c>
      <c r="AV27" s="68">
        <f t="shared" ca="1" si="4"/>
        <v>2</v>
      </c>
      <c r="AW27" s="14">
        <f t="shared" ca="1" si="2"/>
        <v>1.4735882796638419E-2</v>
      </c>
      <c r="AX27" s="74">
        <f ca="1">U14</f>
        <v>1.4735882799689095E-2</v>
      </c>
      <c r="AY27" s="17">
        <f ca="1">AX27-AW27</f>
        <v>3.0506760312354331E-12</v>
      </c>
    </row>
    <row r="28" spans="2:52" ht="15.6" x14ac:dyDescent="0.35">
      <c r="B28" s="124" t="s">
        <v>79</v>
      </c>
      <c r="L28" s="8" t="s">
        <v>23</v>
      </c>
      <c r="M28" s="8" t="s">
        <v>3</v>
      </c>
      <c r="N28" s="53">
        <v>0.02</v>
      </c>
      <c r="O28" s="21">
        <v>1.70896E-2</v>
      </c>
      <c r="P28" s="21">
        <v>1.70896E-2</v>
      </c>
      <c r="Q28" s="21">
        <v>1.70896E-2</v>
      </c>
      <c r="R28" s="21">
        <v>1.70896E-2</v>
      </c>
      <c r="S28" s="21"/>
      <c r="T28" s="21"/>
      <c r="U28" s="21"/>
      <c r="V28" s="21"/>
      <c r="W28" s="21"/>
      <c r="X28" s="54"/>
      <c r="Z28" s="124"/>
      <c r="AA28" s="124"/>
      <c r="AQ28" s="68">
        <f t="shared" ca="1" si="3"/>
        <v>2.5</v>
      </c>
      <c r="AR28" s="14">
        <f t="shared" ca="1" si="1"/>
        <v>1.2326432264494196E-2</v>
      </c>
      <c r="AS28" s="66"/>
      <c r="AT28" s="17"/>
      <c r="AV28" s="68">
        <f t="shared" ca="1" si="4"/>
        <v>2.5</v>
      </c>
      <c r="AW28" s="14">
        <f t="shared" ca="1" si="2"/>
        <v>1.4699305208590667E-2</v>
      </c>
      <c r="AX28" s="66"/>
      <c r="AY28" s="17"/>
    </row>
    <row r="29" spans="2:52" ht="15.6" x14ac:dyDescent="0.35">
      <c r="B29" s="124" t="s">
        <v>80</v>
      </c>
      <c r="L29" s="8" t="s">
        <v>23</v>
      </c>
      <c r="M29" s="8" t="s">
        <v>4</v>
      </c>
      <c r="N29" s="53">
        <v>0.02</v>
      </c>
      <c r="O29" s="21">
        <v>1.4727580593240915E-2</v>
      </c>
      <c r="P29" s="21">
        <v>1.4735888390892569E-2</v>
      </c>
      <c r="Q29" s="21">
        <v>1.4735882796561463E-2</v>
      </c>
      <c r="R29" s="21">
        <v>1.4735882799689095E-2</v>
      </c>
      <c r="S29" s="21"/>
      <c r="T29" s="21"/>
      <c r="U29" s="21"/>
      <c r="V29" s="21"/>
      <c r="W29" s="21"/>
      <c r="X29" s="54"/>
      <c r="Z29" s="124"/>
      <c r="AA29" s="124"/>
      <c r="AQ29" s="68">
        <f t="shared" ca="1" si="3"/>
        <v>3</v>
      </c>
      <c r="AR29" s="14">
        <f t="shared" ca="1" si="1"/>
        <v>1.2510737602699116E-2</v>
      </c>
      <c r="AS29" s="74">
        <f ca="1">U10</f>
        <v>1.2510737606168054E-2</v>
      </c>
      <c r="AT29" s="17">
        <f ca="1">AS29-AR29</f>
        <v>3.468938677975153E-12</v>
      </c>
      <c r="AV29" s="68">
        <f t="shared" ca="1" si="4"/>
        <v>3</v>
      </c>
      <c r="AW29" s="14">
        <f t="shared" ca="1" si="2"/>
        <v>1.4953058962824992E-2</v>
      </c>
      <c r="AX29" s="74">
        <f ca="1">U15</f>
        <v>1.4953058966801099E-2</v>
      </c>
      <c r="AY29" s="17">
        <f ca="1">AX29-AW29</f>
        <v>3.9761076375821602E-12</v>
      </c>
    </row>
    <row r="30" spans="2:52" ht="16.2" x14ac:dyDescent="0.3">
      <c r="B30" s="124" t="s">
        <v>81</v>
      </c>
      <c r="L30" s="8" t="s">
        <v>23</v>
      </c>
      <c r="M30" s="8" t="s">
        <v>5</v>
      </c>
      <c r="N30" s="53">
        <v>0.02</v>
      </c>
      <c r="O30" s="21">
        <v>1.4945773742832453E-2</v>
      </c>
      <c r="P30" s="21">
        <v>1.4953065085211941E-2</v>
      </c>
      <c r="Q30" s="21">
        <v>1.4953058962364322E-2</v>
      </c>
      <c r="R30" s="21">
        <v>1.4953058966801099E-2</v>
      </c>
      <c r="S30" s="21"/>
      <c r="T30" s="21"/>
      <c r="U30" s="21"/>
      <c r="V30" s="21"/>
      <c r="W30" s="21"/>
      <c r="X30" s="54"/>
      <c r="Z30" s="124"/>
      <c r="AA30" s="124"/>
      <c r="AQ30" s="68">
        <f t="shared" ca="1" si="3"/>
        <v>3.5</v>
      </c>
      <c r="AR30" s="14">
        <f t="shared" ca="1" si="1"/>
        <v>1.2713193076557187E-2</v>
      </c>
      <c r="AS30" s="74"/>
      <c r="AT30" s="17"/>
      <c r="AV30" s="68">
        <f t="shared" ca="1" si="4"/>
        <v>3.5</v>
      </c>
      <c r="AW30" s="14">
        <f t="shared" ca="1" si="2"/>
        <v>1.5284636602262262E-2</v>
      </c>
      <c r="AX30" s="74"/>
      <c r="AY30" s="17"/>
    </row>
    <row r="31" spans="2:52" x14ac:dyDescent="0.3">
      <c r="L31" s="8" t="s">
        <v>23</v>
      </c>
      <c r="M31" s="8" t="s">
        <v>6</v>
      </c>
      <c r="N31" s="53">
        <v>0.02</v>
      </c>
      <c r="O31" s="21">
        <v>1.5593342017812374E-2</v>
      </c>
      <c r="P31" s="21">
        <v>1.5593438373475247E-2</v>
      </c>
      <c r="Q31" s="21">
        <v>1.5593438303362189E-2</v>
      </c>
      <c r="R31" s="21">
        <v>1.5593438303415037E-2</v>
      </c>
      <c r="S31" s="21"/>
      <c r="T31" s="21"/>
      <c r="U31" s="21"/>
      <c r="V31" s="21"/>
      <c r="W31" s="21"/>
      <c r="X31" s="54"/>
      <c r="Z31" s="124"/>
      <c r="AA31" s="124"/>
      <c r="AQ31" s="68">
        <f t="shared" ca="1" si="3"/>
        <v>4</v>
      </c>
      <c r="AR31" s="14">
        <f t="shared" ca="1" si="1"/>
        <v>1.2913035464412331E-2</v>
      </c>
      <c r="AS31" s="74">
        <f ca="1">U11</f>
        <v>1.2913035464723036E-2</v>
      </c>
      <c r="AT31" s="17">
        <f ca="1">AS31-AR31</f>
        <v>3.1070458705872994E-13</v>
      </c>
      <c r="AV31" s="68">
        <f t="shared" ca="1" si="4"/>
        <v>4</v>
      </c>
      <c r="AW31" s="14">
        <f t="shared" ca="1" si="2"/>
        <v>1.5593438304177601E-2</v>
      </c>
      <c r="AX31" s="74">
        <f ca="1">U16</f>
        <v>1.5593438303415037E-2</v>
      </c>
      <c r="AY31" s="17">
        <f ca="1">AX31-AW31</f>
        <v>-7.6256362335769268E-13</v>
      </c>
    </row>
    <row r="32" spans="2:52" x14ac:dyDescent="0.3">
      <c r="B32" s="124" t="s">
        <v>72</v>
      </c>
      <c r="L32" s="8" t="s">
        <v>23</v>
      </c>
      <c r="M32" s="8" t="s">
        <v>7</v>
      </c>
      <c r="N32" s="55">
        <v>0.02</v>
      </c>
      <c r="O32" s="56">
        <v>1.6310016913360273E-2</v>
      </c>
      <c r="P32" s="56">
        <v>1.6299850643861219E-2</v>
      </c>
      <c r="Q32" s="56">
        <v>1.6299852775177748E-2</v>
      </c>
      <c r="R32" s="56">
        <v>1.6299852772291925E-2</v>
      </c>
      <c r="S32" s="56"/>
      <c r="T32" s="56"/>
      <c r="U32" s="56"/>
      <c r="V32" s="56"/>
      <c r="W32" s="56"/>
      <c r="X32" s="57"/>
      <c r="Z32" s="124"/>
      <c r="AA32" s="124"/>
      <c r="AQ32" s="68">
        <f t="shared" ca="1" si="3"/>
        <v>4.5</v>
      </c>
      <c r="AR32" s="14">
        <f t="shared" ca="1" si="1"/>
        <v>1.324077159256587E-2</v>
      </c>
      <c r="AS32" s="74"/>
      <c r="AT32" s="17"/>
      <c r="AV32" s="68">
        <f t="shared" ca="1" si="4"/>
        <v>4.5</v>
      </c>
      <c r="AW32" s="14">
        <f t="shared" ca="1" si="2"/>
        <v>1.5890771880200244E-2</v>
      </c>
      <c r="AX32" s="74"/>
      <c r="AY32" s="17"/>
    </row>
    <row r="33" spans="2:51" x14ac:dyDescent="0.3">
      <c r="B33" s="125" t="s">
        <v>77</v>
      </c>
      <c r="AQ33" s="69">
        <f t="shared" ca="1" si="3"/>
        <v>5</v>
      </c>
      <c r="AR33" s="15">
        <f t="shared" ca="1" si="1"/>
        <v>1.397817833527662E-2</v>
      </c>
      <c r="AS33" s="75">
        <f ca="1">U12</f>
        <v>1.39781783304254E-2</v>
      </c>
      <c r="AT33" s="19">
        <f ca="1">AS33-AR33</f>
        <v>-4.8512201200612282E-12</v>
      </c>
      <c r="AV33" s="69">
        <f t="shared" ca="1" si="4"/>
        <v>5</v>
      </c>
      <c r="AW33" s="15">
        <f t="shared" ca="1" si="2"/>
        <v>1.6299852776313691E-2</v>
      </c>
      <c r="AX33" s="75">
        <f ca="1">U17</f>
        <v>1.6299852772291925E-2</v>
      </c>
      <c r="AY33" s="19">
        <f ca="1">AX33-AW33</f>
        <v>-4.0217655594698698E-12</v>
      </c>
    </row>
    <row r="34" spans="2:51" x14ac:dyDescent="0.3">
      <c r="AQ34" s="18"/>
    </row>
    <row r="35" spans="2:51" x14ac:dyDescent="0.3">
      <c r="B35" s="124" t="s">
        <v>71</v>
      </c>
      <c r="AQ35" s="18"/>
    </row>
    <row r="36" spans="2:51" x14ac:dyDescent="0.3">
      <c r="B36" s="124" t="s">
        <v>82</v>
      </c>
      <c r="AQ36" s="18"/>
    </row>
    <row r="37" spans="2:51" x14ac:dyDescent="0.3">
      <c r="B37" s="124" t="s">
        <v>83</v>
      </c>
      <c r="AQ37" s="25"/>
    </row>
    <row r="38" spans="2:51" x14ac:dyDescent="0.3">
      <c r="AQ38" s="25"/>
      <c r="AR38" s="25"/>
    </row>
    <row r="39" spans="2:51" x14ac:dyDescent="0.3">
      <c r="B39" t="s">
        <v>73</v>
      </c>
      <c r="AQ39" s="25"/>
      <c r="AR39" s="25"/>
    </row>
    <row r="40" spans="2:51" x14ac:dyDescent="0.3">
      <c r="AQ40" s="25"/>
      <c r="AR40" s="31"/>
    </row>
    <row r="42" spans="2:51" ht="16.2" x14ac:dyDescent="0.3">
      <c r="AF42" s="11" t="s">
        <v>52</v>
      </c>
      <c r="AO42" s="11" t="s">
        <v>96</v>
      </c>
    </row>
    <row r="43" spans="2:51" x14ac:dyDescent="0.3">
      <c r="AO43" s="70"/>
    </row>
    <row r="44" spans="2:51" ht="15.6" x14ac:dyDescent="0.35">
      <c r="AF44" t="s">
        <v>53</v>
      </c>
      <c r="AI44" t="s">
        <v>48</v>
      </c>
      <c r="AO44" t="s">
        <v>50</v>
      </c>
      <c r="AR44" t="s">
        <v>58</v>
      </c>
    </row>
    <row r="45" spans="2:51" x14ac:dyDescent="0.3">
      <c r="AF45" s="8" t="s">
        <v>47</v>
      </c>
      <c r="AG45" s="8" t="s">
        <v>46</v>
      </c>
      <c r="AI45" s="8">
        <v>1</v>
      </c>
      <c r="AJ45" s="8" t="s">
        <v>47</v>
      </c>
      <c r="AK45" s="8" t="s">
        <v>49</v>
      </c>
      <c r="AL45" s="8" t="s">
        <v>55</v>
      </c>
      <c r="AM45" s="8" t="s">
        <v>56</v>
      </c>
      <c r="AO45" s="8" t="s">
        <v>97</v>
      </c>
      <c r="AR45" s="8" t="s">
        <v>59</v>
      </c>
      <c r="AT45" s="77"/>
    </row>
    <row r="46" spans="2:51" x14ac:dyDescent="0.3">
      <c r="AF46" s="59">
        <f ca="1">T8</f>
        <v>1</v>
      </c>
      <c r="AG46" s="60">
        <f ca="1">V8</f>
        <v>1.43591E-2</v>
      </c>
      <c r="AI46" s="67">
        <v>1</v>
      </c>
      <c r="AJ46" s="26">
        <f t="shared" ref="AJ46:AM50" ca="1" si="5">AI46*$AF46</f>
        <v>1</v>
      </c>
      <c r="AK46" s="26">
        <f t="shared" ca="1" si="5"/>
        <v>1</v>
      </c>
      <c r="AL46" s="26">
        <f t="shared" ca="1" si="5"/>
        <v>1</v>
      </c>
      <c r="AM46" s="32">
        <f t="shared" ca="1" si="5"/>
        <v>1</v>
      </c>
      <c r="AO46" s="71">
        <f t="array" aca="1" ref="AO46:AO50" ca="1">MMULT(MMULT(MINVERSE(MMULT(TRANSPOSE(AI46:AM50),AI46:AM50)),TRANSPOSE(AI46:AM50)),AG46:AG50)</f>
        <v>2.2992773723248476E-2</v>
      </c>
      <c r="AP46" s="8">
        <v>1</v>
      </c>
      <c r="AR46" s="71">
        <f ca="1">AO46</f>
        <v>2.2992773723248476E-2</v>
      </c>
      <c r="AS46" s="8" t="s">
        <v>47</v>
      </c>
      <c r="AT46" s="30"/>
    </row>
    <row r="47" spans="2:51" x14ac:dyDescent="0.3">
      <c r="AF47" s="61">
        <f ca="1">T9</f>
        <v>2</v>
      </c>
      <c r="AG47" s="62">
        <f ca="1">V9</f>
        <v>1.2332310331489972E-2</v>
      </c>
      <c r="AI47" s="68">
        <v>1</v>
      </c>
      <c r="AJ47" s="27">
        <f t="shared" ca="1" si="5"/>
        <v>2</v>
      </c>
      <c r="AK47" s="27">
        <f t="shared" ca="1" si="5"/>
        <v>4</v>
      </c>
      <c r="AL47" s="27">
        <f t="shared" ca="1" si="5"/>
        <v>8</v>
      </c>
      <c r="AM47" s="33">
        <f t="shared" ca="1" si="5"/>
        <v>16</v>
      </c>
      <c r="AO47" s="72">
        <f ca="1"/>
        <v>-1.400941831505844E-2</v>
      </c>
      <c r="AP47" s="8" t="s">
        <v>47</v>
      </c>
      <c r="AR47" s="72">
        <f ca="1">AO47/2</f>
        <v>-7.0047091575292202E-3</v>
      </c>
      <c r="AS47" s="8" t="s">
        <v>49</v>
      </c>
      <c r="AT47" s="30"/>
    </row>
    <row r="48" spans="2:51" x14ac:dyDescent="0.3">
      <c r="AF48" s="61">
        <f ca="1">T10</f>
        <v>3</v>
      </c>
      <c r="AG48" s="62">
        <f ca="1">V10</f>
        <v>1.2510737602308161E-2</v>
      </c>
      <c r="AI48" s="68">
        <v>1</v>
      </c>
      <c r="AJ48" s="27">
        <f t="shared" ca="1" si="5"/>
        <v>3</v>
      </c>
      <c r="AK48" s="27">
        <f t="shared" ca="1" si="5"/>
        <v>9</v>
      </c>
      <c r="AL48" s="27">
        <f t="shared" ca="1" si="5"/>
        <v>27</v>
      </c>
      <c r="AM48" s="33">
        <f t="shared" ca="1" si="5"/>
        <v>81</v>
      </c>
      <c r="AO48" s="72">
        <f ca="1"/>
        <v>6.6135892707310205E-3</v>
      </c>
      <c r="AP48" s="8" t="s">
        <v>49</v>
      </c>
      <c r="AR48" s="72">
        <f ca="1">AO48/3</f>
        <v>2.2045297569103402E-3</v>
      </c>
      <c r="AS48" s="8" t="s">
        <v>55</v>
      </c>
      <c r="AT48" s="78"/>
    </row>
    <row r="49" spans="32:47" x14ac:dyDescent="0.3">
      <c r="AF49" s="61">
        <f ca="1">T11</f>
        <v>4</v>
      </c>
      <c r="AG49" s="62">
        <f ca="1">V11</f>
        <v>1.2913035463721353E-2</v>
      </c>
      <c r="AI49" s="68">
        <v>1</v>
      </c>
      <c r="AJ49" s="27">
        <f t="shared" ca="1" si="5"/>
        <v>4</v>
      </c>
      <c r="AK49" s="27">
        <f t="shared" ca="1" si="5"/>
        <v>16</v>
      </c>
      <c r="AL49" s="27">
        <f t="shared" ca="1" si="5"/>
        <v>64</v>
      </c>
      <c r="AM49" s="33">
        <f t="shared" ca="1" si="5"/>
        <v>256</v>
      </c>
      <c r="AO49" s="72">
        <f ca="1"/>
        <v>-1.3386913778390217E-3</v>
      </c>
      <c r="AP49" s="8" t="s">
        <v>55</v>
      </c>
      <c r="AR49" s="72">
        <f ca="1">AO49/4</f>
        <v>-3.3467284445975543E-4</v>
      </c>
      <c r="AS49" s="8" t="s">
        <v>56</v>
      </c>
      <c r="AT49" s="78"/>
    </row>
    <row r="50" spans="32:47" x14ac:dyDescent="0.3">
      <c r="AF50" s="63">
        <f ca="1">T12</f>
        <v>5</v>
      </c>
      <c r="AG50" s="64">
        <f ca="1">V12</f>
        <v>1.3978178334311966E-2</v>
      </c>
      <c r="AI50" s="69">
        <v>1</v>
      </c>
      <c r="AJ50" s="28">
        <f t="shared" ca="1" si="5"/>
        <v>5</v>
      </c>
      <c r="AK50" s="28">
        <f t="shared" ca="1" si="5"/>
        <v>25</v>
      </c>
      <c r="AL50" s="28">
        <f t="shared" ca="1" si="5"/>
        <v>125</v>
      </c>
      <c r="AM50" s="34">
        <f t="shared" ca="1" si="5"/>
        <v>625</v>
      </c>
      <c r="AO50" s="73">
        <f ca="1"/>
        <v>1.0084669863827606E-4</v>
      </c>
      <c r="AP50" s="8" t="s">
        <v>56</v>
      </c>
      <c r="AR50" s="73">
        <f ca="1">AO50/5</f>
        <v>2.016933972765521E-5</v>
      </c>
      <c r="AS50" s="8" t="s">
        <v>57</v>
      </c>
      <c r="AT50" s="78"/>
      <c r="AU50" s="76"/>
    </row>
    <row r="52" spans="32:47" ht="15.6" x14ac:dyDescent="0.35">
      <c r="AF52" t="s">
        <v>54</v>
      </c>
      <c r="AI52" t="s">
        <v>48</v>
      </c>
      <c r="AO52" t="s">
        <v>50</v>
      </c>
      <c r="AR52" t="s">
        <v>58</v>
      </c>
    </row>
    <row r="53" spans="32:47" x14ac:dyDescent="0.3">
      <c r="AF53" s="8" t="s">
        <v>47</v>
      </c>
      <c r="AG53" s="8" t="s">
        <v>46</v>
      </c>
      <c r="AI53" s="8">
        <v>1</v>
      </c>
      <c r="AJ53" s="8" t="s">
        <v>47</v>
      </c>
      <c r="AK53" s="8" t="s">
        <v>49</v>
      </c>
      <c r="AL53" s="8" t="s">
        <v>55</v>
      </c>
      <c r="AM53" s="8" t="s">
        <v>56</v>
      </c>
      <c r="AO53" s="8" t="s">
        <v>51</v>
      </c>
      <c r="AR53" s="8" t="s">
        <v>59</v>
      </c>
    </row>
    <row r="54" spans="32:47" x14ac:dyDescent="0.3">
      <c r="AF54" s="59">
        <f ca="1">T13</f>
        <v>1</v>
      </c>
      <c r="AG54" s="60">
        <f ca="1">V13</f>
        <v>1.70896E-2</v>
      </c>
      <c r="AI54" s="67">
        <v>1</v>
      </c>
      <c r="AJ54" s="26">
        <f t="shared" ref="AJ54:AM58" ca="1" si="6">AI54*$AF54</f>
        <v>1</v>
      </c>
      <c r="AK54" s="26">
        <f t="shared" ca="1" si="6"/>
        <v>1</v>
      </c>
      <c r="AL54" s="26">
        <f t="shared" ca="1" si="6"/>
        <v>1</v>
      </c>
      <c r="AM54" s="32">
        <f t="shared" ca="1" si="6"/>
        <v>1</v>
      </c>
      <c r="AO54" s="71">
        <f t="array" aca="1" ref="AO54:AO58" ca="1">MMULT(MMULT(MINVERSE(MMULT(TRANSPOSE(AI54:AM58),AI54:AM58)),TRANSPOSE(AI54:AM58)),AG54:AG58)</f>
        <v>2.5952422915628808E-2</v>
      </c>
      <c r="AP54" s="8">
        <v>1</v>
      </c>
      <c r="AR54" s="71">
        <f ca="1">AO54</f>
        <v>2.5952422915628808E-2</v>
      </c>
      <c r="AS54" s="8" t="s">
        <v>47</v>
      </c>
    </row>
    <row r="55" spans="32:47" x14ac:dyDescent="0.3">
      <c r="AF55" s="61">
        <f ca="1">T14</f>
        <v>2</v>
      </c>
      <c r="AG55" s="62">
        <f ca="1">V14</f>
        <v>1.4735882796561463E-2</v>
      </c>
      <c r="AI55" s="68">
        <v>1</v>
      </c>
      <c r="AJ55" s="27">
        <f t="shared" ca="1" si="6"/>
        <v>2</v>
      </c>
      <c r="AK55" s="27">
        <f t="shared" ca="1" si="6"/>
        <v>4</v>
      </c>
      <c r="AL55" s="27">
        <f t="shared" ca="1" si="6"/>
        <v>8</v>
      </c>
      <c r="AM55" s="33">
        <f t="shared" ca="1" si="6"/>
        <v>16</v>
      </c>
      <c r="AO55" s="72">
        <f ca="1"/>
        <v>-1.3877743757749736E-2</v>
      </c>
      <c r="AP55" s="8" t="s">
        <v>47</v>
      </c>
      <c r="AR55" s="72">
        <f ca="1">AO55/2</f>
        <v>-6.9388718788748679E-3</v>
      </c>
      <c r="AS55" s="8" t="s">
        <v>49</v>
      </c>
    </row>
    <row r="56" spans="32:47" x14ac:dyDescent="0.3">
      <c r="AF56" s="61">
        <f ca="1">T15</f>
        <v>3</v>
      </c>
      <c r="AG56" s="62">
        <f ca="1">V15</f>
        <v>1.4953058962364322E-2</v>
      </c>
      <c r="AI56" s="68">
        <v>1</v>
      </c>
      <c r="AJ56" s="27">
        <f t="shared" ca="1" si="6"/>
        <v>3</v>
      </c>
      <c r="AK56" s="27">
        <f t="shared" ca="1" si="6"/>
        <v>9</v>
      </c>
      <c r="AL56" s="27">
        <f t="shared" ca="1" si="6"/>
        <v>27</v>
      </c>
      <c r="AM56" s="33">
        <f t="shared" ca="1" si="6"/>
        <v>81</v>
      </c>
      <c r="AO56" s="72">
        <f ca="1"/>
        <v>6.0443150135884825E-3</v>
      </c>
      <c r="AP56" s="8" t="s">
        <v>49</v>
      </c>
      <c r="AR56" s="72">
        <f ca="1">AO56/3</f>
        <v>2.014771671196161E-3</v>
      </c>
      <c r="AS56" s="8" t="s">
        <v>55</v>
      </c>
    </row>
    <row r="57" spans="32:47" x14ac:dyDescent="0.3">
      <c r="AF57" s="61">
        <f ca="1">T16</f>
        <v>4</v>
      </c>
      <c r="AG57" s="62">
        <f ca="1">V16</f>
        <v>1.5593438303362189E-2</v>
      </c>
      <c r="AI57" s="68">
        <v>1</v>
      </c>
      <c r="AJ57" s="27">
        <f t="shared" ca="1" si="6"/>
        <v>4</v>
      </c>
      <c r="AK57" s="27">
        <f t="shared" ca="1" si="6"/>
        <v>16</v>
      </c>
      <c r="AL57" s="27">
        <f t="shared" ca="1" si="6"/>
        <v>64</v>
      </c>
      <c r="AM57" s="33">
        <f t="shared" ca="1" si="6"/>
        <v>256</v>
      </c>
      <c r="AO57" s="72">
        <f ca="1"/>
        <v>-1.1039992613695246E-3</v>
      </c>
      <c r="AP57" s="8" t="s">
        <v>55</v>
      </c>
      <c r="AR57" s="72">
        <f ca="1">AO57/4</f>
        <v>-2.7599981534238115E-4</v>
      </c>
      <c r="AS57" s="8" t="s">
        <v>56</v>
      </c>
    </row>
    <row r="58" spans="32:47" x14ac:dyDescent="0.3">
      <c r="AF58" s="63">
        <f ca="1">T17</f>
        <v>5</v>
      </c>
      <c r="AG58" s="64">
        <f ca="1">V17</f>
        <v>1.6299852775177748E-2</v>
      </c>
      <c r="AI58" s="69">
        <v>1</v>
      </c>
      <c r="AJ58" s="28">
        <f t="shared" ca="1" si="6"/>
        <v>5</v>
      </c>
      <c r="AK58" s="28">
        <f t="shared" ca="1" si="6"/>
        <v>25</v>
      </c>
      <c r="AL58" s="28">
        <f t="shared" ca="1" si="6"/>
        <v>125</v>
      </c>
      <c r="AM58" s="34">
        <f t="shared" ca="1" si="6"/>
        <v>625</v>
      </c>
      <c r="AO58" s="73">
        <f ca="1"/>
        <v>7.460508956945932E-5</v>
      </c>
      <c r="AP58" s="8" t="s">
        <v>56</v>
      </c>
      <c r="AR58" s="73">
        <f ca="1">AO58/5</f>
        <v>1.4921017913891865E-5</v>
      </c>
      <c r="AS58" s="8" t="s">
        <v>57</v>
      </c>
    </row>
    <row r="60" spans="32:47" x14ac:dyDescent="0.3">
      <c r="AF60" s="11" t="s">
        <v>52</v>
      </c>
    </row>
  </sheetData>
  <dataValidations count="1">
    <dataValidation type="list" allowBlank="1" showInputMessage="1" showErrorMessage="1" sqref="AA20" xr:uid="{00000000-0002-0000-0000-000000000000}">
      <formula1>"TRUE,FALSE"</formula1>
    </dataValidation>
  </dataValidations>
  <pageMargins left="0.7" right="0.7" top="0.75" bottom="0.75" header="0.3" footer="0.3"/>
  <pageSetup paperSize="9" orientation="portrait" r:id="rId1"/>
  <ignoredErrors>
    <ignoredError sqref="X10 X9 X11:X12 X14:X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pdateSolverIteration">
                <anchor moveWithCells="1" sizeWithCells="1">
                  <from>
                    <xdr:col>26</xdr:col>
                    <xdr:colOff>0</xdr:colOff>
                    <xdr:row>12</xdr:row>
                    <xdr:rowOff>144780</xdr:rowOff>
                  </from>
                  <to>
                    <xdr:col>28</xdr:col>
                    <xdr:colOff>129540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P55"/>
  <sheetViews>
    <sheetView showGridLines="0" workbookViewId="0"/>
  </sheetViews>
  <sheetFormatPr defaultRowHeight="14.4" x14ac:dyDescent="0.3"/>
  <cols>
    <col min="2" max="2" width="10" customWidth="1"/>
    <col min="3" max="3" width="10.109375" bestFit="1" customWidth="1"/>
    <col min="4" max="4" width="12.109375" bestFit="1" customWidth="1"/>
    <col min="5" max="5" width="8.33203125" customWidth="1"/>
    <col min="10" max="10" width="9.109375" customWidth="1"/>
    <col min="11" max="11" width="13.6640625" customWidth="1"/>
    <col min="12" max="16" width="11.5546875" customWidth="1"/>
  </cols>
  <sheetData>
    <row r="2" spans="2:16" ht="18" x14ac:dyDescent="0.3">
      <c r="B2" s="9" t="s">
        <v>174</v>
      </c>
      <c r="G2" s="213" t="s">
        <v>162</v>
      </c>
      <c r="K2" s="11" t="s">
        <v>180</v>
      </c>
    </row>
    <row r="3" spans="2:16" ht="18" x14ac:dyDescent="0.3">
      <c r="B3" s="10" t="s">
        <v>179</v>
      </c>
      <c r="K3" t="s">
        <v>181</v>
      </c>
    </row>
    <row r="4" spans="2:16" ht="18" x14ac:dyDescent="0.3">
      <c r="B4" s="10"/>
    </row>
    <row r="5" spans="2:16" ht="16.2" x14ac:dyDescent="0.3">
      <c r="B5" s="58" t="s">
        <v>171</v>
      </c>
      <c r="C5" s="58" t="s">
        <v>9</v>
      </c>
      <c r="D5" s="58" t="s">
        <v>218</v>
      </c>
      <c r="E5" s="174" t="s">
        <v>178</v>
      </c>
      <c r="G5" s="173" t="s">
        <v>187</v>
      </c>
      <c r="H5" s="58"/>
      <c r="K5" s="213" t="s">
        <v>223</v>
      </c>
      <c r="L5" s="8" t="s">
        <v>120</v>
      </c>
      <c r="M5" s="8" t="s">
        <v>121</v>
      </c>
      <c r="N5" s="8" t="s">
        <v>122</v>
      </c>
      <c r="O5" s="8" t="s">
        <v>123</v>
      </c>
      <c r="P5" s="8" t="s">
        <v>124</v>
      </c>
    </row>
    <row r="6" spans="2:16" ht="15.6" x14ac:dyDescent="0.3">
      <c r="B6" s="36" t="s">
        <v>142</v>
      </c>
      <c r="C6" s="206">
        <f t="array" aca="1" ref="C6:C10" ca="1">MMULT(L6:P10,G6:G10)</f>
        <v>1E-4</v>
      </c>
      <c r="D6" s="207">
        <f ca="1">N14*1000000</f>
        <v>982280.77410510939</v>
      </c>
      <c r="E6" s="208">
        <f ca="1">C6*D6</f>
        <v>98.228077410510949</v>
      </c>
      <c r="G6" s="170">
        <v>1E-4</v>
      </c>
      <c r="H6" s="58"/>
      <c r="K6" s="8" t="s">
        <v>109</v>
      </c>
      <c r="L6" s="191">
        <f ca="1">'Solve USD Curve'!AK13</f>
        <v>1</v>
      </c>
      <c r="M6" s="131">
        <f ca="1">'Solve USD Curve'!AL13</f>
        <v>0</v>
      </c>
      <c r="N6" s="131">
        <f ca="1">'Solve USD Curve'!AM13</f>
        <v>0</v>
      </c>
      <c r="O6" s="131">
        <f ca="1">'Solve USD Curve'!AN13</f>
        <v>0</v>
      </c>
      <c r="P6" s="132">
        <f ca="1">'Solve USD Curve'!AO13</f>
        <v>0</v>
      </c>
    </row>
    <row r="7" spans="2:16" ht="15.6" x14ac:dyDescent="0.3">
      <c r="B7" s="38" t="s">
        <v>143</v>
      </c>
      <c r="C7" s="205">
        <f ca="1"/>
        <v>1E-4</v>
      </c>
      <c r="D7" s="184">
        <f ca="1">N15*1000000</f>
        <v>1951859.5027062986</v>
      </c>
      <c r="E7" s="209">
        <f ca="1">C7*D7</f>
        <v>195.18595027062986</v>
      </c>
      <c r="G7" s="171">
        <v>1E-4</v>
      </c>
      <c r="H7" s="58"/>
      <c r="K7" s="8" t="s">
        <v>110</v>
      </c>
      <c r="L7" s="192">
        <f ca="1">'Solve USD Curve'!AK14</f>
        <v>0.50325383191933348</v>
      </c>
      <c r="M7" s="193">
        <f ca="1">'Solve USD Curve'!AL14</f>
        <v>0.49674616808066646</v>
      </c>
      <c r="N7" s="128">
        <f ca="1">'Solve USD Curve'!AM14</f>
        <v>0</v>
      </c>
      <c r="O7" s="128">
        <f ca="1">'Solve USD Curve'!AN14</f>
        <v>0</v>
      </c>
      <c r="P7" s="133">
        <f ca="1">'Solve USD Curve'!AO14</f>
        <v>0</v>
      </c>
    </row>
    <row r="8" spans="2:16" ht="15.6" x14ac:dyDescent="0.3">
      <c r="B8" s="38" t="s">
        <v>144</v>
      </c>
      <c r="C8" s="205">
        <f ca="1"/>
        <v>9.9999999999999991E-5</v>
      </c>
      <c r="D8" s="184">
        <f ca="1">N16*1000000</f>
        <v>2909530.5912460275</v>
      </c>
      <c r="E8" s="209">
        <f ca="1">C8*D8</f>
        <v>290.9530591246027</v>
      </c>
      <c r="G8" s="171">
        <v>1E-4</v>
      </c>
      <c r="H8" s="58"/>
      <c r="K8" s="8" t="s">
        <v>111</v>
      </c>
      <c r="L8" s="192">
        <f ca="1">'Solve USD Curve'!AK15</f>
        <v>0.33760798977694906</v>
      </c>
      <c r="M8" s="193">
        <f ca="1">'Solve USD Curve'!AL15</f>
        <v>0.33324232146531929</v>
      </c>
      <c r="N8" s="193">
        <f ca="1">'Solve USD Curve'!AM15</f>
        <v>0.32914968875773154</v>
      </c>
      <c r="O8" s="128">
        <f ca="1">'Solve USD Curve'!AN15</f>
        <v>0</v>
      </c>
      <c r="P8" s="133">
        <f ca="1">'Solve USD Curve'!AO15</f>
        <v>0</v>
      </c>
    </row>
    <row r="9" spans="2:16" ht="15.6" x14ac:dyDescent="0.3">
      <c r="B9" s="38" t="s">
        <v>145</v>
      </c>
      <c r="C9" s="205">
        <f ca="1"/>
        <v>9.9999999999999991E-5</v>
      </c>
      <c r="D9" s="184">
        <f ca="1">N17*1000000</f>
        <v>3855104.8937957068</v>
      </c>
      <c r="E9" s="209">
        <f ca="1">C9*D9</f>
        <v>385.51048937957063</v>
      </c>
      <c r="G9" s="171">
        <v>1E-4</v>
      </c>
      <c r="H9" s="58"/>
      <c r="K9" s="8" t="s">
        <v>112</v>
      </c>
      <c r="L9" s="192">
        <f ca="1">'Solve USD Curve'!AK16</f>
        <v>0.25480001223467702</v>
      </c>
      <c r="M9" s="193">
        <f ca="1">'Solve USD Curve'!AL16</f>
        <v>0.25150514844916433</v>
      </c>
      <c r="N9" s="193">
        <f ca="1">'Solve USD Curve'!AM16</f>
        <v>0.24841635050734326</v>
      </c>
      <c r="O9" s="193">
        <f ca="1">'Solve USD Curve'!AN16</f>
        <v>0.24527848880881523</v>
      </c>
      <c r="P9" s="133">
        <f ca="1">'Solve USD Curve'!AO16</f>
        <v>0</v>
      </c>
    </row>
    <row r="10" spans="2:16" ht="16.2" x14ac:dyDescent="0.3">
      <c r="B10" s="40" t="s">
        <v>146</v>
      </c>
      <c r="C10" s="210">
        <f ca="1"/>
        <v>9.9999999999999991E-5</v>
      </c>
      <c r="D10" s="211">
        <f ca="1">N18*1000000</f>
        <v>4788178.6596742915</v>
      </c>
      <c r="E10" s="212">
        <f ca="1">C10*D10</f>
        <v>478.8178659674291</v>
      </c>
      <c r="F10" s="204">
        <v>4</v>
      </c>
      <c r="G10" s="172">
        <v>1E-4</v>
      </c>
      <c r="H10" s="58"/>
      <c r="K10" s="8" t="s">
        <v>113</v>
      </c>
      <c r="L10" s="194">
        <f ca="1">'Solve USD Curve'!AK17</f>
        <v>0.20514705985760515</v>
      </c>
      <c r="M10" s="195">
        <f ca="1">'Solve USD Curve'!AL17</f>
        <v>0.20249426713479049</v>
      </c>
      <c r="N10" s="195">
        <f ca="1">'Solve USD Curve'!AM17</f>
        <v>0.20000738414486663</v>
      </c>
      <c r="O10" s="195">
        <f ca="1">'Solve USD Curve'!AN17</f>
        <v>0.19748099846675318</v>
      </c>
      <c r="P10" s="196">
        <f ca="1">'Solve USD Curve'!AO17</f>
        <v>0.19487029039598447</v>
      </c>
    </row>
    <row r="11" spans="2:16" x14ac:dyDescent="0.3">
      <c r="G11" s="58"/>
      <c r="H11" s="58"/>
    </row>
    <row r="12" spans="2:16" x14ac:dyDescent="0.3">
      <c r="G12" s="58"/>
      <c r="H12" s="58"/>
    </row>
    <row r="13" spans="2:16" ht="16.2" x14ac:dyDescent="0.35">
      <c r="B13" s="176" t="s">
        <v>138</v>
      </c>
      <c r="G13" s="58"/>
      <c r="H13" s="58"/>
      <c r="K13" s="8" t="s">
        <v>67</v>
      </c>
      <c r="L13" t="s">
        <v>192</v>
      </c>
      <c r="M13" s="8" t="s">
        <v>193</v>
      </c>
      <c r="N13" s="7" t="s">
        <v>219</v>
      </c>
      <c r="O13" s="7" t="s">
        <v>176</v>
      </c>
      <c r="P13" s="7" t="s">
        <v>220</v>
      </c>
    </row>
    <row r="14" spans="2:16" ht="16.2" x14ac:dyDescent="0.3">
      <c r="B14" s="175" t="s">
        <v>217</v>
      </c>
      <c r="G14" s="58"/>
      <c r="H14" s="58"/>
      <c r="K14" s="197">
        <v>1</v>
      </c>
      <c r="L14" s="178">
        <v>1</v>
      </c>
      <c r="M14" s="179">
        <f ca="1">'Solve USD Curve'!AB8</f>
        <v>0.98228077410510939</v>
      </c>
      <c r="N14" s="180">
        <f ca="1">SUMPRODUCT($L$14:L14,$M$14:M14)</f>
        <v>0.98228077410510939</v>
      </c>
      <c r="O14" s="181">
        <v>1000000</v>
      </c>
      <c r="P14" s="182">
        <f ca="1">N14*O14</f>
        <v>982280.77410510939</v>
      </c>
    </row>
    <row r="15" spans="2:16" ht="16.2" x14ac:dyDescent="0.3">
      <c r="B15" t="s">
        <v>182</v>
      </c>
      <c r="G15" s="58"/>
      <c r="H15" s="58"/>
      <c r="K15" s="197">
        <v>2</v>
      </c>
      <c r="L15" s="128">
        <v>1</v>
      </c>
      <c r="M15" s="177">
        <f ca="1">'Solve USD Curve'!AB9</f>
        <v>0.9695787286011891</v>
      </c>
      <c r="N15" s="183">
        <f ca="1">SUMPRODUCT($L$14:L15,$M$14:M15)</f>
        <v>1.9518595027062986</v>
      </c>
      <c r="O15" s="184">
        <v>1000000</v>
      </c>
      <c r="P15" s="185">
        <f ca="1">N15*O15</f>
        <v>1951859.5027062986</v>
      </c>
    </row>
    <row r="16" spans="2:16" ht="16.2" x14ac:dyDescent="0.3">
      <c r="B16" t="s">
        <v>186</v>
      </c>
      <c r="G16" s="58"/>
      <c r="H16" s="58"/>
      <c r="K16" s="197">
        <v>3</v>
      </c>
      <c r="L16" s="128">
        <v>1</v>
      </c>
      <c r="M16" s="177">
        <f ca="1">'Solve USD Curve'!AB10</f>
        <v>0.9576710885397286</v>
      </c>
      <c r="N16" s="183">
        <f ca="1">SUMPRODUCT($L$14:L16,$M$14:M16)</f>
        <v>2.9095305912460274</v>
      </c>
      <c r="O16" s="184">
        <v>1000000</v>
      </c>
      <c r="P16" s="185">
        <f ca="1">N16*O16</f>
        <v>2909530.5912460275</v>
      </c>
    </row>
    <row r="17" spans="2:16" ht="16.2" x14ac:dyDescent="0.3">
      <c r="B17" t="s">
        <v>189</v>
      </c>
      <c r="G17" s="58"/>
      <c r="H17" s="58"/>
      <c r="K17" s="197">
        <v>4</v>
      </c>
      <c r="L17" s="128">
        <v>1</v>
      </c>
      <c r="M17" s="177">
        <f ca="1">'Solve USD Curve'!AB11</f>
        <v>0.945574302549679</v>
      </c>
      <c r="N17" s="183">
        <f ca="1">SUMPRODUCT($L$14:L17,$M$14:M17)</f>
        <v>3.8551048937957066</v>
      </c>
      <c r="O17" s="184">
        <v>1000000</v>
      </c>
      <c r="P17" s="185">
        <f ca="1">N17*O17</f>
        <v>3855104.8937957068</v>
      </c>
    </row>
    <row r="18" spans="2:16" ht="16.2" x14ac:dyDescent="0.3">
      <c r="B18" t="s">
        <v>221</v>
      </c>
      <c r="K18" s="197">
        <v>5</v>
      </c>
      <c r="L18" s="186">
        <v>1</v>
      </c>
      <c r="M18" s="187">
        <f ca="1">'Solve USD Curve'!AB12</f>
        <v>0.93307376587858482</v>
      </c>
      <c r="N18" s="188">
        <f ca="1">SUMPRODUCT($L$14:L18,$M$14:M18)</f>
        <v>4.7881786596742915</v>
      </c>
      <c r="O18" s="189">
        <v>1000000</v>
      </c>
      <c r="P18" s="190">
        <f ca="1">N18*O18</f>
        <v>4788178.6596742915</v>
      </c>
    </row>
    <row r="21" spans="2:16" x14ac:dyDescent="0.3">
      <c r="B21" s="123" t="s">
        <v>194</v>
      </c>
    </row>
    <row r="53" spans="2:3" x14ac:dyDescent="0.3">
      <c r="B53" s="4" t="s">
        <v>188</v>
      </c>
    </row>
    <row r="54" spans="2:3" x14ac:dyDescent="0.3">
      <c r="B54" t="s">
        <v>177</v>
      </c>
      <c r="C54" t="s">
        <v>190</v>
      </c>
    </row>
    <row r="55" spans="2:3" x14ac:dyDescent="0.3">
      <c r="B55" t="s">
        <v>175</v>
      </c>
      <c r="C55" t="s">
        <v>191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AC31"/>
  <sheetViews>
    <sheetView showGridLines="0" workbookViewId="0"/>
  </sheetViews>
  <sheetFormatPr defaultRowHeight="14.4" x14ac:dyDescent="0.3"/>
  <cols>
    <col min="2" max="2" width="4.6640625" customWidth="1"/>
    <col min="3" max="4" width="9.88671875" customWidth="1"/>
    <col min="5" max="5" width="9.109375" customWidth="1"/>
    <col min="6" max="6" width="9.88671875" bestFit="1" customWidth="1"/>
    <col min="7" max="7" width="4.6640625" customWidth="1"/>
    <col min="8" max="8" width="5.88671875" bestFit="1" customWidth="1"/>
    <col min="9" max="9" width="9.5546875" customWidth="1"/>
    <col min="10" max="10" width="4.6640625" customWidth="1"/>
    <col min="11" max="11" width="5.88671875" bestFit="1" customWidth="1"/>
    <col min="12" max="12" width="9" customWidth="1"/>
    <col min="13" max="14" width="5.6640625" customWidth="1"/>
    <col min="15" max="15" width="9.33203125" customWidth="1"/>
    <col min="16" max="27" width="5.6640625" customWidth="1"/>
    <col min="28" max="28" width="4.6640625" customWidth="1"/>
  </cols>
  <sheetData>
    <row r="2" spans="2:29" ht="18" x14ac:dyDescent="0.3">
      <c r="F2" s="9" t="s">
        <v>170</v>
      </c>
    </row>
    <row r="3" spans="2:29" ht="20.399999999999999" x14ac:dyDescent="0.3">
      <c r="E3" s="8"/>
      <c r="F3" s="10" t="s">
        <v>212</v>
      </c>
    </row>
    <row r="5" spans="2:29" ht="16.2" x14ac:dyDescent="0.3">
      <c r="C5" s="11" t="s">
        <v>130</v>
      </c>
      <c r="D5" s="11"/>
      <c r="F5" s="11" t="s">
        <v>130</v>
      </c>
      <c r="I5" s="213" t="s">
        <v>131</v>
      </c>
      <c r="J5" s="11"/>
      <c r="L5" s="213" t="s">
        <v>163</v>
      </c>
      <c r="M5" s="11"/>
      <c r="O5" s="213" t="s">
        <v>162</v>
      </c>
      <c r="R5" s="11" t="s">
        <v>137</v>
      </c>
    </row>
    <row r="6" spans="2:29" ht="16.2" x14ac:dyDescent="0.3">
      <c r="C6" s="5" t="s">
        <v>135</v>
      </c>
      <c r="D6" s="5"/>
      <c r="F6" s="5" t="s">
        <v>136</v>
      </c>
      <c r="I6" s="11"/>
      <c r="L6" s="258" t="s">
        <v>210</v>
      </c>
      <c r="M6" s="11"/>
      <c r="O6" s="8" t="s">
        <v>195</v>
      </c>
      <c r="R6" t="s">
        <v>164</v>
      </c>
    </row>
    <row r="7" spans="2:29" x14ac:dyDescent="0.3">
      <c r="O7" s="8" t="s">
        <v>169</v>
      </c>
    </row>
    <row r="8" spans="2:29" x14ac:dyDescent="0.3">
      <c r="C8" s="11"/>
      <c r="D8" s="11"/>
      <c r="F8" s="11"/>
      <c r="I8" s="11"/>
      <c r="L8" s="11"/>
      <c r="M8" s="11"/>
      <c r="R8" s="11" t="s">
        <v>132</v>
      </c>
    </row>
    <row r="9" spans="2:29" ht="16.2" x14ac:dyDescent="0.35">
      <c r="C9" t="s">
        <v>208</v>
      </c>
      <c r="D9" s="12" t="s">
        <v>14</v>
      </c>
      <c r="F9" t="s">
        <v>208</v>
      </c>
      <c r="I9" s="8" t="s">
        <v>209</v>
      </c>
      <c r="J9" s="8"/>
      <c r="L9" s="8" t="s">
        <v>166</v>
      </c>
      <c r="O9" s="8" t="s">
        <v>165</v>
      </c>
      <c r="P9" s="219"/>
      <c r="R9" s="164" t="s">
        <v>199</v>
      </c>
      <c r="S9" s="164" t="s">
        <v>198</v>
      </c>
      <c r="T9" s="164" t="s">
        <v>200</v>
      </c>
      <c r="U9" s="164" t="s">
        <v>201</v>
      </c>
      <c r="V9" s="164" t="s">
        <v>202</v>
      </c>
      <c r="W9" s="165" t="s">
        <v>203</v>
      </c>
      <c r="X9" s="164" t="s">
        <v>204</v>
      </c>
      <c r="Y9" s="164" t="s">
        <v>205</v>
      </c>
      <c r="Z9" s="164" t="s">
        <v>206</v>
      </c>
      <c r="AA9" s="164" t="s">
        <v>207</v>
      </c>
      <c r="AC9" s="219" t="s">
        <v>134</v>
      </c>
    </row>
    <row r="10" spans="2:29" ht="15.6" x14ac:dyDescent="0.3">
      <c r="B10" s="164" t="s">
        <v>152</v>
      </c>
      <c r="C10" s="151">
        <f ca="1">'Shifted USD Curve'!U8</f>
        <v>1.4459099999999999E-2</v>
      </c>
      <c r="D10" s="239">
        <f t="shared" ref="D10:D19" ca="1" si="0">F10-C10</f>
        <v>0</v>
      </c>
      <c r="E10" s="166" t="s">
        <v>152</v>
      </c>
      <c r="F10" s="215">
        <f t="shared" ref="F10:F19" ca="1" si="1">I10+O10</f>
        <v>1.4459099999999999E-2</v>
      </c>
      <c r="H10" s="166" t="s">
        <v>152</v>
      </c>
      <c r="I10" s="151">
        <f ca="1">'Solve USD Curve'!U8</f>
        <v>1.43591E-2</v>
      </c>
      <c r="J10" s="8"/>
      <c r="K10" s="8" t="s">
        <v>140</v>
      </c>
      <c r="L10" s="144">
        <v>1</v>
      </c>
      <c r="M10" s="149"/>
      <c r="N10" s="164" t="s">
        <v>152</v>
      </c>
      <c r="O10" s="228">
        <f t="array" aca="1" ref="O10:O19" ca="1">MMULT(R10:AA19,AC10:AC19)</f>
        <v>1E-4</v>
      </c>
      <c r="P10" s="220"/>
      <c r="Q10" s="166" t="s">
        <v>152</v>
      </c>
      <c r="R10" s="147">
        <f ca="1">'Solve USD Curve'!AQ8</f>
        <v>1</v>
      </c>
      <c r="S10" s="131">
        <f ca="1">'Solve USD Curve'!AR8</f>
        <v>0</v>
      </c>
      <c r="T10" s="131">
        <f ca="1">'Solve USD Curve'!AS8</f>
        <v>0</v>
      </c>
      <c r="U10" s="131">
        <f ca="1">'Solve USD Curve'!AT8</f>
        <v>0</v>
      </c>
      <c r="V10" s="159">
        <f ca="1">'Solve USD Curve'!AU8</f>
        <v>0</v>
      </c>
      <c r="W10" s="131">
        <f ca="1">'Solve USD Curve'!AV8</f>
        <v>0</v>
      </c>
      <c r="X10" s="131">
        <f ca="1">'Solve USD Curve'!AW8</f>
        <v>0</v>
      </c>
      <c r="Y10" s="131">
        <f ca="1">'Solve USD Curve'!AX8</f>
        <v>0</v>
      </c>
      <c r="Z10" s="131">
        <f ca="1">'Solve USD Curve'!AY8</f>
        <v>0</v>
      </c>
      <c r="AA10" s="132">
        <f ca="1">'Solve USD Curve'!AZ8</f>
        <v>0</v>
      </c>
      <c r="AC10" s="220">
        <f t="shared" ref="AC10:AC19" ca="1" si="2">L10/10000</f>
        <v>1E-4</v>
      </c>
    </row>
    <row r="11" spans="2:29" ht="15.6" x14ac:dyDescent="0.3">
      <c r="B11" s="164" t="s">
        <v>153</v>
      </c>
      <c r="C11" s="152">
        <f ca="1">'Shifted USD Curve'!U9</f>
        <v>1.2432208400524256E-2</v>
      </c>
      <c r="D11" s="239">
        <f t="shared" ca="1" si="0"/>
        <v>1.0193365892335882E-7</v>
      </c>
      <c r="E11" s="166" t="s">
        <v>153</v>
      </c>
      <c r="F11" s="216">
        <f t="shared" ca="1" si="1"/>
        <v>1.243231033418318E-2</v>
      </c>
      <c r="H11" s="166" t="s">
        <v>153</v>
      </c>
      <c r="I11" s="152">
        <f ca="1">'Solve USD Curve'!U9</f>
        <v>1.233231033418318E-2</v>
      </c>
      <c r="J11" s="8"/>
      <c r="K11" s="8" t="s">
        <v>141</v>
      </c>
      <c r="L11" s="145">
        <v>1</v>
      </c>
      <c r="M11" s="149"/>
      <c r="N11" s="164" t="s">
        <v>153</v>
      </c>
      <c r="O11" s="229">
        <f ca="1"/>
        <v>1.0000000000000002E-4</v>
      </c>
      <c r="P11" s="220"/>
      <c r="Q11" s="166" t="s">
        <v>153</v>
      </c>
      <c r="R11" s="127">
        <f ca="1">'Solve USD Curve'!AQ9</f>
        <v>-1.013100581860171</v>
      </c>
      <c r="S11" s="128">
        <f ca="1">'Solve USD Curve'!AR9</f>
        <v>2.0131005818601713</v>
      </c>
      <c r="T11" s="128">
        <f ca="1">'Solve USD Curve'!AS9</f>
        <v>0</v>
      </c>
      <c r="U11" s="128">
        <f ca="1">'Solve USD Curve'!AT9</f>
        <v>0</v>
      </c>
      <c r="V11" s="160">
        <f ca="1">'Solve USD Curve'!AU9</f>
        <v>0</v>
      </c>
      <c r="W11" s="128">
        <f ca="1">'Solve USD Curve'!AV9</f>
        <v>0</v>
      </c>
      <c r="X11" s="128">
        <f ca="1">'Solve USD Curve'!AW9</f>
        <v>0</v>
      </c>
      <c r="Y11" s="128">
        <f ca="1">'Solve USD Curve'!AX9</f>
        <v>0</v>
      </c>
      <c r="Z11" s="128">
        <f ca="1">'Solve USD Curve'!AY9</f>
        <v>0</v>
      </c>
      <c r="AA11" s="133">
        <f ca="1">'Solve USD Curve'!AZ9</f>
        <v>0</v>
      </c>
      <c r="AC11" s="220">
        <f t="shared" ca="1" si="2"/>
        <v>1E-4</v>
      </c>
    </row>
    <row r="12" spans="2:29" ht="15.6" x14ac:dyDescent="0.3">
      <c r="B12" s="164" t="s">
        <v>154</v>
      </c>
      <c r="C12" s="152">
        <f ca="1">'Shifted USD Curve'!U10</f>
        <v>1.2610652805549894E-2</v>
      </c>
      <c r="D12" s="239">
        <f t="shared" ca="1" si="0"/>
        <v>8.4800618159464047E-8</v>
      </c>
      <c r="E12" s="166" t="s">
        <v>154</v>
      </c>
      <c r="F12" s="216">
        <f t="shared" ca="1" si="1"/>
        <v>1.2610737606168054E-2</v>
      </c>
      <c r="H12" s="166" t="s">
        <v>154</v>
      </c>
      <c r="I12" s="152">
        <f ca="1">'Solve USD Curve'!U10</f>
        <v>1.2510737606168054E-2</v>
      </c>
      <c r="J12" s="8"/>
      <c r="K12" s="8" t="s">
        <v>147</v>
      </c>
      <c r="L12" s="145">
        <v>1</v>
      </c>
      <c r="M12" s="149"/>
      <c r="N12" s="164" t="s">
        <v>154</v>
      </c>
      <c r="O12" s="229">
        <f ca="1"/>
        <v>1.0000000000000002E-4</v>
      </c>
      <c r="P12" s="220"/>
      <c r="Q12" s="166" t="s">
        <v>154</v>
      </c>
      <c r="R12" s="127">
        <f ca="1">'Solve USD Curve'!AQ10</f>
        <v>1.6865017081063214E-16</v>
      </c>
      <c r="S12" s="128">
        <f ca="1">'Solve USD Curve'!AR10</f>
        <v>-2.0381313856749337</v>
      </c>
      <c r="T12" s="128">
        <f ca="1">'Solve USD Curve'!AS10</f>
        <v>3.0381313856749337</v>
      </c>
      <c r="U12" s="128">
        <f ca="1">'Solve USD Curve'!AT10</f>
        <v>0</v>
      </c>
      <c r="V12" s="160">
        <f ca="1">'Solve USD Curve'!AU10</f>
        <v>0</v>
      </c>
      <c r="W12" s="128">
        <f ca="1">'Solve USD Curve'!AV10</f>
        <v>0</v>
      </c>
      <c r="X12" s="128">
        <f ca="1">'Solve USD Curve'!AW10</f>
        <v>0</v>
      </c>
      <c r="Y12" s="128">
        <f ca="1">'Solve USD Curve'!AX10</f>
        <v>0</v>
      </c>
      <c r="Z12" s="128">
        <f ca="1">'Solve USD Curve'!AY10</f>
        <v>0</v>
      </c>
      <c r="AA12" s="133">
        <f ca="1">'Solve USD Curve'!AZ10</f>
        <v>0</v>
      </c>
      <c r="AC12" s="220">
        <f t="shared" ca="1" si="2"/>
        <v>1E-4</v>
      </c>
    </row>
    <row r="13" spans="2:29" ht="15.6" x14ac:dyDescent="0.3">
      <c r="B13" s="227" t="s">
        <v>155</v>
      </c>
      <c r="C13" s="152">
        <f ca="1">'Shifted USD Curve'!U11</f>
        <v>1.3013010883558614E-2</v>
      </c>
      <c r="D13" s="240">
        <f t="shared" ca="1" si="0"/>
        <v>2.458116442165259E-8</v>
      </c>
      <c r="E13" s="221" t="s">
        <v>155</v>
      </c>
      <c r="F13" s="216">
        <f t="shared" ca="1" si="1"/>
        <v>1.3013035464723035E-2</v>
      </c>
      <c r="H13" s="222" t="s">
        <v>155</v>
      </c>
      <c r="I13" s="152">
        <f ca="1">'Solve USD Curve'!U11</f>
        <v>1.2913035464723036E-2</v>
      </c>
      <c r="J13" s="8"/>
      <c r="K13" s="8" t="s">
        <v>148</v>
      </c>
      <c r="L13" s="145">
        <v>1</v>
      </c>
      <c r="M13" s="226"/>
      <c r="N13" s="227" t="s">
        <v>155</v>
      </c>
      <c r="O13" s="229">
        <f ca="1"/>
        <v>1.0000000000000005E-4</v>
      </c>
      <c r="P13" s="220"/>
      <c r="Q13" s="218" t="s">
        <v>155</v>
      </c>
      <c r="R13" s="127">
        <f ca="1">'Solve USD Curve'!AQ11</f>
        <v>5.5511151231257852E-17</v>
      </c>
      <c r="S13" s="128">
        <f ca="1">'Solve USD Curve'!AR11</f>
        <v>0</v>
      </c>
      <c r="T13" s="128">
        <f ca="1">'Solve USD Curve'!AS11</f>
        <v>-3.0769983737932272</v>
      </c>
      <c r="U13" s="128">
        <f ca="1">'Solve USD Curve'!AT11</f>
        <v>4.0769983737932272</v>
      </c>
      <c r="V13" s="160">
        <f ca="1">'Solve USD Curve'!AU11</f>
        <v>0</v>
      </c>
      <c r="W13" s="128">
        <f ca="1">'Solve USD Curve'!AV11</f>
        <v>0</v>
      </c>
      <c r="X13" s="128">
        <f ca="1">'Solve USD Curve'!AW11</f>
        <v>0</v>
      </c>
      <c r="Y13" s="128">
        <f ca="1">'Solve USD Curve'!AX11</f>
        <v>0</v>
      </c>
      <c r="Z13" s="128">
        <f ca="1">'Solve USD Curve'!AY11</f>
        <v>0</v>
      </c>
      <c r="AA13" s="133">
        <f ca="1">'Solve USD Curve'!AZ11</f>
        <v>0</v>
      </c>
      <c r="AC13" s="220">
        <f t="shared" ca="1" si="2"/>
        <v>1E-4</v>
      </c>
    </row>
    <row r="14" spans="2:29" ht="15.6" x14ac:dyDescent="0.3">
      <c r="B14" s="227" t="s">
        <v>156</v>
      </c>
      <c r="C14" s="152">
        <f ca="1">'Shifted USD Curve'!U12</f>
        <v>1.4078369265823502E-2</v>
      </c>
      <c r="D14" s="240">
        <f t="shared" ca="1" si="0"/>
        <v>-1.9093539810333127E-7</v>
      </c>
      <c r="E14" s="221" t="s">
        <v>156</v>
      </c>
      <c r="F14" s="216">
        <f t="shared" ca="1" si="1"/>
        <v>1.4078178330425399E-2</v>
      </c>
      <c r="H14" s="222" t="s">
        <v>156</v>
      </c>
      <c r="I14" s="152">
        <f ca="1">'Solve USD Curve'!U12</f>
        <v>1.39781783304254E-2</v>
      </c>
      <c r="J14" s="8"/>
      <c r="K14" s="58" t="s">
        <v>149</v>
      </c>
      <c r="L14" s="145">
        <v>1</v>
      </c>
      <c r="M14" s="226"/>
      <c r="N14" s="227" t="s">
        <v>156</v>
      </c>
      <c r="O14" s="229">
        <f ca="1"/>
        <v>9.9999999999999991E-5</v>
      </c>
      <c r="P14" s="220"/>
      <c r="Q14" s="167" t="s">
        <v>156</v>
      </c>
      <c r="R14" s="161">
        <f ca="1">'Solve USD Curve'!AQ12</f>
        <v>-2.2935090300213447E-16</v>
      </c>
      <c r="S14" s="162">
        <f ca="1">'Solve USD Curve'!AR12</f>
        <v>5.697241084667845E-16</v>
      </c>
      <c r="T14" s="162">
        <f ca="1">'Solve USD Curve'!AS12</f>
        <v>-5.697241084667845E-16</v>
      </c>
      <c r="U14" s="162">
        <f ca="1">'Solve USD Curve'!AT12</f>
        <v>-4.1316185651899975</v>
      </c>
      <c r="V14" s="163">
        <f ca="1">'Solve USD Curve'!AU12</f>
        <v>5.1316185651899975</v>
      </c>
      <c r="W14" s="128">
        <f ca="1">'Solve USD Curve'!AV12</f>
        <v>0</v>
      </c>
      <c r="X14" s="128">
        <f ca="1">'Solve USD Curve'!AW12</f>
        <v>0</v>
      </c>
      <c r="Y14" s="128">
        <f ca="1">'Solve USD Curve'!AX12</f>
        <v>0</v>
      </c>
      <c r="Z14" s="128">
        <f ca="1">'Solve USD Curve'!AY12</f>
        <v>0</v>
      </c>
      <c r="AA14" s="133">
        <f ca="1">'Solve USD Curve'!AZ12</f>
        <v>0</v>
      </c>
      <c r="AC14" s="220">
        <f t="shared" ca="1" si="2"/>
        <v>1E-4</v>
      </c>
    </row>
    <row r="15" spans="2:29" ht="15.6" x14ac:dyDescent="0.3">
      <c r="B15" s="227" t="s">
        <v>157</v>
      </c>
      <c r="C15" s="152">
        <f ca="1">'Shifted USD Curve'!U13</f>
        <v>1.7189599999999999E-2</v>
      </c>
      <c r="D15" s="240">
        <f t="shared" ca="1" si="0"/>
        <v>0</v>
      </c>
      <c r="E15" s="221" t="s">
        <v>157</v>
      </c>
      <c r="F15" s="216">
        <f t="shared" ca="1" si="1"/>
        <v>1.7189599999999999E-2</v>
      </c>
      <c r="H15" s="222" t="s">
        <v>157</v>
      </c>
      <c r="I15" s="152">
        <f ca="1">'Solve USD Curve'!U13</f>
        <v>1.70896E-2</v>
      </c>
      <c r="J15" s="8"/>
      <c r="K15" s="58" t="s">
        <v>142</v>
      </c>
      <c r="L15" s="145">
        <v>1</v>
      </c>
      <c r="M15" s="226"/>
      <c r="N15" s="227" t="s">
        <v>157</v>
      </c>
      <c r="O15" s="229">
        <f ca="1"/>
        <v>1E-4</v>
      </c>
      <c r="P15" s="220"/>
      <c r="Q15" s="218" t="s">
        <v>157</v>
      </c>
      <c r="R15" s="127">
        <f ca="1">'Solve USD Curve'!AQ13</f>
        <v>0</v>
      </c>
      <c r="S15" s="128">
        <f ca="1">'Solve USD Curve'!AR13</f>
        <v>0</v>
      </c>
      <c r="T15" s="128">
        <f ca="1">'Solve USD Curve'!AS13</f>
        <v>0</v>
      </c>
      <c r="U15" s="128">
        <f ca="1">'Solve USD Curve'!AT13</f>
        <v>0</v>
      </c>
      <c r="V15" s="128">
        <f ca="1">'Solve USD Curve'!AU13</f>
        <v>0</v>
      </c>
      <c r="W15" s="154">
        <f ca="1">'Solve USD Curve'!AV13</f>
        <v>1</v>
      </c>
      <c r="X15" s="155">
        <f ca="1">'Solve USD Curve'!AW13</f>
        <v>0</v>
      </c>
      <c r="Y15" s="155">
        <f ca="1">'Solve USD Curve'!AX13</f>
        <v>0</v>
      </c>
      <c r="Z15" s="155">
        <f ca="1">'Solve USD Curve'!AY13</f>
        <v>0</v>
      </c>
      <c r="AA15" s="156">
        <f ca="1">'Solve USD Curve'!AZ13</f>
        <v>0</v>
      </c>
      <c r="AC15" s="220">
        <f t="shared" ca="1" si="2"/>
        <v>1E-4</v>
      </c>
    </row>
    <row r="16" spans="2:29" ht="15.6" x14ac:dyDescent="0.3">
      <c r="B16" s="227" t="s">
        <v>158</v>
      </c>
      <c r="C16" s="152">
        <f ca="1">'Shifted USD Curve'!U14</f>
        <v>1.4835764423811048E-2</v>
      </c>
      <c r="D16" s="240">
        <f t="shared" ca="1" si="0"/>
        <v>1.1837587804604255E-7</v>
      </c>
      <c r="E16" s="221" t="s">
        <v>158</v>
      </c>
      <c r="F16" s="216">
        <f t="shared" ca="1" si="1"/>
        <v>1.4835882799689094E-2</v>
      </c>
      <c r="H16" s="222" t="s">
        <v>158</v>
      </c>
      <c r="I16" s="152">
        <f ca="1">'Solve USD Curve'!U14</f>
        <v>1.4735882799689095E-2</v>
      </c>
      <c r="J16" s="8"/>
      <c r="K16" s="8" t="s">
        <v>143</v>
      </c>
      <c r="L16" s="145">
        <v>1</v>
      </c>
      <c r="M16" s="226"/>
      <c r="N16" s="227" t="s">
        <v>158</v>
      </c>
      <c r="O16" s="229">
        <f ca="1"/>
        <v>1.0000000000000002E-4</v>
      </c>
      <c r="P16" s="220"/>
      <c r="Q16" s="218" t="s">
        <v>158</v>
      </c>
      <c r="R16" s="127">
        <f ca="1">'Solve USD Curve'!AQ14</f>
        <v>0</v>
      </c>
      <c r="S16" s="128">
        <f ca="1">'Solve USD Curve'!AR14</f>
        <v>0</v>
      </c>
      <c r="T16" s="128">
        <f ca="1">'Solve USD Curve'!AS14</f>
        <v>0</v>
      </c>
      <c r="U16" s="128">
        <f ca="1">'Solve USD Curve'!AT14</f>
        <v>0</v>
      </c>
      <c r="V16" s="128">
        <f ca="1">'Solve USD Curve'!AU14</f>
        <v>0</v>
      </c>
      <c r="W16" s="157">
        <f ca="1">'Solve USD Curve'!AV14</f>
        <v>-1.013100581860171</v>
      </c>
      <c r="X16" s="128">
        <f ca="1">'Solve USD Curve'!AW14</f>
        <v>2.0131005818601713</v>
      </c>
      <c r="Y16" s="128">
        <f ca="1">'Solve USD Curve'!AX14</f>
        <v>0</v>
      </c>
      <c r="Z16" s="128">
        <f ca="1">'Solve USD Curve'!AY14</f>
        <v>0</v>
      </c>
      <c r="AA16" s="133">
        <f ca="1">'Solve USD Curve'!AZ14</f>
        <v>0</v>
      </c>
      <c r="AC16" s="220">
        <f t="shared" ca="1" si="2"/>
        <v>1E-4</v>
      </c>
    </row>
    <row r="17" spans="2:29" ht="15.6" x14ac:dyDescent="0.3">
      <c r="B17" s="164" t="s">
        <v>159</v>
      </c>
      <c r="C17" s="152">
        <f ca="1">'Shifted USD Curve'!U15</f>
        <v>1.5052961492011142E-2</v>
      </c>
      <c r="D17" s="239">
        <f t="shared" ca="1" si="0"/>
        <v>9.7474789956600305E-8</v>
      </c>
      <c r="E17" s="166" t="s">
        <v>159</v>
      </c>
      <c r="F17" s="216">
        <f t="shared" ca="1" si="1"/>
        <v>1.5053058966801099E-2</v>
      </c>
      <c r="H17" s="166" t="s">
        <v>159</v>
      </c>
      <c r="I17" s="152">
        <f ca="1">'Solve USD Curve'!U15</f>
        <v>1.4953058966801099E-2</v>
      </c>
      <c r="J17" s="8"/>
      <c r="K17" s="8" t="s">
        <v>144</v>
      </c>
      <c r="L17" s="145">
        <v>1</v>
      </c>
      <c r="M17" s="149"/>
      <c r="N17" s="164" t="s">
        <v>159</v>
      </c>
      <c r="O17" s="229">
        <f ca="1"/>
        <v>1.0000000000000002E-4</v>
      </c>
      <c r="P17" s="220"/>
      <c r="Q17" s="166" t="s">
        <v>159</v>
      </c>
      <c r="R17" s="127">
        <f ca="1">'Solve USD Curve'!AQ15</f>
        <v>0</v>
      </c>
      <c r="S17" s="128">
        <f ca="1">'Solve USD Curve'!AR15</f>
        <v>0</v>
      </c>
      <c r="T17" s="128">
        <f ca="1">'Solve USD Curve'!AS15</f>
        <v>0</v>
      </c>
      <c r="U17" s="128">
        <f ca="1">'Solve USD Curve'!AT15</f>
        <v>0</v>
      </c>
      <c r="V17" s="128">
        <f ca="1">'Solve USD Curve'!AU15</f>
        <v>0</v>
      </c>
      <c r="W17" s="157">
        <f ca="1">'Solve USD Curve'!AV15</f>
        <v>1.6865017081063214E-16</v>
      </c>
      <c r="X17" s="128">
        <f ca="1">'Solve USD Curve'!AW15</f>
        <v>-2.0381313856749337</v>
      </c>
      <c r="Y17" s="128">
        <f ca="1">'Solve USD Curve'!AX15</f>
        <v>3.0381313856749337</v>
      </c>
      <c r="Z17" s="128">
        <f ca="1">'Solve USD Curve'!AY15</f>
        <v>0</v>
      </c>
      <c r="AA17" s="133">
        <f ca="1">'Solve USD Curve'!AZ15</f>
        <v>0</v>
      </c>
      <c r="AC17" s="220">
        <f t="shared" ca="1" si="2"/>
        <v>1E-4</v>
      </c>
    </row>
    <row r="18" spans="2:29" ht="15.6" x14ac:dyDescent="0.3">
      <c r="B18" s="164" t="s">
        <v>160</v>
      </c>
      <c r="C18" s="152">
        <f ca="1">'Shifted USD Curve'!U16</f>
        <v>1.5693437006418908E-2</v>
      </c>
      <c r="D18" s="239">
        <f t="shared" ca="1" si="0"/>
        <v>1.2969961285524967E-9</v>
      </c>
      <c r="E18" s="166" t="s">
        <v>160</v>
      </c>
      <c r="F18" s="216">
        <f t="shared" ca="1" si="1"/>
        <v>1.5693438303415037E-2</v>
      </c>
      <c r="H18" s="166" t="s">
        <v>160</v>
      </c>
      <c r="I18" s="152">
        <f ca="1">'Solve USD Curve'!U16</f>
        <v>1.5593438303415037E-2</v>
      </c>
      <c r="J18" s="8"/>
      <c r="K18" s="8" t="s">
        <v>145</v>
      </c>
      <c r="L18" s="145">
        <v>1</v>
      </c>
      <c r="M18" s="149"/>
      <c r="N18" s="164" t="s">
        <v>160</v>
      </c>
      <c r="O18" s="229">
        <f ca="1"/>
        <v>1.0000000000000005E-4</v>
      </c>
      <c r="P18" s="220"/>
      <c r="Q18" s="166" t="s">
        <v>160</v>
      </c>
      <c r="R18" s="127">
        <f ca="1">'Solve USD Curve'!AQ16</f>
        <v>0</v>
      </c>
      <c r="S18" s="128">
        <f ca="1">'Solve USD Curve'!AR16</f>
        <v>0</v>
      </c>
      <c r="T18" s="128">
        <f ca="1">'Solve USD Curve'!AS16</f>
        <v>0</v>
      </c>
      <c r="U18" s="128">
        <f ca="1">'Solve USD Curve'!AT16</f>
        <v>0</v>
      </c>
      <c r="V18" s="128">
        <f ca="1">'Solve USD Curve'!AU16</f>
        <v>0</v>
      </c>
      <c r="W18" s="157">
        <f ca="1">'Solve USD Curve'!AV16</f>
        <v>5.5511151231257852E-17</v>
      </c>
      <c r="X18" s="128">
        <f ca="1">'Solve USD Curve'!AW16</f>
        <v>0</v>
      </c>
      <c r="Y18" s="128">
        <f ca="1">'Solve USD Curve'!AX16</f>
        <v>-3.0769983737932272</v>
      </c>
      <c r="Z18" s="128">
        <f ca="1">'Solve USD Curve'!AY16</f>
        <v>4.0769983737932272</v>
      </c>
      <c r="AA18" s="133">
        <f ca="1">'Solve USD Curve'!AZ16</f>
        <v>0</v>
      </c>
      <c r="AC18" s="220">
        <f t="shared" ca="1" si="2"/>
        <v>1E-4</v>
      </c>
    </row>
    <row r="19" spans="2:29" ht="15.6" x14ac:dyDescent="0.3">
      <c r="B19" s="164" t="s">
        <v>161</v>
      </c>
      <c r="C19" s="153">
        <f ca="1">'Shifted USD Curve'!U17</f>
        <v>1.6399994544683334E-2</v>
      </c>
      <c r="D19" s="239">
        <f t="shared" ca="1" si="0"/>
        <v>-1.4177239140988895E-7</v>
      </c>
      <c r="E19" s="166" t="s">
        <v>161</v>
      </c>
      <c r="F19" s="217">
        <f t="shared" ca="1" si="1"/>
        <v>1.6399852772291924E-2</v>
      </c>
      <c r="H19" s="166" t="s">
        <v>161</v>
      </c>
      <c r="I19" s="153">
        <f ca="1">'Solve USD Curve'!U17</f>
        <v>1.6299852772291925E-2</v>
      </c>
      <c r="J19" s="8"/>
      <c r="K19" s="8" t="s">
        <v>146</v>
      </c>
      <c r="L19" s="146">
        <v>1</v>
      </c>
      <c r="M19" s="149"/>
      <c r="N19" s="164" t="s">
        <v>161</v>
      </c>
      <c r="O19" s="230">
        <f ca="1"/>
        <v>9.9999999999999991E-5</v>
      </c>
      <c r="P19" s="220"/>
      <c r="Q19" s="166" t="s">
        <v>161</v>
      </c>
      <c r="R19" s="129">
        <f ca="1">'Solve USD Curve'!AQ17</f>
        <v>0</v>
      </c>
      <c r="S19" s="130">
        <f ca="1">'Solve USD Curve'!AR17</f>
        <v>0</v>
      </c>
      <c r="T19" s="130">
        <f ca="1">'Solve USD Curve'!AS17</f>
        <v>0</v>
      </c>
      <c r="U19" s="130">
        <f ca="1">'Solve USD Curve'!AT17</f>
        <v>0</v>
      </c>
      <c r="V19" s="130">
        <f ca="1">'Solve USD Curve'!AU17</f>
        <v>0</v>
      </c>
      <c r="W19" s="158">
        <f ca="1">'Solve USD Curve'!AV17</f>
        <v>-2.2935090300213447E-16</v>
      </c>
      <c r="X19" s="130">
        <f ca="1">'Solve USD Curve'!AW17</f>
        <v>5.697241084667845E-16</v>
      </c>
      <c r="Y19" s="130">
        <f ca="1">'Solve USD Curve'!AX17</f>
        <v>-5.697241084667845E-16</v>
      </c>
      <c r="Z19" s="130">
        <f ca="1">'Solve USD Curve'!AY17</f>
        <v>-4.1316185651899975</v>
      </c>
      <c r="AA19" s="148">
        <f ca="1">'Solve USD Curve'!AZ17</f>
        <v>5.1316185651899975</v>
      </c>
      <c r="AC19" s="220">
        <f t="shared" ca="1" si="2"/>
        <v>1E-4</v>
      </c>
    </row>
    <row r="20" spans="2:29" x14ac:dyDescent="0.3">
      <c r="J20" s="8"/>
    </row>
    <row r="21" spans="2:29" x14ac:dyDescent="0.3">
      <c r="B21" s="168" t="s">
        <v>139</v>
      </c>
    </row>
    <row r="22" spans="2:29" x14ac:dyDescent="0.3">
      <c r="B22" t="s">
        <v>211</v>
      </c>
      <c r="H22" s="142"/>
      <c r="I22" s="142"/>
      <c r="J22" s="142"/>
      <c r="L22" s="31"/>
      <c r="M22" s="31"/>
    </row>
    <row r="23" spans="2:29" x14ac:dyDescent="0.3">
      <c r="B23" t="s">
        <v>172</v>
      </c>
      <c r="K23" s="18"/>
      <c r="L23" s="143"/>
      <c r="M23" s="143"/>
    </row>
    <row r="24" spans="2:29" x14ac:dyDescent="0.3">
      <c r="B24" t="s">
        <v>196</v>
      </c>
      <c r="K24" s="18"/>
      <c r="L24" s="143"/>
      <c r="M24" s="143"/>
    </row>
    <row r="25" spans="2:29" x14ac:dyDescent="0.3">
      <c r="B25" t="s">
        <v>173</v>
      </c>
      <c r="K25" s="18"/>
      <c r="L25" s="143"/>
      <c r="M25" s="143"/>
    </row>
    <row r="26" spans="2:29" x14ac:dyDescent="0.3">
      <c r="K26" s="18"/>
      <c r="L26" s="143"/>
      <c r="M26" s="143"/>
    </row>
    <row r="27" spans="2:29" x14ac:dyDescent="0.3">
      <c r="B27" s="168" t="s">
        <v>138</v>
      </c>
      <c r="K27" s="18"/>
    </row>
    <row r="28" spans="2:29" ht="16.2" x14ac:dyDescent="0.3">
      <c r="B28" t="s">
        <v>167</v>
      </c>
    </row>
    <row r="29" spans="2:29" x14ac:dyDescent="0.3">
      <c r="B29" s="123" t="s">
        <v>151</v>
      </c>
    </row>
    <row r="30" spans="2:29" x14ac:dyDescent="0.3">
      <c r="B30" s="169" t="s">
        <v>150</v>
      </c>
    </row>
    <row r="31" spans="2:29" ht="16.2" x14ac:dyDescent="0.3">
      <c r="B31" t="s">
        <v>168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AZ60"/>
  <sheetViews>
    <sheetView showGridLines="0" tabSelected="1" topLeftCell="K1" zoomScaleNormal="100" workbookViewId="0">
      <selection activeCell="K1" sqref="K1"/>
    </sheetView>
  </sheetViews>
  <sheetFormatPr defaultRowHeight="14.4" outlineLevelCol="1" x14ac:dyDescent="0.3"/>
  <cols>
    <col min="1" max="10" width="9.109375" hidden="1" customWidth="1" outlineLevel="1"/>
    <col min="11" max="11" width="9.109375" customWidth="1" collapsed="1"/>
    <col min="13" max="13" width="10.109375" bestFit="1" customWidth="1"/>
    <col min="16" max="16" width="11.109375" bestFit="1" customWidth="1"/>
    <col min="17" max="17" width="9.88671875" bestFit="1" customWidth="1"/>
    <col min="21" max="21" width="9.109375" customWidth="1"/>
    <col min="22" max="22" width="9.5546875" bestFit="1" customWidth="1"/>
    <col min="23" max="23" width="9.88671875" bestFit="1" customWidth="1"/>
    <col min="24" max="25" width="9.5546875" customWidth="1"/>
    <col min="26" max="26" width="9.109375" customWidth="1"/>
    <col min="29" max="29" width="12.109375" bestFit="1" customWidth="1"/>
    <col min="43" max="43" width="9.33203125" bestFit="1" customWidth="1"/>
    <col min="44" max="44" width="9.109375" customWidth="1"/>
    <col min="45" max="45" width="10.109375" bestFit="1" customWidth="1"/>
    <col min="46" max="46" width="9.109375" customWidth="1"/>
    <col min="47" max="52" width="9.33203125" bestFit="1" customWidth="1"/>
  </cols>
  <sheetData>
    <row r="1" spans="2:52" x14ac:dyDescent="0.3">
      <c r="K1" s="3" t="s">
        <v>84</v>
      </c>
    </row>
    <row r="2" spans="2:52" x14ac:dyDescent="0.3">
      <c r="K2" s="3"/>
    </row>
    <row r="3" spans="2:52" x14ac:dyDescent="0.3">
      <c r="B3" s="11" t="s">
        <v>69</v>
      </c>
      <c r="L3" s="11" t="s">
        <v>24</v>
      </c>
      <c r="O3" s="11" t="s">
        <v>25</v>
      </c>
      <c r="R3" s="11" t="s">
        <v>45</v>
      </c>
      <c r="T3" s="11"/>
      <c r="U3" s="11"/>
      <c r="W3" s="8" t="s">
        <v>42</v>
      </c>
      <c r="Y3" s="8" t="s">
        <v>44</v>
      </c>
      <c r="AA3" s="11" t="s">
        <v>63</v>
      </c>
      <c r="AF3" s="11" t="s">
        <v>125</v>
      </c>
      <c r="AQ3" s="11" t="s">
        <v>65</v>
      </c>
    </row>
    <row r="4" spans="2:52" ht="16.8" x14ac:dyDescent="0.35">
      <c r="B4" t="s">
        <v>98</v>
      </c>
      <c r="L4" s="8" t="s">
        <v>8</v>
      </c>
      <c r="M4" s="8" t="s">
        <v>21</v>
      </c>
      <c r="O4" s="8" t="s">
        <v>8</v>
      </c>
      <c r="P4" s="8" t="s">
        <v>21</v>
      </c>
      <c r="R4" t="s">
        <v>68</v>
      </c>
      <c r="U4" s="11"/>
      <c r="W4" s="104">
        <v>1E-8</v>
      </c>
      <c r="Y4" s="105">
        <f ca="1">SQRT(SUMPRODUCT(Y8:Y17,Y8:Y17))</f>
        <v>8.5974016385977586E-12</v>
      </c>
      <c r="AA4" t="s">
        <v>64</v>
      </c>
      <c r="AF4" t="s">
        <v>126</v>
      </c>
      <c r="AQ4" t="s">
        <v>129</v>
      </c>
    </row>
    <row r="5" spans="2:52" ht="15.6" x14ac:dyDescent="0.35">
      <c r="B5" t="s">
        <v>99</v>
      </c>
      <c r="K5" s="29">
        <v>0</v>
      </c>
      <c r="L5" s="36" t="s">
        <v>20</v>
      </c>
      <c r="M5" s="37">
        <f ca="1">'Solve USD Curve'!M5+M14/10000</f>
        <v>1.55E-2</v>
      </c>
      <c r="N5" s="29">
        <v>0.25</v>
      </c>
      <c r="O5" s="45" t="s">
        <v>22</v>
      </c>
      <c r="P5" s="46">
        <f ca="1">'Solve USD Curve'!P5+P14/10000</f>
        <v>1.8871300000000001E-2</v>
      </c>
      <c r="AF5" s="136" t="s">
        <v>127</v>
      </c>
    </row>
    <row r="6" spans="2:52" x14ac:dyDescent="0.3">
      <c r="B6" t="s">
        <v>95</v>
      </c>
      <c r="K6" s="29">
        <v>1</v>
      </c>
      <c r="L6" s="38" t="s">
        <v>3</v>
      </c>
      <c r="M6" s="39">
        <f ca="1">'Solve USD Curve'!M6+M15/10000</f>
        <v>1.4459099999999999E-2</v>
      </c>
      <c r="N6" s="29">
        <v>1</v>
      </c>
      <c r="O6" s="47" t="s">
        <v>3</v>
      </c>
      <c r="P6" s="39">
        <f ca="1">'Solve USD Curve'!P6+P15/10000</f>
        <v>1.7189599999999999E-2</v>
      </c>
      <c r="R6" s="123" t="s">
        <v>114</v>
      </c>
      <c r="T6" s="11"/>
      <c r="W6" s="8" t="s">
        <v>43</v>
      </c>
      <c r="Y6" s="8"/>
    </row>
    <row r="7" spans="2:52" ht="16.2" x14ac:dyDescent="0.3">
      <c r="B7" t="s">
        <v>85</v>
      </c>
      <c r="K7" s="29">
        <v>2</v>
      </c>
      <c r="L7" s="38" t="s">
        <v>4</v>
      </c>
      <c r="M7" s="39">
        <f ca="1">'Solve USD Curve'!M7+M16/10000</f>
        <v>1.3452299999999999E-2</v>
      </c>
      <c r="N7" s="29">
        <v>2</v>
      </c>
      <c r="O7" s="47" t="s">
        <v>4</v>
      </c>
      <c r="P7" s="39">
        <f ca="1">'Solve USD Curve'!P7+P16/10000</f>
        <v>1.6020400000000001E-2</v>
      </c>
      <c r="R7" s="8" t="s">
        <v>26</v>
      </c>
      <c r="S7" s="23" t="s">
        <v>18</v>
      </c>
      <c r="T7" s="23" t="s">
        <v>67</v>
      </c>
      <c r="U7" s="23" t="s">
        <v>10</v>
      </c>
      <c r="V7" s="23" t="s">
        <v>11</v>
      </c>
      <c r="W7" s="8" t="s">
        <v>31</v>
      </c>
      <c r="X7" s="23" t="s">
        <v>12</v>
      </c>
      <c r="Y7" s="24" t="s">
        <v>17</v>
      </c>
      <c r="AA7" s="8" t="s">
        <v>67</v>
      </c>
      <c r="AB7" s="8" t="s">
        <v>28</v>
      </c>
      <c r="AC7" s="35" t="s">
        <v>62</v>
      </c>
      <c r="AE7" s="8"/>
      <c r="AF7" s="8" t="s">
        <v>115</v>
      </c>
      <c r="AG7" s="8" t="s">
        <v>116</v>
      </c>
      <c r="AH7" s="8" t="s">
        <v>117</v>
      </c>
      <c r="AI7" s="8" t="s">
        <v>118</v>
      </c>
      <c r="AJ7" s="8" t="s">
        <v>119</v>
      </c>
      <c r="AK7" s="8" t="s">
        <v>120</v>
      </c>
      <c r="AL7" s="8" t="s">
        <v>121</v>
      </c>
      <c r="AM7" s="8" t="s">
        <v>122</v>
      </c>
      <c r="AN7" s="8" t="s">
        <v>123</v>
      </c>
      <c r="AO7" s="8" t="s">
        <v>124</v>
      </c>
      <c r="AP7" s="8"/>
      <c r="AQ7" s="8"/>
      <c r="AR7" s="8"/>
      <c r="AS7" s="8"/>
      <c r="AT7" s="8"/>
    </row>
    <row r="8" spans="2:52" ht="15.6" x14ac:dyDescent="0.3">
      <c r="B8" t="s">
        <v>100</v>
      </c>
      <c r="K8" s="29">
        <v>3</v>
      </c>
      <c r="L8" s="38" t="s">
        <v>5</v>
      </c>
      <c r="M8" s="39">
        <f ca="1">'Solve USD Curve'!M8+M17/10000</f>
        <v>1.3175299999999999E-2</v>
      </c>
      <c r="N8" s="29">
        <v>3</v>
      </c>
      <c r="O8" s="47" t="s">
        <v>5</v>
      </c>
      <c r="P8" s="39">
        <f ca="1">'Solve USD Curve'!P8+P17/10000</f>
        <v>1.5702000000000001E-2</v>
      </c>
      <c r="R8" s="80" t="s">
        <v>27</v>
      </c>
      <c r="S8" s="81" t="s">
        <v>3</v>
      </c>
      <c r="T8" s="82">
        <v>1</v>
      </c>
      <c r="U8" s="115">
        <f t="array" aca="1" ref="U8:U17" ca="1">V8:V17-MMULT(AQ8:AZ17,X8:X17)</f>
        <v>1.4459099999999999E-2</v>
      </c>
      <c r="V8" s="83">
        <v>1.4459099999999999E-2</v>
      </c>
      <c r="W8" s="84">
        <v>0.02</v>
      </c>
      <c r="X8" s="83">
        <f ca="1">(SUMPRODUCT($V$8:$V8,$AB$8:$AB8)/SUM($AB$8:$AB8))-$M6</f>
        <v>0</v>
      </c>
      <c r="Y8" s="85">
        <f t="shared" ref="Y8:Y17" ca="1" si="0">U8-V8</f>
        <v>0</v>
      </c>
      <c r="AA8" s="99">
        <v>1</v>
      </c>
      <c r="AB8" s="118">
        <f ca="1">EXP(-AC8)</f>
        <v>0.98218235973156065</v>
      </c>
      <c r="AC8" s="100">
        <f ca="1">$AR$46*$AA8+$AR$47*$AA8^2+$AR$48*$AA8^3+$AR$49*$AA8^4+$AR$50*$AA8^5</f>
        <v>1.7978285493924696E-2</v>
      </c>
      <c r="AE8" s="8" t="s">
        <v>108</v>
      </c>
      <c r="AF8" s="137">
        <f ca="1">$AB$8/SUM($AB$8:$AB8)</f>
        <v>1</v>
      </c>
      <c r="AG8" s="131">
        <v>0</v>
      </c>
      <c r="AH8" s="131">
        <v>0</v>
      </c>
      <c r="AI8" s="131">
        <v>0</v>
      </c>
      <c r="AJ8" s="131">
        <v>0</v>
      </c>
      <c r="AK8" s="131">
        <v>0</v>
      </c>
      <c r="AL8" s="131">
        <v>0</v>
      </c>
      <c r="AM8" s="131">
        <v>0</v>
      </c>
      <c r="AN8" s="131">
        <v>0</v>
      </c>
      <c r="AO8" s="132">
        <v>0</v>
      </c>
      <c r="AP8" s="20"/>
      <c r="AQ8" s="107">
        <f t="array" aca="1" ref="AQ8:AZ17" ca="1">MINVERSE(AF8:AO17)</f>
        <v>1</v>
      </c>
      <c r="AR8" s="108">
        <f ca="1"/>
        <v>0</v>
      </c>
      <c r="AS8" s="108">
        <f ca="1"/>
        <v>0</v>
      </c>
      <c r="AT8" s="108">
        <f ca="1"/>
        <v>0</v>
      </c>
      <c r="AU8" s="108">
        <f ca="1"/>
        <v>0</v>
      </c>
      <c r="AV8" s="108">
        <f ca="1"/>
        <v>0</v>
      </c>
      <c r="AW8" s="108">
        <f ca="1"/>
        <v>0</v>
      </c>
      <c r="AX8" s="108">
        <f ca="1"/>
        <v>0</v>
      </c>
      <c r="AY8" s="108">
        <f ca="1"/>
        <v>0</v>
      </c>
      <c r="AZ8" s="109">
        <f ca="1"/>
        <v>0</v>
      </c>
    </row>
    <row r="9" spans="2:52" ht="15.6" x14ac:dyDescent="0.3">
      <c r="B9" t="s">
        <v>101</v>
      </c>
      <c r="K9" s="29">
        <v>4</v>
      </c>
      <c r="L9" s="38" t="s">
        <v>6</v>
      </c>
      <c r="M9" s="39">
        <f ca="1">'Solve USD Curve'!M9+M18/10000</f>
        <v>1.31355E-2</v>
      </c>
      <c r="N9" s="29">
        <v>4</v>
      </c>
      <c r="O9" s="47" t="s">
        <v>6</v>
      </c>
      <c r="P9" s="39">
        <f ca="1">'Solve USD Curve'!P9+P18/10000</f>
        <v>1.5699899999999999E-2</v>
      </c>
      <c r="R9" s="86" t="s">
        <v>27</v>
      </c>
      <c r="S9" s="58" t="s">
        <v>4</v>
      </c>
      <c r="T9" s="27">
        <v>2</v>
      </c>
      <c r="U9" s="116">
        <f ca="1"/>
        <v>1.2432208400524256E-2</v>
      </c>
      <c r="V9" s="14">
        <v>1.2432208397870962E-2</v>
      </c>
      <c r="W9" s="22">
        <v>0.02</v>
      </c>
      <c r="X9" s="14">
        <f ca="1">(SUMPRODUCT($V$8:$V9,$AB$8:$AB9)/SUM($AB$8:$AB9))-$M7</f>
        <v>-1.3179474872559993E-12</v>
      </c>
      <c r="Y9" s="87">
        <f t="shared" ca="1" si="0"/>
        <v>2.653294250976046E-12</v>
      </c>
      <c r="AA9" s="101">
        <v>2</v>
      </c>
      <c r="AB9" s="119">
        <f ca="1">EXP(-AC9)</f>
        <v>0.96938471043771224</v>
      </c>
      <c r="AC9" s="102">
        <f ca="1">$AR$46*$AA9+$AR$47*$AA9^2+$AR$48*$AA9^3+$AR$49*$AA9^4+$AR$50*$AA9^5</f>
        <v>3.1093727886586649E-2</v>
      </c>
      <c r="AE9" s="8" t="s">
        <v>107</v>
      </c>
      <c r="AF9" s="138">
        <f ca="1">$AB$8/SUM($AB$8:$AB9)</f>
        <v>0.50327881359792015</v>
      </c>
      <c r="AG9" s="139">
        <f ca="1">$AB$9/SUM($AB$8:$AB9)</f>
        <v>0.49672118640207985</v>
      </c>
      <c r="AH9" s="128">
        <v>0</v>
      </c>
      <c r="AI9" s="128">
        <v>0</v>
      </c>
      <c r="AJ9" s="128">
        <v>0</v>
      </c>
      <c r="AK9" s="128">
        <v>0</v>
      </c>
      <c r="AL9" s="128">
        <v>0</v>
      </c>
      <c r="AM9" s="128">
        <v>0</v>
      </c>
      <c r="AN9" s="128">
        <v>0</v>
      </c>
      <c r="AO9" s="133">
        <v>0</v>
      </c>
      <c r="AP9" s="20"/>
      <c r="AQ9" s="110">
        <f ca="1"/>
        <v>-1.0132018270517902</v>
      </c>
      <c r="AR9" s="106">
        <f ca="1"/>
        <v>2.0132018270517902</v>
      </c>
      <c r="AS9" s="106">
        <f ca="1"/>
        <v>0</v>
      </c>
      <c r="AT9" s="106">
        <f ca="1"/>
        <v>0</v>
      </c>
      <c r="AU9" s="106">
        <f ca="1"/>
        <v>0</v>
      </c>
      <c r="AV9" s="106">
        <f ca="1"/>
        <v>0</v>
      </c>
      <c r="AW9" s="106">
        <f ca="1"/>
        <v>0</v>
      </c>
      <c r="AX9" s="106">
        <f ca="1"/>
        <v>0</v>
      </c>
      <c r="AY9" s="106">
        <f ca="1"/>
        <v>0</v>
      </c>
      <c r="AZ9" s="111">
        <f ca="1"/>
        <v>0</v>
      </c>
    </row>
    <row r="10" spans="2:52" ht="15.6" x14ac:dyDescent="0.3">
      <c r="B10" t="s">
        <v>102</v>
      </c>
      <c r="K10" s="29">
        <v>5</v>
      </c>
      <c r="L10" s="40" t="s">
        <v>7</v>
      </c>
      <c r="M10" s="41">
        <f ca="1">'Solve USD Curve'!M10+M19/10000</f>
        <v>1.33192E-2</v>
      </c>
      <c r="N10" s="29">
        <v>5</v>
      </c>
      <c r="O10" s="48" t="s">
        <v>7</v>
      </c>
      <c r="P10" s="41">
        <f ca="1">'Solve USD Curve'!P10+P19/10000</f>
        <v>1.5836300000000001E-2</v>
      </c>
      <c r="R10" s="86" t="s">
        <v>27</v>
      </c>
      <c r="S10" s="58" t="s">
        <v>5</v>
      </c>
      <c r="T10" s="27">
        <v>3</v>
      </c>
      <c r="U10" s="116">
        <f ca="1"/>
        <v>1.2610652805549894E-2</v>
      </c>
      <c r="V10" s="14">
        <v>1.261065280174457E-2</v>
      </c>
      <c r="W10" s="22">
        <v>0.02</v>
      </c>
      <c r="X10" s="14">
        <f ca="1">(SUMPRODUCT($V$8:$V10,$AB$8:$AB10)/SUM($AB$8:$AB10))-$M8</f>
        <v>-2.1365843122511663E-12</v>
      </c>
      <c r="Y10" s="87">
        <f t="shared" ca="1" si="0"/>
        <v>3.8053241113722436E-12</v>
      </c>
      <c r="AA10" s="101">
        <v>3</v>
      </c>
      <c r="AB10" s="119">
        <f ca="1">EXP(-AC10)</f>
        <v>0.95738380310797044</v>
      </c>
      <c r="AC10" s="102">
        <f ca="1">$AR$46*$AA10+$AR$47*$AA10^2+$AR$48*$AA10^3+$AR$49*$AA10^4+$AR$50*$AA10^5</f>
        <v>4.3550919747811563E-2</v>
      </c>
      <c r="AE10" s="8" t="s">
        <v>106</v>
      </c>
      <c r="AF10" s="138">
        <f ca="1">$AB$8/SUM($AB$8:$AB10)</f>
        <v>0.33764143930867679</v>
      </c>
      <c r="AG10" s="139">
        <f ca="1">$AB$9/SUM($AB$8:$AB10)</f>
        <v>0.3332420355884515</v>
      </c>
      <c r="AH10" s="139">
        <f ca="1">$AB$10/SUM($AB$8:$AB10)</f>
        <v>0.3291165251028717</v>
      </c>
      <c r="AI10" s="128">
        <v>0</v>
      </c>
      <c r="AJ10" s="128">
        <v>0</v>
      </c>
      <c r="AK10" s="128">
        <v>0</v>
      </c>
      <c r="AL10" s="128">
        <v>0</v>
      </c>
      <c r="AM10" s="128">
        <v>0</v>
      </c>
      <c r="AN10" s="128">
        <v>0</v>
      </c>
      <c r="AO10" s="133">
        <v>0</v>
      </c>
      <c r="AP10" s="20"/>
      <c r="AQ10" s="110">
        <f ca="1"/>
        <v>0</v>
      </c>
      <c r="AR10" s="106">
        <f ca="1"/>
        <v>-2.0384375250906368</v>
      </c>
      <c r="AS10" s="106">
        <f ca="1"/>
        <v>3.0384375250906368</v>
      </c>
      <c r="AT10" s="106">
        <f ca="1"/>
        <v>0</v>
      </c>
      <c r="AU10" s="106">
        <f ca="1"/>
        <v>0</v>
      </c>
      <c r="AV10" s="106">
        <f ca="1"/>
        <v>0</v>
      </c>
      <c r="AW10" s="106">
        <f ca="1"/>
        <v>0</v>
      </c>
      <c r="AX10" s="106">
        <f ca="1"/>
        <v>0</v>
      </c>
      <c r="AY10" s="106">
        <f ca="1"/>
        <v>0</v>
      </c>
      <c r="AZ10" s="111">
        <f ca="1"/>
        <v>0</v>
      </c>
    </row>
    <row r="11" spans="2:52" ht="15.6" x14ac:dyDescent="0.3">
      <c r="B11" t="s">
        <v>103</v>
      </c>
      <c r="R11" s="86" t="s">
        <v>27</v>
      </c>
      <c r="S11" s="58" t="s">
        <v>6</v>
      </c>
      <c r="T11" s="27">
        <v>4</v>
      </c>
      <c r="U11" s="116">
        <f ca="1"/>
        <v>1.3013010883558614E-2</v>
      </c>
      <c r="V11" s="14">
        <v>1.3013010882570744E-2</v>
      </c>
      <c r="W11" s="22">
        <v>0.02</v>
      </c>
      <c r="X11" s="14">
        <f ca="1">(SUMPRODUCT($V$8:$V11,$AB$8:$AB11)/SUM($AB$8:$AB11))-$M9</f>
        <v>-1.8548721586464367E-12</v>
      </c>
      <c r="Y11" s="87">
        <f t="shared" ca="1" si="0"/>
        <v>9.8786950841756038E-13</v>
      </c>
      <c r="AA11" s="101">
        <v>4</v>
      </c>
      <c r="AB11" s="119">
        <f ca="1">EXP(-AC11)</f>
        <v>0.94519617840362469</v>
      </c>
      <c r="AC11" s="102">
        <f ca="1">$AR$46*$AA11+$AR$47*$AA11^2+$AR$48*$AA11^3+$AR$49*$AA11^4+$AR$50*$AA11^5</f>
        <v>5.6362776839190699E-2</v>
      </c>
      <c r="AE11" s="8" t="s">
        <v>105</v>
      </c>
      <c r="AF11" s="138">
        <f ca="1">$AB$8/SUM($AB$8:$AB11)</f>
        <v>0.25483780109096044</v>
      </c>
      <c r="AG11" s="139">
        <f ca="1">$AB$9/SUM($AB$8:$AB11)</f>
        <v>0.25151731302388808</v>
      </c>
      <c r="AH11" s="139">
        <f ca="1">$AB$10/SUM($AB$8:$AB11)</f>
        <v>0.24840354824822705</v>
      </c>
      <c r="AI11" s="139">
        <f ca="1">$AB$11/SUM($AB$8:$AB11)</f>
        <v>0.24524133763692446</v>
      </c>
      <c r="AJ11" s="128">
        <v>0</v>
      </c>
      <c r="AK11" s="128">
        <v>0</v>
      </c>
      <c r="AL11" s="128">
        <v>0</v>
      </c>
      <c r="AM11" s="128">
        <v>0</v>
      </c>
      <c r="AN11" s="128">
        <v>0</v>
      </c>
      <c r="AO11" s="133">
        <v>0</v>
      </c>
      <c r="AP11" s="20"/>
      <c r="AQ11" s="110">
        <f ca="1"/>
        <v>-2.2635315793881832E-16</v>
      </c>
      <c r="AR11" s="106">
        <f ca="1"/>
        <v>4.5270631587763664E-16</v>
      </c>
      <c r="AS11" s="106">
        <f ca="1"/>
        <v>-3.0776159909895888</v>
      </c>
      <c r="AT11" s="106">
        <f ca="1"/>
        <v>4.0776159909895888</v>
      </c>
      <c r="AU11" s="106">
        <f ca="1"/>
        <v>0</v>
      </c>
      <c r="AV11" s="106">
        <f ca="1"/>
        <v>0</v>
      </c>
      <c r="AW11" s="106">
        <f ca="1"/>
        <v>0</v>
      </c>
      <c r="AX11" s="106">
        <f ca="1"/>
        <v>0</v>
      </c>
      <c r="AY11" s="106">
        <f ca="1"/>
        <v>0</v>
      </c>
      <c r="AZ11" s="111">
        <f ca="1"/>
        <v>0</v>
      </c>
    </row>
    <row r="12" spans="2:52" ht="15.6" x14ac:dyDescent="0.3">
      <c r="L12" s="126" t="s">
        <v>128</v>
      </c>
      <c r="O12" s="126" t="s">
        <v>128</v>
      </c>
      <c r="R12" s="89" t="s">
        <v>27</v>
      </c>
      <c r="S12" s="90" t="s">
        <v>7</v>
      </c>
      <c r="T12" s="91">
        <v>5</v>
      </c>
      <c r="U12" s="117">
        <f ca="1"/>
        <v>1.4078369265823502E-2</v>
      </c>
      <c r="V12" s="92">
        <v>1.4078369269656305E-2</v>
      </c>
      <c r="W12" s="93">
        <v>0.02</v>
      </c>
      <c r="X12" s="92">
        <f ca="1">(SUMPRODUCT($V$8:$V12,$AB$8:$AB12)/SUM($AB$8:$AB12))-$M10</f>
        <v>-7.4673774108635627E-13</v>
      </c>
      <c r="Y12" s="94">
        <f t="shared" ca="1" si="0"/>
        <v>-3.8328021312317162E-12</v>
      </c>
      <c r="AA12" s="103">
        <v>5</v>
      </c>
      <c r="AB12" s="120">
        <f ca="1">EXP(-AC12)</f>
        <v>0.93260731864030133</v>
      </c>
      <c r="AC12" s="97">
        <f ca="1">$AR$46*$AA12+$AR$47*$AA12^2+$AR$48*$AA12^3+$AR$49*$AA12^4+$AR$50*$AA12^5</f>
        <v>6.9771047072440806E-2</v>
      </c>
      <c r="AE12" s="8" t="s">
        <v>104</v>
      </c>
      <c r="AF12" s="138">
        <f ca="1">$AB$8/SUM($AB$8:$AB12)</f>
        <v>0.20518754123280003</v>
      </c>
      <c r="AG12" s="139">
        <f ca="1">$AB$9/SUM($AB$8:$AB12)</f>
        <v>0.20251398660605827</v>
      </c>
      <c r="AH12" s="139">
        <f ca="1">$AB$10/SUM($AB$8:$AB12)</f>
        <v>0.20000687920064181</v>
      </c>
      <c r="AI12" s="139">
        <f ca="1">$AB$11/SUM($AB$8:$AB12)</f>
        <v>0.19746076470186757</v>
      </c>
      <c r="AJ12" s="139">
        <f ca="1">$AB$12/SUM($AB$8:$AB12)</f>
        <v>0.19483082825863229</v>
      </c>
      <c r="AK12" s="128">
        <v>0</v>
      </c>
      <c r="AL12" s="128">
        <v>0</v>
      </c>
      <c r="AM12" s="128">
        <v>0</v>
      </c>
      <c r="AN12" s="128">
        <v>0</v>
      </c>
      <c r="AO12" s="133">
        <v>0</v>
      </c>
      <c r="AP12" s="20"/>
      <c r="AQ12" s="110">
        <f ca="1"/>
        <v>8.6948724670846279E-17</v>
      </c>
      <c r="AR12" s="106">
        <f ca="1"/>
        <v>-1.7389744934169256E-16</v>
      </c>
      <c r="AS12" s="106">
        <f ca="1"/>
        <v>5.6983950360841642E-16</v>
      </c>
      <c r="AT12" s="106">
        <f ca="1"/>
        <v>-4.1326579522237052</v>
      </c>
      <c r="AU12" s="106">
        <f ca="1"/>
        <v>5.1326579522237052</v>
      </c>
      <c r="AV12" s="106">
        <f ca="1"/>
        <v>0</v>
      </c>
      <c r="AW12" s="106">
        <f ca="1"/>
        <v>0</v>
      </c>
      <c r="AX12" s="106">
        <f ca="1"/>
        <v>0</v>
      </c>
      <c r="AY12" s="106">
        <f ca="1"/>
        <v>0</v>
      </c>
      <c r="AZ12" s="111">
        <f ca="1"/>
        <v>0</v>
      </c>
    </row>
    <row r="13" spans="2:52" ht="15.6" x14ac:dyDescent="0.3">
      <c r="B13" s="11" t="s">
        <v>86</v>
      </c>
      <c r="L13" s="8" t="s">
        <v>8</v>
      </c>
      <c r="M13" s="8" t="s">
        <v>133</v>
      </c>
      <c r="O13" s="8" t="s">
        <v>8</v>
      </c>
      <c r="P13" s="8" t="s">
        <v>133</v>
      </c>
      <c r="R13" s="86" t="s">
        <v>23</v>
      </c>
      <c r="S13" s="58" t="s">
        <v>3</v>
      </c>
      <c r="T13" s="27">
        <v>1</v>
      </c>
      <c r="U13" s="116">
        <f ca="1"/>
        <v>1.7189599999999999E-2</v>
      </c>
      <c r="V13" s="14">
        <v>1.7189599999999999E-2</v>
      </c>
      <c r="W13" s="22">
        <v>0.02</v>
      </c>
      <c r="X13" s="14">
        <f ca="1">(SUMPRODUCT($V$13:$V13,$AB$8:$AB8)/SUM($AB$8:$AB8))-$P6</f>
        <v>0</v>
      </c>
      <c r="Y13" s="87">
        <f t="shared" ca="1" si="0"/>
        <v>0</v>
      </c>
      <c r="AE13" s="8" t="s">
        <v>109</v>
      </c>
      <c r="AF13" s="127">
        <v>0</v>
      </c>
      <c r="AG13" s="128">
        <v>0</v>
      </c>
      <c r="AH13" s="128">
        <v>0</v>
      </c>
      <c r="AI13" s="128">
        <v>0</v>
      </c>
      <c r="AJ13" s="128">
        <v>0</v>
      </c>
      <c r="AK13" s="139">
        <f ca="1">$AB$8/SUM($AB$8:$AB8)</f>
        <v>1</v>
      </c>
      <c r="AL13" s="128">
        <v>0</v>
      </c>
      <c r="AM13" s="128">
        <v>0</v>
      </c>
      <c r="AN13" s="128">
        <v>0</v>
      </c>
      <c r="AO13" s="133">
        <v>0</v>
      </c>
      <c r="AP13" s="20"/>
      <c r="AQ13" s="110">
        <f ca="1"/>
        <v>0</v>
      </c>
      <c r="AR13" s="106">
        <f ca="1"/>
        <v>0</v>
      </c>
      <c r="AS13" s="106">
        <f ca="1"/>
        <v>0</v>
      </c>
      <c r="AT13" s="106">
        <f ca="1"/>
        <v>0</v>
      </c>
      <c r="AU13" s="106">
        <f ca="1"/>
        <v>0</v>
      </c>
      <c r="AV13" s="106">
        <f ca="1"/>
        <v>1</v>
      </c>
      <c r="AW13" s="106">
        <f ca="1"/>
        <v>0</v>
      </c>
      <c r="AX13" s="106">
        <f ca="1"/>
        <v>0</v>
      </c>
      <c r="AY13" s="106">
        <f ca="1"/>
        <v>0</v>
      </c>
      <c r="AZ13" s="111">
        <f ca="1"/>
        <v>0</v>
      </c>
    </row>
    <row r="14" spans="2:52" ht="15.6" x14ac:dyDescent="0.3">
      <c r="B14" t="s">
        <v>89</v>
      </c>
      <c r="L14" s="36" t="s">
        <v>20</v>
      </c>
      <c r="M14" s="132">
        <v>0</v>
      </c>
      <c r="N14" s="79"/>
      <c r="O14" s="45" t="s">
        <v>22</v>
      </c>
      <c r="P14" s="132">
        <v>0</v>
      </c>
      <c r="Q14" s="79"/>
      <c r="R14" s="86" t="s">
        <v>23</v>
      </c>
      <c r="S14" s="58" t="s">
        <v>4</v>
      </c>
      <c r="T14" s="27">
        <v>2</v>
      </c>
      <c r="U14" s="116">
        <f ca="1"/>
        <v>1.4835764423811048E-2</v>
      </c>
      <c r="V14" s="14">
        <v>1.483576442072977E-2</v>
      </c>
      <c r="W14" s="22">
        <v>0.02</v>
      </c>
      <c r="X14" s="14">
        <f ca="1">(SUMPRODUCT($V$13:$V14,$AB$8:$AB9)/SUM($AB$8:$AB9))-$P7</f>
        <v>-1.530536114513481E-12</v>
      </c>
      <c r="Y14" s="87">
        <f t="shared" ca="1" si="0"/>
        <v>3.0812782880751399E-12</v>
      </c>
      <c r="AE14" s="8" t="s">
        <v>110</v>
      </c>
      <c r="AF14" s="127">
        <v>0</v>
      </c>
      <c r="AG14" s="128">
        <v>0</v>
      </c>
      <c r="AH14" s="128">
        <v>0</v>
      </c>
      <c r="AI14" s="128">
        <v>0</v>
      </c>
      <c r="AJ14" s="128">
        <v>0</v>
      </c>
      <c r="AK14" s="139">
        <f ca="1">$AB$8/SUM($AB$8:$AB9)</f>
        <v>0.50327881359792015</v>
      </c>
      <c r="AL14" s="139">
        <f ca="1">$AB$9/SUM($AB$8:$AB9)</f>
        <v>0.49672118640207985</v>
      </c>
      <c r="AM14" s="128">
        <v>0</v>
      </c>
      <c r="AN14" s="128">
        <v>0</v>
      </c>
      <c r="AO14" s="133">
        <v>0</v>
      </c>
      <c r="AP14" s="20"/>
      <c r="AQ14" s="110">
        <f ca="1"/>
        <v>0</v>
      </c>
      <c r="AR14" s="106">
        <f ca="1"/>
        <v>0</v>
      </c>
      <c r="AS14" s="106">
        <f ca="1"/>
        <v>0</v>
      </c>
      <c r="AT14" s="106">
        <f ca="1"/>
        <v>0</v>
      </c>
      <c r="AU14" s="106">
        <f ca="1"/>
        <v>0</v>
      </c>
      <c r="AV14" s="106">
        <f ca="1"/>
        <v>-1.0132018270517902</v>
      </c>
      <c r="AW14" s="106">
        <f ca="1"/>
        <v>2.0132018270517902</v>
      </c>
      <c r="AX14" s="106">
        <f ca="1"/>
        <v>0</v>
      </c>
      <c r="AY14" s="106">
        <f ca="1"/>
        <v>0</v>
      </c>
      <c r="AZ14" s="111">
        <f ca="1"/>
        <v>0</v>
      </c>
    </row>
    <row r="15" spans="2:52" ht="15.6" x14ac:dyDescent="0.3">
      <c r="B15" t="s">
        <v>87</v>
      </c>
      <c r="L15" s="38" t="s">
        <v>3</v>
      </c>
      <c r="M15" s="214">
        <f ca="1">'Ultra-Fast Curves'!L10</f>
        <v>1</v>
      </c>
      <c r="N15" s="79"/>
      <c r="O15" s="47" t="s">
        <v>3</v>
      </c>
      <c r="P15" s="214">
        <f ca="1">'Ultra-Fast Curves'!L15</f>
        <v>1</v>
      </c>
      <c r="Q15" s="79"/>
      <c r="R15" s="86" t="s">
        <v>23</v>
      </c>
      <c r="S15" s="58" t="s">
        <v>5</v>
      </c>
      <c r="T15" s="27">
        <v>3</v>
      </c>
      <c r="U15" s="116">
        <f ca="1"/>
        <v>1.5052961492011142E-2</v>
      </c>
      <c r="V15" s="14">
        <v>1.5052961487637078E-2</v>
      </c>
      <c r="W15" s="22">
        <v>0.02</v>
      </c>
      <c r="X15" s="14">
        <f ca="1">(SUMPRODUCT($V$13:$V15,$AB$8:$AB10)/SUM($AB$8:$AB10))-$P8</f>
        <v>-2.4663882047804009E-12</v>
      </c>
      <c r="Y15" s="87">
        <f t="shared" ca="1" si="0"/>
        <v>4.3740636113120956E-12</v>
      </c>
      <c r="AE15" s="8" t="s">
        <v>111</v>
      </c>
      <c r="AF15" s="127">
        <v>0</v>
      </c>
      <c r="AG15" s="128">
        <v>0</v>
      </c>
      <c r="AH15" s="128">
        <v>0</v>
      </c>
      <c r="AI15" s="128">
        <v>0</v>
      </c>
      <c r="AJ15" s="128">
        <v>0</v>
      </c>
      <c r="AK15" s="139">
        <f ca="1">$AB$8/SUM($AB$8:$AB10)</f>
        <v>0.33764143930867679</v>
      </c>
      <c r="AL15" s="139">
        <f ca="1">$AB$9/SUM($AB$8:$AB10)</f>
        <v>0.3332420355884515</v>
      </c>
      <c r="AM15" s="139">
        <f ca="1">$AB$10/SUM($AB$8:$AB10)</f>
        <v>0.3291165251028717</v>
      </c>
      <c r="AN15" s="128">
        <v>0</v>
      </c>
      <c r="AO15" s="133">
        <v>0</v>
      </c>
      <c r="AP15" s="20"/>
      <c r="AQ15" s="110">
        <f ca="1"/>
        <v>0</v>
      </c>
      <c r="AR15" s="106">
        <f ca="1"/>
        <v>0</v>
      </c>
      <c r="AS15" s="106">
        <f ca="1"/>
        <v>0</v>
      </c>
      <c r="AT15" s="106">
        <f ca="1"/>
        <v>0</v>
      </c>
      <c r="AU15" s="106">
        <f ca="1"/>
        <v>0</v>
      </c>
      <c r="AV15" s="106">
        <f ca="1"/>
        <v>0</v>
      </c>
      <c r="AW15" s="106">
        <f ca="1"/>
        <v>-2.0384375250906368</v>
      </c>
      <c r="AX15" s="106">
        <f ca="1"/>
        <v>3.0384375250906368</v>
      </c>
      <c r="AY15" s="106">
        <f ca="1"/>
        <v>0</v>
      </c>
      <c r="AZ15" s="111">
        <f ca="1"/>
        <v>0</v>
      </c>
    </row>
    <row r="16" spans="2:52" ht="15.6" x14ac:dyDescent="0.3">
      <c r="B16" t="s">
        <v>88</v>
      </c>
      <c r="L16" s="38" t="s">
        <v>4</v>
      </c>
      <c r="M16" s="214">
        <f ca="1">'Ultra-Fast Curves'!L11</f>
        <v>1</v>
      </c>
      <c r="N16" s="79"/>
      <c r="O16" s="47" t="s">
        <v>4</v>
      </c>
      <c r="P16" s="214">
        <f ca="1">'Ultra-Fast Curves'!L16</f>
        <v>1</v>
      </c>
      <c r="Q16" s="79"/>
      <c r="R16" s="86" t="s">
        <v>23</v>
      </c>
      <c r="S16" s="58" t="s">
        <v>6</v>
      </c>
      <c r="T16" s="27">
        <v>4</v>
      </c>
      <c r="U16" s="116">
        <f ca="1"/>
        <v>1.5693437006418908E-2</v>
      </c>
      <c r="V16" s="14">
        <v>1.569343700636679E-2</v>
      </c>
      <c r="W16" s="22">
        <v>0.02</v>
      </c>
      <c r="X16" s="14">
        <f ca="1">(SUMPRODUCT($V$13:$V16,$AB$8:$AB11)/SUM($AB$8:$AB11))-$P9</f>
        <v>-1.8743097351947569E-12</v>
      </c>
      <c r="Y16" s="87">
        <f t="shared" ca="1" si="0"/>
        <v>5.2118032112247192E-14</v>
      </c>
      <c r="AE16" s="8" t="s">
        <v>112</v>
      </c>
      <c r="AF16" s="127">
        <v>0</v>
      </c>
      <c r="AG16" s="128">
        <v>0</v>
      </c>
      <c r="AH16" s="128">
        <v>0</v>
      </c>
      <c r="AI16" s="128">
        <v>0</v>
      </c>
      <c r="AJ16" s="128">
        <v>0</v>
      </c>
      <c r="AK16" s="139">
        <f ca="1">$AB$8/SUM($AB$8:$AB11)</f>
        <v>0.25483780109096044</v>
      </c>
      <c r="AL16" s="139">
        <f ca="1">$AB$9/SUM($AB$8:$AB11)</f>
        <v>0.25151731302388808</v>
      </c>
      <c r="AM16" s="139">
        <f ca="1">$AB$10/SUM($AB$8:$AB11)</f>
        <v>0.24840354824822705</v>
      </c>
      <c r="AN16" s="139">
        <f ca="1">$AB$11/SUM($AB$8:$AB11)</f>
        <v>0.24524133763692446</v>
      </c>
      <c r="AO16" s="133">
        <v>0</v>
      </c>
      <c r="AP16" s="20"/>
      <c r="AQ16" s="110">
        <f ca="1"/>
        <v>0</v>
      </c>
      <c r="AR16" s="106">
        <f ca="1"/>
        <v>0</v>
      </c>
      <c r="AS16" s="106">
        <f ca="1"/>
        <v>0</v>
      </c>
      <c r="AT16" s="106">
        <f ca="1"/>
        <v>0</v>
      </c>
      <c r="AU16" s="106">
        <f ca="1"/>
        <v>0</v>
      </c>
      <c r="AV16" s="106">
        <f ca="1"/>
        <v>-2.2635315793881832E-16</v>
      </c>
      <c r="AW16" s="106">
        <f ca="1"/>
        <v>4.5270631587763664E-16</v>
      </c>
      <c r="AX16" s="106">
        <f ca="1"/>
        <v>-3.0776159909895888</v>
      </c>
      <c r="AY16" s="106">
        <f ca="1"/>
        <v>4.0776159909895888</v>
      </c>
      <c r="AZ16" s="111">
        <f ca="1"/>
        <v>0</v>
      </c>
    </row>
    <row r="17" spans="2:52" ht="15.6" x14ac:dyDescent="0.3">
      <c r="B17" t="s">
        <v>90</v>
      </c>
      <c r="L17" s="38" t="s">
        <v>5</v>
      </c>
      <c r="M17" s="214">
        <f ca="1">'Ultra-Fast Curves'!L12</f>
        <v>1</v>
      </c>
      <c r="N17" s="79"/>
      <c r="O17" s="47" t="s">
        <v>5</v>
      </c>
      <c r="P17" s="214">
        <f ca="1">'Ultra-Fast Curves'!L17</f>
        <v>1</v>
      </c>
      <c r="Q17" s="79"/>
      <c r="R17" s="86" t="s">
        <v>23</v>
      </c>
      <c r="S17" s="58" t="s">
        <v>7</v>
      </c>
      <c r="T17" s="27">
        <v>5</v>
      </c>
      <c r="U17" s="116">
        <f ca="1"/>
        <v>1.6399994544683334E-2</v>
      </c>
      <c r="V17" s="14">
        <v>1.6399994547529238E-2</v>
      </c>
      <c r="W17" s="22">
        <v>0.02</v>
      </c>
      <c r="X17" s="14">
        <f ca="1">(SUMPRODUCT($V$13:$V17,$AB$8:$AB12)/SUM($AB$8:$AB12))-$P10</f>
        <v>-9.5466690108736429E-13</v>
      </c>
      <c r="Y17" s="87">
        <f t="shared" ca="1" si="0"/>
        <v>-2.8459040679607028E-12</v>
      </c>
      <c r="Z17" s="8"/>
      <c r="AE17" s="8" t="s">
        <v>113</v>
      </c>
      <c r="AF17" s="129">
        <v>0</v>
      </c>
      <c r="AG17" s="130">
        <v>0</v>
      </c>
      <c r="AH17" s="130">
        <v>0</v>
      </c>
      <c r="AI17" s="130">
        <v>0</v>
      </c>
      <c r="AJ17" s="130">
        <v>0</v>
      </c>
      <c r="AK17" s="140">
        <f ca="1">$AB$8/SUM($AB$8:$AB12)</f>
        <v>0.20518754123280003</v>
      </c>
      <c r="AL17" s="140">
        <f ca="1">$AB$9/SUM($AB$8:$AB12)</f>
        <v>0.20251398660605827</v>
      </c>
      <c r="AM17" s="140">
        <f ca="1">$AB$10/SUM($AB$8:$AB12)</f>
        <v>0.20000687920064181</v>
      </c>
      <c r="AN17" s="140">
        <f ca="1">$AB$11/SUM($AB$8:$AB12)</f>
        <v>0.19746076470186757</v>
      </c>
      <c r="AO17" s="141">
        <f ca="1">$AB$12/SUM($AB$8:$AB12)</f>
        <v>0.19483082825863229</v>
      </c>
      <c r="AP17" s="20"/>
      <c r="AQ17" s="112">
        <f ca="1"/>
        <v>0</v>
      </c>
      <c r="AR17" s="113">
        <f ca="1"/>
        <v>0</v>
      </c>
      <c r="AS17" s="113">
        <f ca="1"/>
        <v>0</v>
      </c>
      <c r="AT17" s="113">
        <f ca="1"/>
        <v>0</v>
      </c>
      <c r="AU17" s="113">
        <f ca="1"/>
        <v>0</v>
      </c>
      <c r="AV17" s="113">
        <f ca="1"/>
        <v>8.6948724670846279E-17</v>
      </c>
      <c r="AW17" s="113">
        <f ca="1"/>
        <v>-1.7389744934169256E-16</v>
      </c>
      <c r="AX17" s="113">
        <f ca="1"/>
        <v>5.6983950360841642E-16</v>
      </c>
      <c r="AY17" s="113">
        <f ca="1"/>
        <v>-4.1326579522237052</v>
      </c>
      <c r="AZ17" s="114">
        <f ca="1"/>
        <v>5.1326579522237052</v>
      </c>
    </row>
    <row r="18" spans="2:52" x14ac:dyDescent="0.3">
      <c r="B18" t="s">
        <v>92</v>
      </c>
      <c r="L18" s="38" t="s">
        <v>6</v>
      </c>
      <c r="M18" s="214">
        <f ca="1">'Ultra-Fast Curves'!L13</f>
        <v>1</v>
      </c>
      <c r="N18" s="79"/>
      <c r="O18" s="47" t="s">
        <v>6</v>
      </c>
      <c r="P18" s="214">
        <f ca="1">'Ultra-Fast Curves'!L18</f>
        <v>1</v>
      </c>
      <c r="Q18" s="79"/>
      <c r="R18" s="95"/>
      <c r="S18" s="96"/>
      <c r="T18" s="88"/>
      <c r="U18" s="121"/>
      <c r="V18" s="88"/>
      <c r="W18" s="98"/>
      <c r="X18" s="134"/>
      <c r="Y18" s="135"/>
      <c r="Z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</row>
    <row r="19" spans="2:52" x14ac:dyDescent="0.3">
      <c r="B19" t="s">
        <v>91</v>
      </c>
      <c r="L19" s="40" t="s">
        <v>7</v>
      </c>
      <c r="M19" s="196">
        <f ca="1">'Ultra-Fast Curves'!L14</f>
        <v>1</v>
      </c>
      <c r="O19" s="48" t="s">
        <v>7</v>
      </c>
      <c r="P19" s="196">
        <f ca="1">'Ultra-Fast Curves'!L19</f>
        <v>1</v>
      </c>
      <c r="T19" s="8"/>
      <c r="U19" s="8"/>
      <c r="V19" s="8"/>
      <c r="W19" s="8"/>
      <c r="X19" s="8"/>
      <c r="Y19" s="25"/>
      <c r="Z19" s="8"/>
      <c r="AA19" t="s">
        <v>66</v>
      </c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49" t="s">
        <v>60</v>
      </c>
      <c r="AR19" s="8"/>
      <c r="AS19" s="8"/>
      <c r="AT19" s="8"/>
      <c r="AV19" s="49" t="s">
        <v>60</v>
      </c>
    </row>
    <row r="20" spans="2:52" x14ac:dyDescent="0.3">
      <c r="AA20" s="122" t="b">
        <v>0</v>
      </c>
    </row>
    <row r="21" spans="2:52" x14ac:dyDescent="0.3">
      <c r="B21" s="49" t="s">
        <v>70</v>
      </c>
      <c r="N21" s="49" t="s">
        <v>30</v>
      </c>
      <c r="O21" s="8"/>
      <c r="P21" s="8"/>
      <c r="Q21" s="8"/>
      <c r="R21" s="8"/>
      <c r="S21" s="25"/>
      <c r="T21" s="8"/>
      <c r="U21" s="8"/>
      <c r="AQ21" t="s">
        <v>27</v>
      </c>
      <c r="AV21" t="s">
        <v>23</v>
      </c>
    </row>
    <row r="22" spans="2:52" ht="15.6" x14ac:dyDescent="0.3">
      <c r="B22" s="124" t="s">
        <v>74</v>
      </c>
      <c r="L22" s="8" t="s">
        <v>26</v>
      </c>
      <c r="M22" s="23" t="s">
        <v>18</v>
      </c>
      <c r="N22" s="8" t="s">
        <v>31</v>
      </c>
      <c r="O22" s="8" t="s">
        <v>32</v>
      </c>
      <c r="P22" s="8" t="s">
        <v>33</v>
      </c>
      <c r="Q22" s="8" t="s">
        <v>34</v>
      </c>
      <c r="R22" s="8" t="s">
        <v>35</v>
      </c>
      <c r="S22" s="8" t="s">
        <v>36</v>
      </c>
      <c r="T22" s="8" t="s">
        <v>37</v>
      </c>
      <c r="U22" s="8" t="s">
        <v>38</v>
      </c>
      <c r="V22" s="8" t="s">
        <v>39</v>
      </c>
      <c r="W22" s="8" t="s">
        <v>40</v>
      </c>
      <c r="X22" s="8" t="s">
        <v>41</v>
      </c>
      <c r="AA22" s="49"/>
      <c r="AQ22" s="8" t="s">
        <v>47</v>
      </c>
      <c r="AR22" s="8" t="s">
        <v>46</v>
      </c>
      <c r="AS22" s="8" t="s">
        <v>10</v>
      </c>
      <c r="AT22" s="8" t="s">
        <v>61</v>
      </c>
      <c r="AV22" s="8" t="s">
        <v>47</v>
      </c>
      <c r="AW22" s="8" t="s">
        <v>46</v>
      </c>
      <c r="AX22" s="8" t="s">
        <v>10</v>
      </c>
      <c r="AY22" s="8" t="s">
        <v>61</v>
      </c>
    </row>
    <row r="23" spans="2:52" x14ac:dyDescent="0.3">
      <c r="B23" s="124" t="s">
        <v>75</v>
      </c>
      <c r="L23" s="8" t="s">
        <v>27</v>
      </c>
      <c r="M23" s="8" t="s">
        <v>3</v>
      </c>
      <c r="N23" s="50">
        <v>0.02</v>
      </c>
      <c r="O23" s="51">
        <v>1.4459099999999999E-2</v>
      </c>
      <c r="P23" s="51">
        <v>1.4459099999999999E-2</v>
      </c>
      <c r="Q23" s="51">
        <v>1.4459099999999999E-2</v>
      </c>
      <c r="R23" s="51">
        <v>1.4459099999999999E-2</v>
      </c>
      <c r="S23" s="51"/>
      <c r="T23" s="51"/>
      <c r="U23" s="51"/>
      <c r="V23" s="51"/>
      <c r="W23" s="51"/>
      <c r="X23" s="52"/>
      <c r="AA23" s="124"/>
      <c r="AQ23" s="67">
        <v>0</v>
      </c>
      <c r="AR23" s="13">
        <f t="shared" ref="AR23:AR33" ca="1" si="1">$AO$46+$AO$47*$AQ23+$AO$48*$AQ23^2+$AO$49*$AQ23^3+$AO$50*$AQ23^4</f>
        <v>2.3093258894895222E-2</v>
      </c>
      <c r="AS23" s="65"/>
      <c r="AT23" s="16"/>
      <c r="AV23" s="67">
        <v>0</v>
      </c>
      <c r="AW23" s="13">
        <f t="shared" ref="AW23:AW33" ca="1" si="2">$AO$54+$AO$55*$AV23+$AO$56*$AV23^2+$AO$57*$AV23^3+$AO$58*$AV23^4</f>
        <v>2.6052780183996958E-2</v>
      </c>
      <c r="AX23" s="65"/>
      <c r="AY23" s="16"/>
    </row>
    <row r="24" spans="2:52" ht="16.8" x14ac:dyDescent="0.35">
      <c r="B24" s="125" t="s">
        <v>76</v>
      </c>
      <c r="L24" s="8" t="s">
        <v>27</v>
      </c>
      <c r="M24" s="8" t="s">
        <v>4</v>
      </c>
      <c r="N24" s="53">
        <v>0.02</v>
      </c>
      <c r="O24" s="21">
        <v>1.2425161290861228E-2</v>
      </c>
      <c r="P24" s="21">
        <v>1.2432213145192274E-2</v>
      </c>
      <c r="Q24" s="21">
        <v>1.2432208397870962E-2</v>
      </c>
      <c r="R24" s="21">
        <v>1.2432208400524256E-2</v>
      </c>
      <c r="S24" s="21"/>
      <c r="T24" s="21"/>
      <c r="U24" s="21"/>
      <c r="V24" s="21"/>
      <c r="W24" s="21"/>
      <c r="X24" s="54"/>
      <c r="AA24" s="124"/>
      <c r="AQ24" s="68">
        <v>0.5</v>
      </c>
      <c r="AR24" s="14">
        <f t="shared" ca="1" si="1"/>
        <v>1.7580599198982843E-2</v>
      </c>
      <c r="AS24" s="66"/>
      <c r="AT24" s="17"/>
      <c r="AV24" s="68">
        <v>0.5</v>
      </c>
      <c r="AW24" s="14">
        <f t="shared" ca="1" si="2"/>
        <v>2.049143385599549E-2</v>
      </c>
      <c r="AX24" s="66"/>
      <c r="AY24" s="17"/>
    </row>
    <row r="25" spans="2:52" x14ac:dyDescent="0.3">
      <c r="L25" s="8" t="s">
        <v>27</v>
      </c>
      <c r="M25" s="8" t="s">
        <v>5</v>
      </c>
      <c r="N25" s="53">
        <v>0.02</v>
      </c>
      <c r="O25" s="21">
        <v>1.260439964436115E-2</v>
      </c>
      <c r="P25" s="21">
        <v>1.2610658054755398E-2</v>
      </c>
      <c r="Q25" s="21">
        <v>1.261065280174457E-2</v>
      </c>
      <c r="R25" s="21">
        <v>1.2610652805549894E-2</v>
      </c>
      <c r="S25" s="21"/>
      <c r="T25" s="21"/>
      <c r="U25" s="21"/>
      <c r="V25" s="21"/>
      <c r="W25" s="21"/>
      <c r="X25" s="54"/>
      <c r="AA25" s="124"/>
      <c r="AQ25" s="68">
        <f t="shared" ref="AQ25:AQ33" ca="1" si="3">AQ24+0.5</f>
        <v>1</v>
      </c>
      <c r="AR25" s="14">
        <f t="shared" ca="1" si="1"/>
        <v>1.4459099999718181E-2</v>
      </c>
      <c r="AS25" s="74">
        <f ca="1">U8</f>
        <v>1.4459099999999999E-2</v>
      </c>
      <c r="AT25" s="17">
        <f ca="1">AS25-AR25</f>
        <v>2.8181797173676415E-13</v>
      </c>
      <c r="AV25" s="68">
        <f t="shared" ref="AV25:AV33" ca="1" si="4">AV24+0.5</f>
        <v>1</v>
      </c>
      <c r="AW25" s="14">
        <f t="shared" ca="1" si="2"/>
        <v>1.7189599999665378E-2</v>
      </c>
      <c r="AX25" s="74">
        <f ca="1">U13</f>
        <v>1.7189599999999999E-2</v>
      </c>
      <c r="AY25" s="17">
        <f ca="1">AX25-AW25</f>
        <v>3.3462121962202218E-13</v>
      </c>
    </row>
    <row r="26" spans="2:52" x14ac:dyDescent="0.3">
      <c r="B26" s="124" t="s">
        <v>71</v>
      </c>
      <c r="L26" s="8" t="s">
        <v>27</v>
      </c>
      <c r="M26" s="8" t="s">
        <v>6</v>
      </c>
      <c r="N26" s="53">
        <v>0.02</v>
      </c>
      <c r="O26" s="21">
        <v>1.3011210623301437E-2</v>
      </c>
      <c r="P26" s="21">
        <v>1.3013012193475797E-2</v>
      </c>
      <c r="Q26" s="21">
        <v>1.3013010882570744E-2</v>
      </c>
      <c r="R26" s="21">
        <v>1.3013010883558614E-2</v>
      </c>
      <c r="S26" s="21"/>
      <c r="T26" s="21"/>
      <c r="U26" s="21"/>
      <c r="V26" s="21"/>
      <c r="W26" s="21"/>
      <c r="X26" s="54"/>
      <c r="Z26" s="124"/>
      <c r="AA26" s="124"/>
      <c r="AQ26" s="68">
        <f t="shared" ca="1" si="3"/>
        <v>1.5</v>
      </c>
      <c r="AR26" s="14">
        <f t="shared" ca="1" si="1"/>
        <v>1.2951597171328193E-2</v>
      </c>
      <c r="AS26" s="66"/>
      <c r="AT26" s="17"/>
      <c r="AV26" s="68">
        <f t="shared" ca="1" si="4"/>
        <v>1.5</v>
      </c>
      <c r="AW26" s="14">
        <f t="shared" ca="1" si="2"/>
        <v>1.5487124829626067E-2</v>
      </c>
      <c r="AX26" s="66"/>
      <c r="AY26" s="17"/>
    </row>
    <row r="27" spans="2:52" ht="15.6" x14ac:dyDescent="0.35">
      <c r="B27" s="124" t="s">
        <v>78</v>
      </c>
      <c r="L27" s="8" t="s">
        <v>27</v>
      </c>
      <c r="M27" s="8" t="s">
        <v>7</v>
      </c>
      <c r="N27" s="53">
        <v>0.02</v>
      </c>
      <c r="O27" s="21">
        <v>1.4091867133315842E-2</v>
      </c>
      <c r="P27" s="21">
        <v>1.407836643721732E-2</v>
      </c>
      <c r="Q27" s="21">
        <v>1.4078369269656305E-2</v>
      </c>
      <c r="R27" s="21">
        <v>1.4078369265823502E-2</v>
      </c>
      <c r="S27" s="21"/>
      <c r="T27" s="21"/>
      <c r="U27" s="21"/>
      <c r="V27" s="21"/>
      <c r="W27" s="21"/>
      <c r="X27" s="54"/>
      <c r="Z27" s="124"/>
      <c r="AA27" s="124"/>
      <c r="AQ27" s="68">
        <f t="shared" ca="1" si="3"/>
        <v>2</v>
      </c>
      <c r="AR27" s="14">
        <f t="shared" ca="1" si="1"/>
        <v>1.243220839793735E-2</v>
      </c>
      <c r="AS27" s="74">
        <f ca="1">U9</f>
        <v>1.2432208400524256E-2</v>
      </c>
      <c r="AT27" s="17">
        <f ca="1">AS27-AR27</f>
        <v>2.5869063835504136E-12</v>
      </c>
      <c r="AV27" s="68">
        <f t="shared" ca="1" si="4"/>
        <v>2</v>
      </c>
      <c r="AW27" s="14">
        <f t="shared" ca="1" si="2"/>
        <v>1.4835764420807245E-2</v>
      </c>
      <c r="AX27" s="74">
        <f ca="1">U14</f>
        <v>1.4835764423811048E-2</v>
      </c>
      <c r="AY27" s="17">
        <f ca="1">AX27-AW27</f>
        <v>3.0038038029145397E-12</v>
      </c>
    </row>
    <row r="28" spans="2:52" ht="15.6" x14ac:dyDescent="0.35">
      <c r="B28" s="124" t="s">
        <v>79</v>
      </c>
      <c r="L28" s="8" t="s">
        <v>23</v>
      </c>
      <c r="M28" s="8" t="s">
        <v>3</v>
      </c>
      <c r="N28" s="53">
        <v>0.02</v>
      </c>
      <c r="O28" s="21">
        <v>1.7189599999999999E-2</v>
      </c>
      <c r="P28" s="21">
        <v>1.7189599999999999E-2</v>
      </c>
      <c r="Q28" s="21">
        <v>1.7189599999999999E-2</v>
      </c>
      <c r="R28" s="21">
        <v>1.7189599999999999E-2</v>
      </c>
      <c r="S28" s="21"/>
      <c r="T28" s="21"/>
      <c r="U28" s="21"/>
      <c r="V28" s="21"/>
      <c r="W28" s="21"/>
      <c r="X28" s="54"/>
      <c r="Z28" s="124"/>
      <c r="AA28" s="124"/>
      <c r="AQ28" s="68">
        <f t="shared" ca="1" si="3"/>
        <v>2.5</v>
      </c>
      <c r="AR28" s="14">
        <f t="shared" ca="1" si="1"/>
        <v>1.2426333173567592E-2</v>
      </c>
      <c r="AS28" s="66"/>
      <c r="AT28" s="17"/>
      <c r="AV28" s="68">
        <f t="shared" ca="1" si="4"/>
        <v>2.5</v>
      </c>
      <c r="AW28" s="14">
        <f t="shared" ca="1" si="2"/>
        <v>1.4799184708448793E-2</v>
      </c>
      <c r="AX28" s="66"/>
      <c r="AY28" s="17"/>
    </row>
    <row r="29" spans="2:52" ht="15.6" x14ac:dyDescent="0.35">
      <c r="B29" s="124" t="s">
        <v>80</v>
      </c>
      <c r="L29" s="8" t="s">
        <v>23</v>
      </c>
      <c r="M29" s="8" t="s">
        <v>4</v>
      </c>
      <c r="N29" s="53">
        <v>0.02</v>
      </c>
      <c r="O29" s="21">
        <v>1.4827580593240913E-2</v>
      </c>
      <c r="P29" s="21">
        <v>1.4835769933808907E-2</v>
      </c>
      <c r="Q29" s="21">
        <v>1.483576442072977E-2</v>
      </c>
      <c r="R29" s="21">
        <v>1.4835764423811048E-2</v>
      </c>
      <c r="S29" s="21"/>
      <c r="T29" s="21"/>
      <c r="U29" s="21"/>
      <c r="V29" s="21"/>
      <c r="W29" s="21"/>
      <c r="X29" s="54"/>
      <c r="Z29" s="124"/>
      <c r="AA29" s="124"/>
      <c r="AQ29" s="68">
        <f t="shared" ca="1" si="3"/>
        <v>3</v>
      </c>
      <c r="AR29" s="14">
        <f t="shared" ca="1" si="1"/>
        <v>1.2610652802138356E-2</v>
      </c>
      <c r="AS29" s="74">
        <f ca="1">U10</f>
        <v>1.2610652805549894E-2</v>
      </c>
      <c r="AT29" s="17">
        <f ca="1">AS29-AR29</f>
        <v>3.4115384128785564E-12</v>
      </c>
      <c r="AV29" s="68">
        <f t="shared" ca="1" si="4"/>
        <v>3</v>
      </c>
      <c r="AW29" s="14">
        <f t="shared" ca="1" si="2"/>
        <v>1.5052961488100808E-2</v>
      </c>
      <c r="AX29" s="74">
        <f ca="1">U15</f>
        <v>1.5052961492011142E-2</v>
      </c>
      <c r="AY29" s="17">
        <f ca="1">AX29-AW29</f>
        <v>3.9103338622670236E-12</v>
      </c>
    </row>
    <row r="30" spans="2:52" ht="16.2" x14ac:dyDescent="0.3">
      <c r="B30" s="124" t="s">
        <v>81</v>
      </c>
      <c r="L30" s="8" t="s">
        <v>23</v>
      </c>
      <c r="M30" s="8" t="s">
        <v>5</v>
      </c>
      <c r="N30" s="53">
        <v>0.02</v>
      </c>
      <c r="O30" s="21">
        <v>1.5045773742832457E-2</v>
      </c>
      <c r="P30" s="21">
        <v>1.5052967525754949E-2</v>
      </c>
      <c r="Q30" s="21">
        <v>1.5052961487637078E-2</v>
      </c>
      <c r="R30" s="21">
        <v>1.5052961492011142E-2</v>
      </c>
      <c r="S30" s="21"/>
      <c r="T30" s="21"/>
      <c r="U30" s="21"/>
      <c r="V30" s="21"/>
      <c r="W30" s="21"/>
      <c r="X30" s="54"/>
      <c r="Z30" s="124"/>
      <c r="AA30" s="124"/>
      <c r="AQ30" s="68">
        <f t="shared" ca="1" si="3"/>
        <v>3.5</v>
      </c>
      <c r="AR30" s="14">
        <f t="shared" ca="1" si="1"/>
        <v>1.2813130397466578E-2</v>
      </c>
      <c r="AS30" s="74"/>
      <c r="AT30" s="17"/>
      <c r="AV30" s="68">
        <f t="shared" ca="1" si="4"/>
        <v>3.5</v>
      </c>
      <c r="AW30" s="14">
        <f t="shared" ca="1" si="2"/>
        <v>1.5384580415623591E-2</v>
      </c>
      <c r="AX30" s="74"/>
      <c r="AY30" s="17"/>
    </row>
    <row r="31" spans="2:52" x14ac:dyDescent="0.3">
      <c r="L31" s="8" t="s">
        <v>23</v>
      </c>
      <c r="M31" s="8" t="s">
        <v>6</v>
      </c>
      <c r="N31" s="53">
        <v>0.02</v>
      </c>
      <c r="O31" s="21">
        <v>1.5693342017812369E-2</v>
      </c>
      <c r="P31" s="21">
        <v>1.5693437075535152E-2</v>
      </c>
      <c r="Q31" s="21">
        <v>1.569343700636679E-2</v>
      </c>
      <c r="R31" s="21">
        <v>1.5693437006418908E-2</v>
      </c>
      <c r="S31" s="21"/>
      <c r="T31" s="21"/>
      <c r="U31" s="21"/>
      <c r="V31" s="21"/>
      <c r="W31" s="21"/>
      <c r="X31" s="54"/>
      <c r="Z31" s="124"/>
      <c r="AA31" s="124"/>
      <c r="AQ31" s="68">
        <f t="shared" ca="1" si="3"/>
        <v>4</v>
      </c>
      <c r="AR31" s="14">
        <f t="shared" ca="1" si="1"/>
        <v>1.3013010883266715E-2</v>
      </c>
      <c r="AS31" s="74">
        <f ca="1">U11</f>
        <v>1.3013010883558614E-2</v>
      </c>
      <c r="AT31" s="17">
        <f ca="1">AS31-AR31</f>
        <v>2.9189844985566538E-13</v>
      </c>
      <c r="AV31" s="68">
        <f t="shared" ca="1" si="4"/>
        <v>4</v>
      </c>
      <c r="AW31" s="14">
        <f t="shared" ca="1" si="2"/>
        <v>1.5693437007187699E-2</v>
      </c>
      <c r="AX31" s="74">
        <f ca="1">U16</f>
        <v>1.5693437006418908E-2</v>
      </c>
      <c r="AY31" s="17">
        <f ca="1">AX31-AW31</f>
        <v>-7.6879128063644941E-13</v>
      </c>
    </row>
    <row r="32" spans="2:52" x14ac:dyDescent="0.3">
      <c r="B32" s="124" t="s">
        <v>72</v>
      </c>
      <c r="L32" s="8" t="s">
        <v>23</v>
      </c>
      <c r="M32" s="8" t="s">
        <v>7</v>
      </c>
      <c r="N32" s="55">
        <v>0.02</v>
      </c>
      <c r="O32" s="56">
        <v>1.6410016913360276E-2</v>
      </c>
      <c r="P32" s="56">
        <v>1.6399992444400893E-2</v>
      </c>
      <c r="Q32" s="56">
        <v>1.6399994547529238E-2</v>
      </c>
      <c r="R32" s="56">
        <v>1.6399994544683334E-2</v>
      </c>
      <c r="S32" s="56"/>
      <c r="T32" s="56"/>
      <c r="U32" s="56"/>
      <c r="V32" s="56"/>
      <c r="W32" s="56"/>
      <c r="X32" s="57"/>
      <c r="Z32" s="124"/>
      <c r="AA32" s="124"/>
      <c r="AQ32" s="68">
        <f t="shared" ca="1" si="3"/>
        <v>4.5</v>
      </c>
      <c r="AR32" s="14">
        <f t="shared" ca="1" si="1"/>
        <v>1.3340820993150662E-2</v>
      </c>
      <c r="AS32" s="74"/>
      <c r="AT32" s="17"/>
      <c r="AV32" s="68">
        <f t="shared" ca="1" si="4"/>
        <v>4.5</v>
      </c>
      <c r="AW32" s="14">
        <f t="shared" ca="1" si="2"/>
        <v>1.599083663927385E-2</v>
      </c>
      <c r="AX32" s="74"/>
      <c r="AY32" s="17"/>
    </row>
    <row r="33" spans="2:51" x14ac:dyDescent="0.3">
      <c r="B33" s="125" t="s">
        <v>77</v>
      </c>
      <c r="AQ33" s="69">
        <f t="shared" ca="1" si="3"/>
        <v>5</v>
      </c>
      <c r="AR33" s="15">
        <f t="shared" ca="1" si="1"/>
        <v>1.4078369270627847E-2</v>
      </c>
      <c r="AS33" s="75">
        <f ca="1">U12</f>
        <v>1.4078369265823502E-2</v>
      </c>
      <c r="AT33" s="19">
        <f ca="1">AS33-AR33</f>
        <v>-4.8043444222933829E-12</v>
      </c>
      <c r="AV33" s="69">
        <f t="shared" ca="1" si="4"/>
        <v>5</v>
      </c>
      <c r="AW33" s="15">
        <f t="shared" ca="1" si="2"/>
        <v>1.6399994548673025E-2</v>
      </c>
      <c r="AX33" s="75">
        <f ca="1">U17</f>
        <v>1.6399994544683334E-2</v>
      </c>
      <c r="AY33" s="19">
        <f ca="1">AX33-AW33</f>
        <v>-3.9896905223990586E-12</v>
      </c>
    </row>
    <row r="34" spans="2:51" x14ac:dyDescent="0.3">
      <c r="AQ34" s="18"/>
    </row>
    <row r="35" spans="2:51" x14ac:dyDescent="0.3">
      <c r="B35" s="124" t="s">
        <v>71</v>
      </c>
      <c r="AQ35" s="18"/>
    </row>
    <row r="36" spans="2:51" x14ac:dyDescent="0.3">
      <c r="B36" s="124" t="s">
        <v>82</v>
      </c>
      <c r="AQ36" s="18"/>
    </row>
    <row r="37" spans="2:51" x14ac:dyDescent="0.3">
      <c r="B37" s="124" t="s">
        <v>83</v>
      </c>
      <c r="AQ37" s="25"/>
    </row>
    <row r="38" spans="2:51" x14ac:dyDescent="0.3">
      <c r="AQ38" s="25"/>
      <c r="AR38" s="25"/>
    </row>
    <row r="39" spans="2:51" x14ac:dyDescent="0.3">
      <c r="B39" t="s">
        <v>73</v>
      </c>
      <c r="AQ39" s="25"/>
      <c r="AR39" s="25"/>
    </row>
    <row r="40" spans="2:51" x14ac:dyDescent="0.3">
      <c r="AQ40" s="25"/>
      <c r="AR40" s="31"/>
    </row>
    <row r="42" spans="2:51" ht="16.2" x14ac:dyDescent="0.3">
      <c r="AF42" s="11" t="s">
        <v>52</v>
      </c>
      <c r="AO42" s="11" t="s">
        <v>96</v>
      </c>
    </row>
    <row r="43" spans="2:51" x14ac:dyDescent="0.3">
      <c r="AO43" s="70"/>
    </row>
    <row r="44" spans="2:51" ht="15.6" x14ac:dyDescent="0.35">
      <c r="AF44" t="s">
        <v>53</v>
      </c>
      <c r="AI44" t="s">
        <v>48</v>
      </c>
      <c r="AO44" t="s">
        <v>50</v>
      </c>
      <c r="AR44" t="s">
        <v>58</v>
      </c>
    </row>
    <row r="45" spans="2:51" x14ac:dyDescent="0.3">
      <c r="AF45" s="8" t="s">
        <v>47</v>
      </c>
      <c r="AG45" s="8" t="s">
        <v>46</v>
      </c>
      <c r="AI45" s="8">
        <v>1</v>
      </c>
      <c r="AJ45" s="8" t="s">
        <v>47</v>
      </c>
      <c r="AK45" s="8" t="s">
        <v>49</v>
      </c>
      <c r="AL45" s="8" t="s">
        <v>55</v>
      </c>
      <c r="AM45" s="8" t="s">
        <v>56</v>
      </c>
      <c r="AO45" s="8" t="s">
        <v>97</v>
      </c>
      <c r="AR45" s="8" t="s">
        <v>59</v>
      </c>
      <c r="AT45" s="77"/>
    </row>
    <row r="46" spans="2:51" x14ac:dyDescent="0.3">
      <c r="AF46" s="59">
        <f ca="1">T8</f>
        <v>1</v>
      </c>
      <c r="AG46" s="60">
        <f ca="1">V8</f>
        <v>1.4459099999999999E-2</v>
      </c>
      <c r="AI46" s="67">
        <v>1</v>
      </c>
      <c r="AJ46" s="26">
        <f t="shared" ref="AJ46:AM50" ca="1" si="5">AI46*$AF46</f>
        <v>1</v>
      </c>
      <c r="AK46" s="26">
        <f t="shared" ca="1" si="5"/>
        <v>1</v>
      </c>
      <c r="AL46" s="26">
        <f t="shared" ca="1" si="5"/>
        <v>1</v>
      </c>
      <c r="AM46" s="32">
        <f t="shared" ca="1" si="5"/>
        <v>1</v>
      </c>
      <c r="AO46" s="71">
        <f t="array" aca="1" ref="AO46:AO50" ca="1">MMULT(MMULT(MINVERSE(MMULT(TRANSPOSE(AI46:AM50),AI46:AM50)),TRANSPOSE(AI46:AM50)),AG46:AG50)</f>
        <v>2.3093258894895222E-2</v>
      </c>
      <c r="AP46" s="8">
        <v>1</v>
      </c>
      <c r="AR46" s="71">
        <f ca="1">AO46</f>
        <v>2.3093258894895222E-2</v>
      </c>
      <c r="AS46" s="8" t="s">
        <v>47</v>
      </c>
      <c r="AT46" s="30"/>
    </row>
    <row r="47" spans="2:51" x14ac:dyDescent="0.3">
      <c r="AF47" s="61">
        <f ca="1">T9</f>
        <v>2</v>
      </c>
      <c r="AG47" s="62">
        <f ca="1">V9</f>
        <v>1.2432208397870962E-2</v>
      </c>
      <c r="AI47" s="68">
        <v>1</v>
      </c>
      <c r="AJ47" s="27">
        <f t="shared" ca="1" si="5"/>
        <v>2</v>
      </c>
      <c r="AK47" s="27">
        <f t="shared" ca="1" si="5"/>
        <v>4</v>
      </c>
      <c r="AL47" s="27">
        <f t="shared" ca="1" si="5"/>
        <v>8</v>
      </c>
      <c r="AM47" s="33">
        <f t="shared" ca="1" si="5"/>
        <v>16</v>
      </c>
      <c r="AO47" s="72">
        <f ca="1"/>
        <v>-1.4010230210603245E-2</v>
      </c>
      <c r="AP47" s="8" t="s">
        <v>47</v>
      </c>
      <c r="AR47" s="72">
        <f ca="1">AO47/2</f>
        <v>-7.0051151053016226E-3</v>
      </c>
      <c r="AS47" s="8" t="s">
        <v>49</v>
      </c>
      <c r="AT47" s="30"/>
    </row>
    <row r="48" spans="2:51" x14ac:dyDescent="0.3">
      <c r="AF48" s="61">
        <f ca="1">T10</f>
        <v>3</v>
      </c>
      <c r="AG48" s="62">
        <f ca="1">V10</f>
        <v>1.261065280174457E-2</v>
      </c>
      <c r="AI48" s="68">
        <v>1</v>
      </c>
      <c r="AJ48" s="27">
        <f t="shared" ca="1" si="5"/>
        <v>3</v>
      </c>
      <c r="AK48" s="27">
        <f t="shared" ca="1" si="5"/>
        <v>9</v>
      </c>
      <c r="AL48" s="27">
        <f t="shared" ca="1" si="5"/>
        <v>27</v>
      </c>
      <c r="AM48" s="33">
        <f t="shared" ca="1" si="5"/>
        <v>81</v>
      </c>
      <c r="AO48" s="72">
        <f ca="1"/>
        <v>6.6139992296535763E-3</v>
      </c>
      <c r="AP48" s="8" t="s">
        <v>49</v>
      </c>
      <c r="AR48" s="72">
        <f ca="1">AO48/3</f>
        <v>2.2046664098845253E-3</v>
      </c>
      <c r="AS48" s="8" t="s">
        <v>55</v>
      </c>
      <c r="AT48" s="78"/>
    </row>
    <row r="49" spans="32:47" x14ac:dyDescent="0.3">
      <c r="AF49" s="61">
        <f ca="1">T11</f>
        <v>4</v>
      </c>
      <c r="AG49" s="62">
        <f ca="1">V11</f>
        <v>1.3013010882570744E-2</v>
      </c>
      <c r="AI49" s="68">
        <v>1</v>
      </c>
      <c r="AJ49" s="27">
        <f t="shared" ca="1" si="5"/>
        <v>4</v>
      </c>
      <c r="AK49" s="27">
        <f t="shared" ca="1" si="5"/>
        <v>16</v>
      </c>
      <c r="AL49" s="27">
        <f t="shared" ca="1" si="5"/>
        <v>64</v>
      </c>
      <c r="AM49" s="33">
        <f t="shared" ca="1" si="5"/>
        <v>256</v>
      </c>
      <c r="AO49" s="72">
        <f ca="1"/>
        <v>-1.3387824541590352E-3</v>
      </c>
      <c r="AP49" s="8" t="s">
        <v>55</v>
      </c>
      <c r="AR49" s="72">
        <f ca="1">AO49/4</f>
        <v>-3.346956135397588E-4</v>
      </c>
      <c r="AS49" s="8" t="s">
        <v>56</v>
      </c>
      <c r="AT49" s="78"/>
    </row>
    <row r="50" spans="32:47" x14ac:dyDescent="0.3">
      <c r="AF50" s="63">
        <f ca="1">T12</f>
        <v>5</v>
      </c>
      <c r="AG50" s="64">
        <f ca="1">V12</f>
        <v>1.4078369269656305E-2</v>
      </c>
      <c r="AI50" s="69">
        <v>1</v>
      </c>
      <c r="AJ50" s="28">
        <f t="shared" ca="1" si="5"/>
        <v>5</v>
      </c>
      <c r="AK50" s="28">
        <f t="shared" ca="1" si="5"/>
        <v>25</v>
      </c>
      <c r="AL50" s="28">
        <f t="shared" ca="1" si="5"/>
        <v>125</v>
      </c>
      <c r="AM50" s="34">
        <f t="shared" ca="1" si="5"/>
        <v>625</v>
      </c>
      <c r="AO50" s="73">
        <f ca="1"/>
        <v>1.0085453993166214E-4</v>
      </c>
      <c r="AP50" s="8" t="s">
        <v>56</v>
      </c>
      <c r="AR50" s="73">
        <f ca="1">AO50/5</f>
        <v>2.0170907986332428E-5</v>
      </c>
      <c r="AS50" s="8" t="s">
        <v>57</v>
      </c>
      <c r="AT50" s="78"/>
      <c r="AU50" s="76"/>
    </row>
    <row r="52" spans="32:47" ht="15.6" x14ac:dyDescent="0.35">
      <c r="AF52" t="s">
        <v>54</v>
      </c>
      <c r="AI52" t="s">
        <v>48</v>
      </c>
      <c r="AO52" t="s">
        <v>50</v>
      </c>
      <c r="AR52" t="s">
        <v>58</v>
      </c>
    </row>
    <row r="53" spans="32:47" x14ac:dyDescent="0.3">
      <c r="AF53" s="8" t="s">
        <v>47</v>
      </c>
      <c r="AG53" s="8" t="s">
        <v>46</v>
      </c>
      <c r="AI53" s="8">
        <v>1</v>
      </c>
      <c r="AJ53" s="8" t="s">
        <v>47</v>
      </c>
      <c r="AK53" s="8" t="s">
        <v>49</v>
      </c>
      <c r="AL53" s="8" t="s">
        <v>55</v>
      </c>
      <c r="AM53" s="8" t="s">
        <v>56</v>
      </c>
      <c r="AO53" s="8" t="s">
        <v>51</v>
      </c>
      <c r="AR53" s="8" t="s">
        <v>59</v>
      </c>
    </row>
    <row r="54" spans="32:47" x14ac:dyDescent="0.3">
      <c r="AF54" s="59">
        <f ca="1">T13</f>
        <v>1</v>
      </c>
      <c r="AG54" s="60">
        <f ca="1">V13</f>
        <v>1.7189599999999999E-2</v>
      </c>
      <c r="AI54" s="67">
        <v>1</v>
      </c>
      <c r="AJ54" s="26">
        <f t="shared" ref="AJ54:AM58" ca="1" si="6">AI54*$AF54</f>
        <v>1</v>
      </c>
      <c r="AK54" s="26">
        <f t="shared" ca="1" si="6"/>
        <v>1</v>
      </c>
      <c r="AL54" s="26">
        <f t="shared" ca="1" si="6"/>
        <v>1</v>
      </c>
      <c r="AM54" s="32">
        <f t="shared" ca="1" si="6"/>
        <v>1</v>
      </c>
      <c r="AO54" s="71">
        <f t="array" aca="1" ref="AO54:AO58" ca="1">MMULT(MMULT(MINVERSE(MMULT(TRANSPOSE(AI54:AM58),AI54:AM58)),TRANSPOSE(AI54:AM58)),AG54:AG58)</f>
        <v>2.6052780183996958E-2</v>
      </c>
      <c r="AP54" s="8">
        <v>1</v>
      </c>
      <c r="AR54" s="71">
        <f ca="1">AO54</f>
        <v>2.6052780183996958E-2</v>
      </c>
      <c r="AS54" s="8" t="s">
        <v>47</v>
      </c>
    </row>
    <row r="55" spans="32:47" x14ac:dyDescent="0.3">
      <c r="AF55" s="61">
        <f ca="1">T14</f>
        <v>2</v>
      </c>
      <c r="AG55" s="62">
        <f ca="1">V14</f>
        <v>1.483576442072977E-2</v>
      </c>
      <c r="AI55" s="68">
        <v>1</v>
      </c>
      <c r="AJ55" s="27">
        <f t="shared" ca="1" si="6"/>
        <v>2</v>
      </c>
      <c r="AK55" s="27">
        <f t="shared" ca="1" si="6"/>
        <v>4</v>
      </c>
      <c r="AL55" s="27">
        <f t="shared" ca="1" si="6"/>
        <v>8</v>
      </c>
      <c r="AM55" s="33">
        <f t="shared" ca="1" si="6"/>
        <v>16</v>
      </c>
      <c r="AO55" s="72">
        <f ca="1"/>
        <v>-1.3878262581416417E-2</v>
      </c>
      <c r="AP55" s="8" t="s">
        <v>47</v>
      </c>
      <c r="AR55" s="72">
        <f ca="1">AO55/2</f>
        <v>-6.9391312907082087E-3</v>
      </c>
      <c r="AS55" s="8" t="s">
        <v>49</v>
      </c>
    </row>
    <row r="56" spans="32:47" x14ac:dyDescent="0.3">
      <c r="AF56" s="61">
        <f ca="1">T15</f>
        <v>3</v>
      </c>
      <c r="AG56" s="62">
        <f ca="1">V15</f>
        <v>1.5052961487637078E-2</v>
      </c>
      <c r="AI56" s="68">
        <v>1</v>
      </c>
      <c r="AJ56" s="27">
        <f t="shared" ca="1" si="6"/>
        <v>3</v>
      </c>
      <c r="AK56" s="27">
        <f t="shared" ca="1" si="6"/>
        <v>9</v>
      </c>
      <c r="AL56" s="27">
        <f t="shared" ca="1" si="6"/>
        <v>27</v>
      </c>
      <c r="AM56" s="33">
        <f t="shared" ca="1" si="6"/>
        <v>81</v>
      </c>
      <c r="AO56" s="72">
        <f ca="1"/>
        <v>6.0445005913391733E-3</v>
      </c>
      <c r="AP56" s="8" t="s">
        <v>49</v>
      </c>
      <c r="AR56" s="72">
        <f ca="1">AO56/3</f>
        <v>2.014833530446391E-3</v>
      </c>
      <c r="AS56" s="8" t="s">
        <v>55</v>
      </c>
    </row>
    <row r="57" spans="32:47" x14ac:dyDescent="0.3">
      <c r="AF57" s="61">
        <f ca="1">T16</f>
        <v>4</v>
      </c>
      <c r="AG57" s="62">
        <f ca="1">V16</f>
        <v>1.569343700636679E-2</v>
      </c>
      <c r="AI57" s="68">
        <v>1</v>
      </c>
      <c r="AJ57" s="27">
        <f t="shared" ca="1" si="6"/>
        <v>4</v>
      </c>
      <c r="AK57" s="27">
        <f t="shared" ca="1" si="6"/>
        <v>16</v>
      </c>
      <c r="AL57" s="27">
        <f t="shared" ca="1" si="6"/>
        <v>64</v>
      </c>
      <c r="AM57" s="33">
        <f t="shared" ca="1" si="6"/>
        <v>256</v>
      </c>
      <c r="AO57" s="72">
        <f ca="1"/>
        <v>-1.1040247677944811E-3</v>
      </c>
      <c r="AP57" s="8" t="s">
        <v>55</v>
      </c>
      <c r="AR57" s="72">
        <f ca="1">AO57/4</f>
        <v>-2.7600619194862027E-4</v>
      </c>
      <c r="AS57" s="8" t="s">
        <v>56</v>
      </c>
    </row>
    <row r="58" spans="32:47" x14ac:dyDescent="0.3">
      <c r="AF58" s="63">
        <f ca="1">T17</f>
        <v>5</v>
      </c>
      <c r="AG58" s="64">
        <f ca="1">V17</f>
        <v>1.6399994547529238E-2</v>
      </c>
      <c r="AI58" s="69">
        <v>1</v>
      </c>
      <c r="AJ58" s="28">
        <f t="shared" ca="1" si="6"/>
        <v>5</v>
      </c>
      <c r="AK58" s="28">
        <f t="shared" ca="1" si="6"/>
        <v>25</v>
      </c>
      <c r="AL58" s="28">
        <f t="shared" ca="1" si="6"/>
        <v>125</v>
      </c>
      <c r="AM58" s="34">
        <f t="shared" ca="1" si="6"/>
        <v>625</v>
      </c>
      <c r="AO58" s="73">
        <f ca="1"/>
        <v>7.460657354014231E-5</v>
      </c>
      <c r="AP58" s="8" t="s">
        <v>56</v>
      </c>
      <c r="AR58" s="73">
        <f ca="1">AO58/5</f>
        <v>1.4921314708028461E-5</v>
      </c>
      <c r="AS58" s="8" t="s">
        <v>57</v>
      </c>
    </row>
    <row r="60" spans="32:47" x14ac:dyDescent="0.3">
      <c r="AF60" s="11" t="s">
        <v>52</v>
      </c>
    </row>
  </sheetData>
  <dataValidations disablePrompts="1" count="1">
    <dataValidation type="list" allowBlank="1" showInputMessage="1" showErrorMessage="1" sqref="AA20" xr:uid="{00000000-0002-0000-0300-000000000000}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UpdateSolverIteration">
                <anchor moveWithCells="1" sizeWithCells="1">
                  <from>
                    <xdr:col>25</xdr:col>
                    <xdr:colOff>480060</xdr:colOff>
                    <xdr:row>12</xdr:row>
                    <xdr:rowOff>144780</xdr:rowOff>
                  </from>
                  <to>
                    <xdr:col>28</xdr:col>
                    <xdr:colOff>129540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2:BM51"/>
  <sheetViews>
    <sheetView showGridLines="0" workbookViewId="0"/>
  </sheetViews>
  <sheetFormatPr defaultRowHeight="14.4" x14ac:dyDescent="0.3"/>
  <cols>
    <col min="2" max="17" width="9.109375" customWidth="1"/>
    <col min="19" max="33" width="9.109375" customWidth="1"/>
    <col min="35" max="48" width="9.109375" customWidth="1"/>
    <col min="49" max="49" width="5.88671875" bestFit="1" customWidth="1"/>
    <col min="51" max="51" width="9.109375" customWidth="1"/>
    <col min="54" max="63" width="5.6640625" customWidth="1"/>
    <col min="65" max="65" width="6.6640625" customWidth="1"/>
  </cols>
  <sheetData>
    <row r="2" spans="2:65" s="201" customFormat="1" ht="15.6" x14ac:dyDescent="0.3">
      <c r="B2" s="202" t="s">
        <v>183</v>
      </c>
      <c r="R2" s="203"/>
      <c r="S2" s="202" t="s">
        <v>184</v>
      </c>
      <c r="AH2" s="203"/>
      <c r="AJ2" s="202" t="s">
        <v>185</v>
      </c>
      <c r="AX2" s="233" t="s">
        <v>216</v>
      </c>
    </row>
    <row r="3" spans="2:65" s="198" customFormat="1" ht="18" x14ac:dyDescent="0.4">
      <c r="B3" s="199"/>
      <c r="R3" s="200"/>
      <c r="S3" s="199"/>
      <c r="AH3" s="200"/>
      <c r="AJ3" s="199"/>
      <c r="AX3" s="231" t="s">
        <v>215</v>
      </c>
    </row>
    <row r="4" spans="2:65" x14ac:dyDescent="0.3">
      <c r="R4" s="1"/>
      <c r="AH4" s="1"/>
      <c r="AJ4" s="2"/>
    </row>
    <row r="5" spans="2:65" x14ac:dyDescent="0.3">
      <c r="B5" s="6" t="s">
        <v>0</v>
      </c>
      <c r="S5" s="6" t="s">
        <v>1</v>
      </c>
      <c r="T5" s="7"/>
      <c r="AJ5" s="2" t="s">
        <v>2</v>
      </c>
      <c r="AW5" s="3"/>
      <c r="AX5" s="213" t="s">
        <v>130</v>
      </c>
      <c r="AZ5" s="213" t="s">
        <v>131</v>
      </c>
      <c r="BB5" s="11" t="s">
        <v>197</v>
      </c>
      <c r="BM5" s="234" t="s">
        <v>13</v>
      </c>
    </row>
    <row r="6" spans="2:65" ht="15.6" x14ac:dyDescent="0.3">
      <c r="S6" s="7"/>
      <c r="T6" s="7"/>
      <c r="AX6" s="8" t="s">
        <v>208</v>
      </c>
      <c r="AZ6" s="8" t="s">
        <v>209</v>
      </c>
      <c r="BB6" s="164" t="s">
        <v>199</v>
      </c>
      <c r="BC6" s="164" t="s">
        <v>198</v>
      </c>
      <c r="BD6" s="164" t="s">
        <v>200</v>
      </c>
      <c r="BE6" s="164" t="s">
        <v>201</v>
      </c>
      <c r="BF6" s="235" t="s">
        <v>202</v>
      </c>
      <c r="BG6" s="235" t="s">
        <v>203</v>
      </c>
      <c r="BH6" s="164" t="s">
        <v>204</v>
      </c>
      <c r="BI6" s="164" t="s">
        <v>205</v>
      </c>
      <c r="BJ6" s="164" t="s">
        <v>206</v>
      </c>
      <c r="BK6" s="164" t="s">
        <v>207</v>
      </c>
      <c r="BM6" s="8" t="s">
        <v>9</v>
      </c>
    </row>
    <row r="7" spans="2:65" ht="15" x14ac:dyDescent="0.3">
      <c r="S7" s="7"/>
      <c r="T7" s="7"/>
      <c r="AW7" s="166" t="s">
        <v>152</v>
      </c>
      <c r="AX7" s="215">
        <v>1.4459099999999999E-2</v>
      </c>
      <c r="AY7" s="166" t="s">
        <v>152</v>
      </c>
      <c r="AZ7" s="151">
        <v>1.43591E-2</v>
      </c>
      <c r="BA7" s="166" t="s">
        <v>152</v>
      </c>
      <c r="BB7" s="147">
        <v>1</v>
      </c>
      <c r="BC7" s="131">
        <v>0</v>
      </c>
      <c r="BD7" s="131">
        <v>0</v>
      </c>
      <c r="BE7" s="131">
        <v>0</v>
      </c>
      <c r="BF7" s="159">
        <v>0</v>
      </c>
      <c r="BG7" s="131">
        <v>0</v>
      </c>
      <c r="BH7" s="131">
        <v>0</v>
      </c>
      <c r="BI7" s="131">
        <v>0</v>
      </c>
      <c r="BJ7" s="131">
        <v>0</v>
      </c>
      <c r="BK7" s="132">
        <v>0</v>
      </c>
      <c r="BL7" s="166" t="s">
        <v>152</v>
      </c>
      <c r="BM7" s="223">
        <v>1E-4</v>
      </c>
    </row>
    <row r="8" spans="2:65" ht="15" x14ac:dyDescent="0.3">
      <c r="S8" s="7"/>
      <c r="T8" s="7"/>
      <c r="AW8" s="166" t="s">
        <v>153</v>
      </c>
      <c r="AX8" s="216">
        <v>1.243231033418318E-2</v>
      </c>
      <c r="AY8" s="166" t="s">
        <v>153</v>
      </c>
      <c r="AZ8" s="152">
        <v>1.233231033418318E-2</v>
      </c>
      <c r="BA8" s="166" t="s">
        <v>153</v>
      </c>
      <c r="BB8" s="127">
        <v>-1.013100581860171</v>
      </c>
      <c r="BC8" s="128">
        <v>2.0131005818601713</v>
      </c>
      <c r="BD8" s="128">
        <v>0</v>
      </c>
      <c r="BE8" s="128">
        <v>0</v>
      </c>
      <c r="BF8" s="160">
        <v>0</v>
      </c>
      <c r="BG8" s="128">
        <v>0</v>
      </c>
      <c r="BH8" s="128">
        <v>0</v>
      </c>
      <c r="BI8" s="128">
        <v>0</v>
      </c>
      <c r="BJ8" s="128">
        <v>0</v>
      </c>
      <c r="BK8" s="133">
        <v>0</v>
      </c>
      <c r="BL8" s="166" t="s">
        <v>153</v>
      </c>
      <c r="BM8" s="224">
        <v>1E-4</v>
      </c>
    </row>
    <row r="9" spans="2:65" ht="15" x14ac:dyDescent="0.3">
      <c r="S9" s="7"/>
      <c r="T9" s="7"/>
      <c r="AV9" s="66"/>
      <c r="AW9" s="166" t="s">
        <v>154</v>
      </c>
      <c r="AX9" s="216">
        <v>1.2610737606168054E-2</v>
      </c>
      <c r="AY9" s="166" t="s">
        <v>154</v>
      </c>
      <c r="AZ9" s="152">
        <v>1.2510737606168054E-2</v>
      </c>
      <c r="BA9" s="166" t="s">
        <v>154</v>
      </c>
      <c r="BB9" s="127">
        <v>1.6865017081063214E-16</v>
      </c>
      <c r="BC9" s="128">
        <v>-2.0381313856749337</v>
      </c>
      <c r="BD9" s="128">
        <v>3.0381313856749337</v>
      </c>
      <c r="BE9" s="128">
        <v>0</v>
      </c>
      <c r="BF9" s="160">
        <v>0</v>
      </c>
      <c r="BG9" s="128">
        <v>0</v>
      </c>
      <c r="BH9" s="128">
        <v>0</v>
      </c>
      <c r="BI9" s="128">
        <v>0</v>
      </c>
      <c r="BJ9" s="128">
        <v>0</v>
      </c>
      <c r="BK9" s="133">
        <v>0</v>
      </c>
      <c r="BL9" s="166" t="s">
        <v>154</v>
      </c>
      <c r="BM9" s="224">
        <v>1E-4</v>
      </c>
    </row>
    <row r="10" spans="2:65" ht="15" x14ac:dyDescent="0.3">
      <c r="S10" s="7"/>
      <c r="T10" s="7"/>
      <c r="AV10" s="66"/>
      <c r="AW10" s="221" t="s">
        <v>155</v>
      </c>
      <c r="AX10" s="216">
        <v>1.3013035464723035E-2</v>
      </c>
      <c r="AY10" s="222" t="s">
        <v>155</v>
      </c>
      <c r="AZ10" s="152">
        <v>1.2913035464723036E-2</v>
      </c>
      <c r="BA10" s="218" t="s">
        <v>155</v>
      </c>
      <c r="BB10" s="127">
        <v>5.5511151231257852E-17</v>
      </c>
      <c r="BC10" s="128">
        <v>0</v>
      </c>
      <c r="BD10" s="128">
        <v>-3.0769983737932272</v>
      </c>
      <c r="BE10" s="128">
        <v>4.0769983737932272</v>
      </c>
      <c r="BF10" s="160">
        <v>0</v>
      </c>
      <c r="BG10" s="128">
        <v>0</v>
      </c>
      <c r="BH10" s="128">
        <v>0</v>
      </c>
      <c r="BI10" s="128">
        <v>0</v>
      </c>
      <c r="BJ10" s="128">
        <v>0</v>
      </c>
      <c r="BK10" s="133">
        <v>0</v>
      </c>
      <c r="BL10" s="218" t="s">
        <v>155</v>
      </c>
      <c r="BM10" s="224">
        <v>1E-4</v>
      </c>
    </row>
    <row r="11" spans="2:65" ht="15" x14ac:dyDescent="0.3">
      <c r="S11" s="7"/>
      <c r="T11" s="7"/>
      <c r="AV11" s="66"/>
      <c r="AW11" s="221" t="s">
        <v>156</v>
      </c>
      <c r="AX11" s="216">
        <v>1.4078178330425399E-2</v>
      </c>
      <c r="AY11" s="222" t="s">
        <v>156</v>
      </c>
      <c r="AZ11" s="152">
        <v>1.39781783304254E-2</v>
      </c>
      <c r="BA11" s="218" t="s">
        <v>156</v>
      </c>
      <c r="BB11" s="161">
        <v>-2.2935090300213447E-16</v>
      </c>
      <c r="BC11" s="162">
        <v>5.697241084667845E-16</v>
      </c>
      <c r="BD11" s="162">
        <v>-5.697241084667845E-16</v>
      </c>
      <c r="BE11" s="162">
        <v>-4.1316185651899975</v>
      </c>
      <c r="BF11" s="163">
        <v>5.1316185651899975</v>
      </c>
      <c r="BG11" s="128">
        <v>0</v>
      </c>
      <c r="BH11" s="128">
        <v>0</v>
      </c>
      <c r="BI11" s="128">
        <v>0</v>
      </c>
      <c r="BJ11" s="128">
        <v>0</v>
      </c>
      <c r="BK11" s="133">
        <v>0</v>
      </c>
      <c r="BL11" s="218" t="s">
        <v>156</v>
      </c>
      <c r="BM11" s="224">
        <v>1E-4</v>
      </c>
    </row>
    <row r="12" spans="2:65" ht="15" x14ac:dyDescent="0.3">
      <c r="S12" s="7"/>
      <c r="T12" s="7"/>
      <c r="AV12" s="66"/>
      <c r="AW12" s="221" t="s">
        <v>157</v>
      </c>
      <c r="AX12" s="216">
        <v>1.7189599999999999E-2</v>
      </c>
      <c r="AY12" s="222" t="s">
        <v>157</v>
      </c>
      <c r="AZ12" s="152">
        <v>1.70896E-2</v>
      </c>
      <c r="BA12" s="218" t="s">
        <v>157</v>
      </c>
      <c r="BB12" s="127">
        <v>0</v>
      </c>
      <c r="BC12" s="128">
        <v>0</v>
      </c>
      <c r="BD12" s="128">
        <v>0</v>
      </c>
      <c r="BE12" s="128">
        <v>0</v>
      </c>
      <c r="BF12" s="128">
        <v>0</v>
      </c>
      <c r="BG12" s="154">
        <v>1</v>
      </c>
      <c r="BH12" s="155">
        <v>0</v>
      </c>
      <c r="BI12" s="155">
        <v>0</v>
      </c>
      <c r="BJ12" s="155">
        <v>0</v>
      </c>
      <c r="BK12" s="156">
        <v>0</v>
      </c>
      <c r="BL12" s="218" t="s">
        <v>157</v>
      </c>
      <c r="BM12" s="224">
        <v>1E-4</v>
      </c>
    </row>
    <row r="13" spans="2:65" ht="15" x14ac:dyDescent="0.3">
      <c r="S13" s="7"/>
      <c r="T13" s="7"/>
      <c r="AW13" s="221" t="s">
        <v>158</v>
      </c>
      <c r="AX13" s="216">
        <v>1.4835882799689094E-2</v>
      </c>
      <c r="AY13" s="222" t="s">
        <v>158</v>
      </c>
      <c r="AZ13" s="152">
        <v>1.4735882799689095E-2</v>
      </c>
      <c r="BA13" s="218" t="s">
        <v>158</v>
      </c>
      <c r="BB13" s="127">
        <v>0</v>
      </c>
      <c r="BC13" s="128">
        <v>0</v>
      </c>
      <c r="BD13" s="128">
        <v>0</v>
      </c>
      <c r="BE13" s="128">
        <v>0</v>
      </c>
      <c r="BF13" s="128">
        <v>0</v>
      </c>
      <c r="BG13" s="157">
        <v>-1.013100581860171</v>
      </c>
      <c r="BH13" s="128">
        <v>2.0131005818601713</v>
      </c>
      <c r="BI13" s="128">
        <v>0</v>
      </c>
      <c r="BJ13" s="128">
        <v>0</v>
      </c>
      <c r="BK13" s="133">
        <v>0</v>
      </c>
      <c r="BL13" s="218" t="s">
        <v>158</v>
      </c>
      <c r="BM13" s="224">
        <v>1E-4</v>
      </c>
    </row>
    <row r="14" spans="2:65" ht="15" x14ac:dyDescent="0.3">
      <c r="S14" s="7"/>
      <c r="T14" s="7"/>
      <c r="AW14" s="166" t="s">
        <v>159</v>
      </c>
      <c r="AX14" s="216">
        <v>1.5053058966801099E-2</v>
      </c>
      <c r="AY14" s="222" t="s">
        <v>159</v>
      </c>
      <c r="AZ14" s="152">
        <v>1.4953058966801099E-2</v>
      </c>
      <c r="BA14" s="166" t="s">
        <v>159</v>
      </c>
      <c r="BB14" s="127">
        <v>0</v>
      </c>
      <c r="BC14" s="128">
        <v>0</v>
      </c>
      <c r="BD14" s="128">
        <v>0</v>
      </c>
      <c r="BE14" s="128">
        <v>0</v>
      </c>
      <c r="BF14" s="128">
        <v>0</v>
      </c>
      <c r="BG14" s="157">
        <v>1.6865017081063214E-16</v>
      </c>
      <c r="BH14" s="128">
        <v>-2.0381313856749337</v>
      </c>
      <c r="BI14" s="128">
        <v>3.0381313856749337</v>
      </c>
      <c r="BJ14" s="128">
        <v>0</v>
      </c>
      <c r="BK14" s="133">
        <v>0</v>
      </c>
      <c r="BL14" s="166" t="s">
        <v>159</v>
      </c>
      <c r="BM14" s="224">
        <v>1E-4</v>
      </c>
    </row>
    <row r="15" spans="2:65" ht="15" x14ac:dyDescent="0.3">
      <c r="S15" s="7"/>
      <c r="T15" s="7"/>
      <c r="AW15" s="166" t="s">
        <v>160</v>
      </c>
      <c r="AX15" s="216">
        <v>1.5693438303415037E-2</v>
      </c>
      <c r="AY15" s="166" t="s">
        <v>160</v>
      </c>
      <c r="AZ15" s="152">
        <v>1.5593438303415037E-2</v>
      </c>
      <c r="BA15" s="166" t="s">
        <v>160</v>
      </c>
      <c r="BB15" s="127">
        <v>0</v>
      </c>
      <c r="BC15" s="128">
        <v>0</v>
      </c>
      <c r="BD15" s="128">
        <v>0</v>
      </c>
      <c r="BE15" s="128">
        <v>0</v>
      </c>
      <c r="BF15" s="128">
        <v>0</v>
      </c>
      <c r="BG15" s="157">
        <v>5.5511151231257852E-17</v>
      </c>
      <c r="BH15" s="128">
        <v>0</v>
      </c>
      <c r="BI15" s="128">
        <v>-3.0769983737932272</v>
      </c>
      <c r="BJ15" s="128">
        <v>4.0769983737932272</v>
      </c>
      <c r="BK15" s="133">
        <v>0</v>
      </c>
      <c r="BL15" s="166" t="s">
        <v>160</v>
      </c>
      <c r="BM15" s="224">
        <v>1E-4</v>
      </c>
    </row>
    <row r="16" spans="2:65" ht="15" x14ac:dyDescent="0.3">
      <c r="S16" s="7"/>
      <c r="T16" s="7"/>
      <c r="AW16" s="166" t="s">
        <v>161</v>
      </c>
      <c r="AX16" s="217">
        <v>1.6399852772291924E-2</v>
      </c>
      <c r="AY16" s="166" t="s">
        <v>161</v>
      </c>
      <c r="AZ16" s="153">
        <v>1.6299852772291925E-2</v>
      </c>
      <c r="BA16" s="166" t="s">
        <v>161</v>
      </c>
      <c r="BB16" s="129">
        <v>0</v>
      </c>
      <c r="BC16" s="130">
        <v>0</v>
      </c>
      <c r="BD16" s="130">
        <v>0</v>
      </c>
      <c r="BE16" s="130">
        <v>0</v>
      </c>
      <c r="BF16" s="130">
        <v>0</v>
      </c>
      <c r="BG16" s="158">
        <v>-2.2935090300213447E-16</v>
      </c>
      <c r="BH16" s="130">
        <v>5.697241084667845E-16</v>
      </c>
      <c r="BI16" s="130">
        <v>-5.697241084667845E-16</v>
      </c>
      <c r="BJ16" s="130">
        <v>-4.1316185651899975</v>
      </c>
      <c r="BK16" s="148">
        <v>5.1316185651899975</v>
      </c>
      <c r="BL16" s="166" t="s">
        <v>161</v>
      </c>
      <c r="BM16" s="225">
        <v>1E-4</v>
      </c>
    </row>
    <row r="17" spans="1:63" x14ac:dyDescent="0.3">
      <c r="S17" s="7"/>
      <c r="T17" s="7"/>
    </row>
    <row r="18" spans="1:63" ht="15.6" x14ac:dyDescent="0.3">
      <c r="S18" s="7"/>
      <c r="T18" s="7"/>
      <c r="BB18" s="232" t="s">
        <v>214</v>
      </c>
    </row>
    <row r="19" spans="1:63" ht="17.399999999999999" x14ac:dyDescent="0.3">
      <c r="S19" s="7"/>
      <c r="T19" s="7"/>
      <c r="BB19" s="231" t="s">
        <v>213</v>
      </c>
    </row>
    <row r="20" spans="1:63" x14ac:dyDescent="0.3">
      <c r="A20" s="18"/>
      <c r="S20" s="7"/>
      <c r="T20" s="7"/>
    </row>
    <row r="21" spans="1:63" x14ac:dyDescent="0.3">
      <c r="A21" s="18"/>
      <c r="S21" s="7"/>
      <c r="T21" s="7"/>
    </row>
    <row r="22" spans="1:63" x14ac:dyDescent="0.3">
      <c r="A22" s="18"/>
      <c r="S22" s="7"/>
      <c r="T22" s="7"/>
      <c r="BB22" s="11" t="s">
        <v>222</v>
      </c>
    </row>
    <row r="23" spans="1:63" ht="15" x14ac:dyDescent="0.3">
      <c r="A23" s="18"/>
      <c r="S23" s="7"/>
      <c r="T23" s="7"/>
      <c r="BA23" s="8"/>
      <c r="BB23" s="238" t="s">
        <v>152</v>
      </c>
      <c r="BC23" s="238" t="s">
        <v>153</v>
      </c>
      <c r="BD23" s="238" t="s">
        <v>154</v>
      </c>
      <c r="BE23" s="238" t="s">
        <v>155</v>
      </c>
      <c r="BF23" s="238" t="s">
        <v>156</v>
      </c>
      <c r="BG23" s="238" t="s">
        <v>157</v>
      </c>
      <c r="BH23" s="238" t="s">
        <v>158</v>
      </c>
      <c r="BI23" s="238" t="s">
        <v>159</v>
      </c>
      <c r="BJ23" s="238" t="s">
        <v>160</v>
      </c>
      <c r="BK23" s="238" t="s">
        <v>161</v>
      </c>
    </row>
    <row r="24" spans="1:63" ht="15" x14ac:dyDescent="0.3">
      <c r="A24" s="18"/>
      <c r="R24" s="20"/>
      <c r="S24" s="7"/>
      <c r="T24" s="7"/>
      <c r="BA24" s="237" t="s">
        <v>199</v>
      </c>
      <c r="BB24" s="147">
        <v>1</v>
      </c>
      <c r="BC24" s="131">
        <v>0</v>
      </c>
      <c r="BD24" s="131">
        <v>0</v>
      </c>
      <c r="BE24" s="131">
        <v>0</v>
      </c>
      <c r="BF24" s="159">
        <v>0</v>
      </c>
      <c r="BG24" s="131">
        <v>0</v>
      </c>
      <c r="BH24" s="131">
        <v>0</v>
      </c>
      <c r="BI24" s="131">
        <v>0</v>
      </c>
      <c r="BJ24" s="131">
        <v>0</v>
      </c>
      <c r="BK24" s="132">
        <v>0</v>
      </c>
    </row>
    <row r="25" spans="1:63" ht="15" x14ac:dyDescent="0.3">
      <c r="S25" s="7"/>
      <c r="T25" s="7"/>
      <c r="AZ25" s="236"/>
      <c r="BA25" s="237" t="s">
        <v>198</v>
      </c>
      <c r="BB25" s="127">
        <v>0.50325383191933348</v>
      </c>
      <c r="BC25" s="128">
        <v>0.49674616808066646</v>
      </c>
      <c r="BD25" s="128">
        <v>0</v>
      </c>
      <c r="BE25" s="128">
        <v>0</v>
      </c>
      <c r="BF25" s="160">
        <v>0</v>
      </c>
      <c r="BG25" s="128">
        <v>0</v>
      </c>
      <c r="BH25" s="128">
        <v>0</v>
      </c>
      <c r="BI25" s="128">
        <v>0</v>
      </c>
      <c r="BJ25" s="128">
        <v>0</v>
      </c>
      <c r="BK25" s="133">
        <v>0</v>
      </c>
    </row>
    <row r="26" spans="1:63" ht="15" x14ac:dyDescent="0.3">
      <c r="AZ26" s="236"/>
      <c r="BA26" s="237" t="s">
        <v>200</v>
      </c>
      <c r="BB26" s="127">
        <v>0.33760798977694906</v>
      </c>
      <c r="BC26" s="128">
        <v>0.33324232146531929</v>
      </c>
      <c r="BD26" s="128">
        <v>0.32914968875773154</v>
      </c>
      <c r="BE26" s="128">
        <v>0</v>
      </c>
      <c r="BF26" s="160">
        <v>0</v>
      </c>
      <c r="BG26" s="128">
        <v>0</v>
      </c>
      <c r="BH26" s="128">
        <v>0</v>
      </c>
      <c r="BI26" s="128">
        <v>0</v>
      </c>
      <c r="BJ26" s="128">
        <v>0</v>
      </c>
      <c r="BK26" s="133">
        <v>0</v>
      </c>
    </row>
    <row r="27" spans="1:63" ht="15" x14ac:dyDescent="0.3">
      <c r="AZ27" s="236"/>
      <c r="BA27" s="237" t="s">
        <v>201</v>
      </c>
      <c r="BB27" s="127">
        <v>0.25480001223467702</v>
      </c>
      <c r="BC27" s="128">
        <v>0.25150514844916433</v>
      </c>
      <c r="BD27" s="128">
        <v>0.24841635050734326</v>
      </c>
      <c r="BE27" s="128">
        <v>0.24527848880881523</v>
      </c>
      <c r="BF27" s="160">
        <v>0</v>
      </c>
      <c r="BG27" s="128">
        <v>0</v>
      </c>
      <c r="BH27" s="128">
        <v>0</v>
      </c>
      <c r="BI27" s="128">
        <v>0</v>
      </c>
      <c r="BJ27" s="128">
        <v>0</v>
      </c>
      <c r="BK27" s="133">
        <v>0</v>
      </c>
    </row>
    <row r="28" spans="1:63" ht="15" x14ac:dyDescent="0.3">
      <c r="B28" s="7"/>
      <c r="C28" s="7"/>
      <c r="R28" s="7"/>
      <c r="AZ28" s="236"/>
      <c r="BA28" s="237" t="s">
        <v>202</v>
      </c>
      <c r="BB28" s="161">
        <v>0.20514705985760515</v>
      </c>
      <c r="BC28" s="162">
        <v>0.20249426713479049</v>
      </c>
      <c r="BD28" s="162">
        <v>0.20000738414486663</v>
      </c>
      <c r="BE28" s="162">
        <v>0.19748099846675318</v>
      </c>
      <c r="BF28" s="163">
        <v>0.19487029039598447</v>
      </c>
      <c r="BG28" s="128">
        <v>0</v>
      </c>
      <c r="BH28" s="128">
        <v>0</v>
      </c>
      <c r="BI28" s="128">
        <v>0</v>
      </c>
      <c r="BJ28" s="128">
        <v>0</v>
      </c>
      <c r="BK28" s="133">
        <v>0</v>
      </c>
    </row>
    <row r="29" spans="1:63" ht="15" x14ac:dyDescent="0.3">
      <c r="A29" s="18"/>
      <c r="B29" s="7"/>
      <c r="C29" s="7"/>
      <c r="R29" s="7"/>
      <c r="AZ29" s="236"/>
      <c r="BA29" s="237" t="s">
        <v>203</v>
      </c>
      <c r="BB29" s="127">
        <v>0</v>
      </c>
      <c r="BC29" s="128">
        <v>0</v>
      </c>
      <c r="BD29" s="128">
        <v>0</v>
      </c>
      <c r="BE29" s="128">
        <v>0</v>
      </c>
      <c r="BF29" s="128">
        <v>0</v>
      </c>
      <c r="BG29" s="154">
        <v>1</v>
      </c>
      <c r="BH29" s="155">
        <v>0</v>
      </c>
      <c r="BI29" s="155">
        <v>0</v>
      </c>
      <c r="BJ29" s="155">
        <v>0</v>
      </c>
      <c r="BK29" s="156">
        <v>0</v>
      </c>
    </row>
    <row r="30" spans="1:63" ht="15" x14ac:dyDescent="0.3">
      <c r="A30" s="18"/>
      <c r="R30" s="7"/>
      <c r="AZ30" s="236"/>
      <c r="BA30" s="237" t="s">
        <v>204</v>
      </c>
      <c r="BB30" s="127">
        <v>0</v>
      </c>
      <c r="BC30" s="128">
        <v>0</v>
      </c>
      <c r="BD30" s="128">
        <v>0</v>
      </c>
      <c r="BE30" s="128">
        <v>0</v>
      </c>
      <c r="BF30" s="128">
        <v>0</v>
      </c>
      <c r="BG30" s="157">
        <v>0.50325383191933348</v>
      </c>
      <c r="BH30" s="128">
        <v>0.49674616808066646</v>
      </c>
      <c r="BI30" s="128">
        <v>0</v>
      </c>
      <c r="BJ30" s="128">
        <v>0</v>
      </c>
      <c r="BK30" s="133">
        <v>0</v>
      </c>
    </row>
    <row r="31" spans="1:63" ht="15" x14ac:dyDescent="0.3">
      <c r="A31" s="18"/>
      <c r="R31" s="7"/>
      <c r="AZ31" s="236"/>
      <c r="BA31" s="237" t="s">
        <v>205</v>
      </c>
      <c r="BB31" s="127">
        <v>0</v>
      </c>
      <c r="BC31" s="128">
        <v>0</v>
      </c>
      <c r="BD31" s="128">
        <v>0</v>
      </c>
      <c r="BE31" s="128">
        <v>0</v>
      </c>
      <c r="BF31" s="128">
        <v>0</v>
      </c>
      <c r="BG31" s="157">
        <v>0.33760798977694906</v>
      </c>
      <c r="BH31" s="128">
        <v>0.33324232146531929</v>
      </c>
      <c r="BI31" s="128">
        <v>0.32914968875773154</v>
      </c>
      <c r="BJ31" s="128">
        <v>0</v>
      </c>
      <c r="BK31" s="133">
        <v>0</v>
      </c>
    </row>
    <row r="32" spans="1:63" ht="15" x14ac:dyDescent="0.3">
      <c r="A32" s="18"/>
      <c r="R32" s="7"/>
      <c r="AZ32" s="236"/>
      <c r="BA32" s="237" t="s">
        <v>206</v>
      </c>
      <c r="BB32" s="127">
        <v>0</v>
      </c>
      <c r="BC32" s="128">
        <v>0</v>
      </c>
      <c r="BD32" s="128">
        <v>0</v>
      </c>
      <c r="BE32" s="128">
        <v>0</v>
      </c>
      <c r="BF32" s="128">
        <v>0</v>
      </c>
      <c r="BG32" s="157">
        <v>0.25480001223467702</v>
      </c>
      <c r="BH32" s="128">
        <v>0.25150514844916433</v>
      </c>
      <c r="BI32" s="128">
        <v>0.24841635050734326</v>
      </c>
      <c r="BJ32" s="128">
        <v>0.24527848880881523</v>
      </c>
      <c r="BK32" s="133">
        <v>0</v>
      </c>
    </row>
    <row r="33" spans="1:63" ht="15" x14ac:dyDescent="0.3">
      <c r="A33" s="18"/>
      <c r="R33" s="7"/>
      <c r="S33" s="6" t="s">
        <v>15</v>
      </c>
      <c r="AZ33" s="236"/>
      <c r="BA33" s="237" t="s">
        <v>207</v>
      </c>
      <c r="BB33" s="129">
        <v>0</v>
      </c>
      <c r="BC33" s="130">
        <v>0</v>
      </c>
      <c r="BD33" s="130">
        <v>0</v>
      </c>
      <c r="BE33" s="130">
        <v>0</v>
      </c>
      <c r="BF33" s="130">
        <v>0</v>
      </c>
      <c r="BG33" s="158">
        <v>0.20514705985760515</v>
      </c>
      <c r="BH33" s="130">
        <v>0.20249426713479049</v>
      </c>
      <c r="BI33" s="130">
        <v>0.20000738414486663</v>
      </c>
      <c r="BJ33" s="130">
        <v>0.19748099846675318</v>
      </c>
      <c r="BK33" s="148">
        <v>0.19487029039598447</v>
      </c>
    </row>
    <row r="34" spans="1:63" x14ac:dyDescent="0.3">
      <c r="R34" s="7"/>
      <c r="AZ34" s="236"/>
    </row>
    <row r="35" spans="1:63" x14ac:dyDescent="0.3"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</row>
    <row r="36" spans="1:63" x14ac:dyDescent="0.3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</row>
    <row r="37" spans="1:63" x14ac:dyDescent="0.3"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</row>
    <row r="38" spans="1:63" x14ac:dyDescent="0.3"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</row>
    <row r="39" spans="1:63" x14ac:dyDescent="0.3"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</row>
    <row r="40" spans="1:63" x14ac:dyDescent="0.3"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</row>
    <row r="41" spans="1:63" x14ac:dyDescent="0.3"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</row>
    <row r="42" spans="1:63" x14ac:dyDescent="0.3"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6" t="s">
        <v>16</v>
      </c>
    </row>
    <row r="43" spans="1:63" x14ac:dyDescent="0.3"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</row>
    <row r="44" spans="1:63" x14ac:dyDescent="0.3">
      <c r="R44" s="7"/>
    </row>
    <row r="45" spans="1:63" x14ac:dyDescent="0.3">
      <c r="R45" s="7"/>
    </row>
    <row r="46" spans="1:63" x14ac:dyDescent="0.3">
      <c r="R46" s="7"/>
    </row>
    <row r="47" spans="1:63" x14ac:dyDescent="0.3">
      <c r="R47" s="7"/>
    </row>
    <row r="48" spans="1:63" x14ac:dyDescent="0.3"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</row>
    <row r="49" spans="2:18" x14ac:dyDescent="0.3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</row>
    <row r="50" spans="2:18" x14ac:dyDescent="0.3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</row>
    <row r="51" spans="2:18" x14ac:dyDescent="0.3"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</row>
  </sheetData>
  <hyperlinks>
    <hyperlink ref="AJ5" r:id="rId1" xr:uid="{00000000-0004-0000-04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Solve USD Curve</vt:lpstr>
      <vt:lpstr>Analytical Risk</vt:lpstr>
      <vt:lpstr>Ultra-Fast Curves</vt:lpstr>
      <vt:lpstr>Shifted USD Curve</vt:lpstr>
      <vt:lpstr>Research</vt:lpstr>
      <vt:lpstr>'Shifted USD Curve'!Epsilon</vt:lpstr>
      <vt:lpstr>Epsilon</vt:lpstr>
      <vt:lpstr>'Shifted USD Curve'!InterationResults</vt:lpstr>
      <vt:lpstr>InterationResults</vt:lpstr>
      <vt:lpstr>'Shifted USD Curve'!InterationResults1</vt:lpstr>
      <vt:lpstr>InterationResults1</vt:lpstr>
      <vt:lpstr>'Shifted USD Curve'!IterationCount</vt:lpstr>
      <vt:lpstr>IterationCount</vt:lpstr>
      <vt:lpstr>'Shifted USD Curve'!ShowIterations</vt:lpstr>
      <vt:lpstr>ShowIterations</vt:lpstr>
      <vt:lpstr>'Shifted USD Curve'!Tolerance</vt:lpstr>
      <vt:lpstr>Tolerance</vt:lpstr>
      <vt:lpstr>'Shifted USD Curve'!X0</vt:lpstr>
      <vt:lpstr>X0</vt:lpstr>
      <vt:lpstr>'Shifted USD Curve'!Xn</vt:lpstr>
      <vt:lpstr>Xn</vt:lpstr>
      <vt:lpstr>'Shifted USD Curve'!XnPlus1</vt:lpstr>
      <vt:lpstr>XnPlus1</vt:lpstr>
    </vt:vector>
  </TitlesOfParts>
  <Company>Nicholas Burgess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2019-11-03T14:45:07Z</dcterms:created>
  <dcterms:modified xsi:type="dcterms:W3CDTF">2022-06-18T15:51:05Z</dcterms:modified>
</cp:coreProperties>
</file>