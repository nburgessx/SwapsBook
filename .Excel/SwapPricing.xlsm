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BOOK\.SWAPS_BOOK\.Excel\"/>
    </mc:Choice>
  </mc:AlternateContent>
  <xr:revisionPtr revIDLastSave="0" documentId="8_{EA47174A-B04C-4784-B7B2-CBA28E3E584D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ettings" sheetId="5" r:id="rId1"/>
    <sheet name="Discount Factors" sheetId="1" r:id="rId2"/>
    <sheet name="Libor Rates" sheetId="4" r:id="rId3"/>
    <sheet name="Swaps" sheetId="3" r:id="rId4"/>
  </sheets>
  <definedNames>
    <definedName name="AnalyticalDV01">Swaps!$C$68</definedName>
    <definedName name="Annuity_Fixed">Swaps!$C$61</definedName>
    <definedName name="Annuity_Float">Swaps!$C$62</definedName>
    <definedName name="ApplyBump">Swaps!$C$71</definedName>
    <definedName name="Approximate">Swaps!$C$14</definedName>
    <definedName name="AsOfDate">Settings!$C$3</definedName>
    <definedName name="BumpSize">'Discount Factors'!$C$5</definedName>
    <definedName name="BumpSizeLiborRates">'Libor Rates'!$C$4</definedName>
    <definedName name="Currency">Swaps!$C$6</definedName>
    <definedName name="DiscountCurve">Swaps!$C$30</definedName>
    <definedName name="DurationFixed">Swaps!$C$65</definedName>
    <definedName name="DurationFloat">Swaps!$C$66</definedName>
    <definedName name="EUR.Fixed.Period">Settings!$D$10</definedName>
    <definedName name="EUR.Float.Period">Settings!$D$8</definedName>
    <definedName name="EUR6ML">'Libor Rates'!$B$8:$D$107</definedName>
    <definedName name="EurDiscFact">'Discount Factors'!$I$9:$J$108</definedName>
    <definedName name="EurDiscFactBumped">'Discount Factors'!$U$9:$V$108</definedName>
    <definedName name="FixedLegFrequencySelected">Swaps!$C$42</definedName>
    <definedName name="FixedLegMarketFrequency">Swaps!$C$41</definedName>
    <definedName name="FloatLegFrequencySelected">Swaps!$C$47</definedName>
    <definedName name="FloatLegMarketFrequency">Swaps!$C$46</definedName>
    <definedName name="ForecastCurve">Swaps!$C$29</definedName>
    <definedName name="GBP.Fixed.Period">Settings!$F$10</definedName>
    <definedName name="GBP.Float.Period">Settings!$F$8</definedName>
    <definedName name="GBP6ML">'Libor Rates'!$J$8:$L$107</definedName>
    <definedName name="GBPDiscFact">'Discount Factors'!$O$9:$P$108</definedName>
    <definedName name="GbpDiscFactBumped">'Discount Factors'!$AA$9:$AB$108</definedName>
    <definedName name="JPY.Fixed.Period">Settings!$G$10</definedName>
    <definedName name="JPY.Float.Period">Settings!$G$8</definedName>
    <definedName name="JPY6ML">'Libor Rates'!$N$8:$P$107</definedName>
    <definedName name="JPYDiscFact">'Discount Factors'!$R$9:$S$108</definedName>
    <definedName name="JpyDiscFactBumped">'Discount Factors'!$AD$9:$AE$108</definedName>
    <definedName name="N">Swaps!$C$7</definedName>
    <definedName name="NumericalDV01">Swaps!$C$74</definedName>
    <definedName name="OverrideMarketFrequency">Swaps!$C$38</definedName>
    <definedName name="p">Swaps!$C$56</definedName>
    <definedName name="PAYREC">Swaps!$C$5</definedName>
    <definedName name="Periodicity">'Discount Factors'!$C$4</definedName>
    <definedName name="Phi">Swaps!$C$35</definedName>
    <definedName name="PV_FixedLeg">Swaps!$C$52</definedName>
    <definedName name="PV_FloatLeg">Swaps!$C$53</definedName>
    <definedName name="PV_FloatSpread">Swaps!$C$54</definedName>
    <definedName name="PV_Swap">Swaps!$C$55</definedName>
    <definedName name="PV01_">Swaps!$C$67</definedName>
    <definedName name="PVlets_Fixed">Swaps!$M$6:$M$55</definedName>
    <definedName name="PVlets_Float">Swaps!$AA$6:$AA$55</definedName>
    <definedName name="r_fixed">Swaps!$C$8</definedName>
    <definedName name="RiskPV_NoBump">Swaps!$C$72</definedName>
    <definedName name="RiskPV_WithBump">Swaps!$C$73</definedName>
    <definedName name="s">Swaps!$C$11</definedName>
    <definedName name="SetDiscFactToOne">Swaps!$C$31</definedName>
    <definedName name="T">Swaps!$C$12</definedName>
    <definedName name="t_i">Swaps!$C$43</definedName>
    <definedName name="t_j">Swaps!$C$48</definedName>
    <definedName name="USD.Fixed.Period">Settings!$E$10</definedName>
    <definedName name="USD.Float.Period">Settings!$E$8</definedName>
    <definedName name="USD3ML">'Libor Rates'!$F$8:$H$107</definedName>
    <definedName name="UsdDiscFact">'Discount Factors'!$L$9:$M$108</definedName>
    <definedName name="UsdDiscFactBumped">'Discount Factors'!$X$9:$Y$108</definedName>
  </definedNames>
  <calcPr calcId="19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9" i="1" l="1"/>
  <c r="C74" i="3"/>
  <c r="C38" i="3"/>
  <c r="C31" i="3"/>
  <c r="C30" i="3"/>
  <c r="C24" i="3"/>
  <c r="V9" i="1"/>
  <c r="C29" i="3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L68" i="4"/>
  <c r="L8" i="4"/>
  <c r="H8" i="4"/>
  <c r="D8" i="4"/>
  <c r="C9" i="4"/>
  <c r="D9" i="4"/>
  <c r="C10" i="4"/>
  <c r="D10" i="4"/>
  <c r="C11" i="4"/>
  <c r="D11" i="4"/>
  <c r="C12" i="4"/>
  <c r="D12" i="4"/>
  <c r="C13" i="4"/>
  <c r="D13" i="4"/>
  <c r="C14" i="4"/>
  <c r="D14" i="4"/>
  <c r="C15" i="4"/>
  <c r="D15" i="4"/>
  <c r="C16" i="4"/>
  <c r="D16" i="4"/>
  <c r="C17" i="4"/>
  <c r="D17" i="4"/>
  <c r="C18" i="4"/>
  <c r="D18" i="4"/>
  <c r="C19" i="4"/>
  <c r="D19" i="4"/>
  <c r="C20" i="4"/>
  <c r="D20" i="4"/>
  <c r="C21" i="4"/>
  <c r="D21" i="4"/>
  <c r="C22" i="4"/>
  <c r="D22" i="4"/>
  <c r="C23" i="4"/>
  <c r="D23" i="4"/>
  <c r="C24" i="4"/>
  <c r="D24" i="4"/>
  <c r="C25" i="4"/>
  <c r="D25" i="4"/>
  <c r="C26" i="4"/>
  <c r="D26" i="4"/>
  <c r="C27" i="4"/>
  <c r="D27" i="4"/>
  <c r="C28" i="4"/>
  <c r="D28" i="4"/>
  <c r="C29" i="4"/>
  <c r="D29" i="4"/>
  <c r="C30" i="4"/>
  <c r="D30" i="4"/>
  <c r="C31" i="4"/>
  <c r="D31" i="4"/>
  <c r="C32" i="4"/>
  <c r="D32" i="4"/>
  <c r="C33" i="4"/>
  <c r="D33" i="4"/>
  <c r="C34" i="4"/>
  <c r="D34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C45" i="4"/>
  <c r="D45" i="4"/>
  <c r="C46" i="4"/>
  <c r="D46" i="4"/>
  <c r="C47" i="4"/>
  <c r="D47" i="4"/>
  <c r="C48" i="4"/>
  <c r="D48" i="4"/>
  <c r="C49" i="4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101" i="4"/>
  <c r="D101" i="4"/>
  <c r="C102" i="4"/>
  <c r="D102" i="4"/>
  <c r="C103" i="4"/>
  <c r="D103" i="4"/>
  <c r="C104" i="4"/>
  <c r="D104" i="4"/>
  <c r="C105" i="4"/>
  <c r="D105" i="4"/>
  <c r="C106" i="4"/>
  <c r="D106" i="4"/>
  <c r="C107" i="4"/>
  <c r="D107" i="4"/>
  <c r="E9" i="1"/>
  <c r="F9" i="1"/>
  <c r="G9" i="1"/>
  <c r="D10" i="1"/>
  <c r="C3" i="5"/>
  <c r="B9" i="1"/>
  <c r="B10" i="1"/>
  <c r="C10" i="1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L67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L107" i="4"/>
  <c r="G10" i="1"/>
  <c r="AE10" i="1"/>
  <c r="J10" i="1"/>
  <c r="V10" i="1"/>
  <c r="L12" i="4"/>
  <c r="L28" i="4"/>
  <c r="L44" i="4"/>
  <c r="L60" i="4"/>
  <c r="L24" i="4"/>
  <c r="L40" i="4"/>
  <c r="L56" i="4"/>
  <c r="L20" i="4"/>
  <c r="L36" i="4"/>
  <c r="L52" i="4"/>
  <c r="L16" i="4"/>
  <c r="L32" i="4"/>
  <c r="L48" i="4"/>
  <c r="L64" i="4"/>
  <c r="D11" i="1"/>
  <c r="E10" i="1"/>
  <c r="Y10" i="1"/>
  <c r="Y9" i="1"/>
  <c r="M9" i="1"/>
  <c r="F10" i="1"/>
  <c r="S10" i="1"/>
  <c r="AB9" i="1"/>
  <c r="P9" i="1"/>
  <c r="S9" i="1"/>
  <c r="AE9" i="1"/>
  <c r="L72" i="4"/>
  <c r="L76" i="4"/>
  <c r="L80" i="4"/>
  <c r="L84" i="4"/>
  <c r="L88" i="4"/>
  <c r="L92" i="4"/>
  <c r="L96" i="4"/>
  <c r="L100" i="4"/>
  <c r="L104" i="4"/>
  <c r="L11" i="4"/>
  <c r="L15" i="4"/>
  <c r="L19" i="4"/>
  <c r="L23" i="4"/>
  <c r="L27" i="4"/>
  <c r="L31" i="4"/>
  <c r="L35" i="4"/>
  <c r="L39" i="4"/>
  <c r="L43" i="4"/>
  <c r="L47" i="4"/>
  <c r="L51" i="4"/>
  <c r="L55" i="4"/>
  <c r="L59" i="4"/>
  <c r="L63" i="4"/>
  <c r="L71" i="4"/>
  <c r="L75" i="4"/>
  <c r="L79" i="4"/>
  <c r="L83" i="4"/>
  <c r="L87" i="4"/>
  <c r="L91" i="4"/>
  <c r="L95" i="4"/>
  <c r="L99" i="4"/>
  <c r="L103" i="4"/>
  <c r="L10" i="4"/>
  <c r="L14" i="4"/>
  <c r="L18" i="4"/>
  <c r="L22" i="4"/>
  <c r="L26" i="4"/>
  <c r="L30" i="4"/>
  <c r="L34" i="4"/>
  <c r="L38" i="4"/>
  <c r="L42" i="4"/>
  <c r="L46" i="4"/>
  <c r="L50" i="4"/>
  <c r="L54" i="4"/>
  <c r="L58" i="4"/>
  <c r="L62" i="4"/>
  <c r="L66" i="4"/>
  <c r="L70" i="4"/>
  <c r="L74" i="4"/>
  <c r="L78" i="4"/>
  <c r="L82" i="4"/>
  <c r="L86" i="4"/>
  <c r="L90" i="4"/>
  <c r="L94" i="4"/>
  <c r="L98" i="4"/>
  <c r="L102" i="4"/>
  <c r="L106" i="4"/>
  <c r="L9" i="4"/>
  <c r="L13" i="4"/>
  <c r="L17" i="4"/>
  <c r="L21" i="4"/>
  <c r="L25" i="4"/>
  <c r="L29" i="4"/>
  <c r="L33" i="4"/>
  <c r="L37" i="4"/>
  <c r="L41" i="4"/>
  <c r="L45" i="4"/>
  <c r="L49" i="4"/>
  <c r="L53" i="4"/>
  <c r="L57" i="4"/>
  <c r="L61" i="4"/>
  <c r="L65" i="4"/>
  <c r="L69" i="4"/>
  <c r="L73" i="4"/>
  <c r="L77" i="4"/>
  <c r="L81" i="4"/>
  <c r="L85" i="4"/>
  <c r="L89" i="4"/>
  <c r="L93" i="4"/>
  <c r="L97" i="4"/>
  <c r="L101" i="4"/>
  <c r="L105" i="4"/>
  <c r="B11" i="1"/>
  <c r="G9" i="4"/>
  <c r="C41" i="3"/>
  <c r="C46" i="3"/>
  <c r="C11" i="1"/>
  <c r="J11" i="1"/>
  <c r="C47" i="3"/>
  <c r="C10" i="3"/>
  <c r="C42" i="3"/>
  <c r="C9" i="3"/>
  <c r="M10" i="1"/>
  <c r="G11" i="1"/>
  <c r="E11" i="1"/>
  <c r="F11" i="1"/>
  <c r="D12" i="1"/>
  <c r="AB10" i="1"/>
  <c r="P10" i="1"/>
  <c r="G10" i="4"/>
  <c r="H9" i="4"/>
  <c r="B12" i="1"/>
  <c r="C3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C48" i="3"/>
  <c r="AB16" i="3"/>
  <c r="T6" i="3"/>
  <c r="C43" i="3"/>
  <c r="N6" i="3"/>
  <c r="V11" i="1"/>
  <c r="E12" i="1"/>
  <c r="D13" i="1"/>
  <c r="G12" i="1"/>
  <c r="F12" i="1"/>
  <c r="AE11" i="1"/>
  <c r="S11" i="1"/>
  <c r="P11" i="1"/>
  <c r="Y11" i="1"/>
  <c r="M11" i="1"/>
  <c r="AB11" i="1"/>
  <c r="G11" i="4"/>
  <c r="H10" i="4"/>
  <c r="C12" i="1"/>
  <c r="M12" i="1"/>
  <c r="B13" i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J12" i="1"/>
  <c r="Q6" i="3"/>
  <c r="P6" i="3"/>
  <c r="W6" i="3"/>
  <c r="Y6" i="3"/>
  <c r="AB17" i="3"/>
  <c r="V12" i="1"/>
  <c r="F13" i="1"/>
  <c r="E13" i="1"/>
  <c r="D14" i="1"/>
  <c r="G13" i="1"/>
  <c r="P12" i="1"/>
  <c r="AE12" i="1"/>
  <c r="AB12" i="1"/>
  <c r="Y12" i="1"/>
  <c r="S12" i="1"/>
  <c r="G12" i="4"/>
  <c r="H11" i="4"/>
  <c r="C13" i="1"/>
  <c r="J13" i="1"/>
  <c r="B14" i="1"/>
  <c r="O9" i="1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L9" i="1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I9" i="1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R9" i="1"/>
  <c r="E6" i="3"/>
  <c r="K6" i="3"/>
  <c r="H6" i="3"/>
  <c r="V6" i="3"/>
  <c r="R6" i="3"/>
  <c r="S6" i="3"/>
  <c r="V13" i="1"/>
  <c r="F14" i="1"/>
  <c r="X6" i="3"/>
  <c r="E14" i="1"/>
  <c r="G14" i="1"/>
  <c r="D15" i="1"/>
  <c r="R10" i="1"/>
  <c r="AD9" i="1"/>
  <c r="L10" i="1"/>
  <c r="X9" i="1"/>
  <c r="P13" i="1"/>
  <c r="S13" i="1"/>
  <c r="Y13" i="1"/>
  <c r="O10" i="1"/>
  <c r="AA9" i="1"/>
  <c r="AB13" i="1"/>
  <c r="AE13" i="1"/>
  <c r="M13" i="1"/>
  <c r="G13" i="4"/>
  <c r="H12" i="4"/>
  <c r="C14" i="1"/>
  <c r="J14" i="1"/>
  <c r="B15" i="1"/>
  <c r="I10" i="1"/>
  <c r="U10" i="1"/>
  <c r="U9" i="1"/>
  <c r="W7" i="3"/>
  <c r="F6" i="3"/>
  <c r="Y7" i="3"/>
  <c r="T7" i="3"/>
  <c r="N7" i="3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Z6" i="3"/>
  <c r="F15" i="1"/>
  <c r="C15" i="1"/>
  <c r="J15" i="1"/>
  <c r="Q7" i="3"/>
  <c r="G6" i="3"/>
  <c r="E15" i="1"/>
  <c r="V14" i="1"/>
  <c r="G15" i="1"/>
  <c r="D16" i="1"/>
  <c r="R11" i="1"/>
  <c r="AD10" i="1"/>
  <c r="Y14" i="1"/>
  <c r="S14" i="1"/>
  <c r="M14" i="1"/>
  <c r="L11" i="1"/>
  <c r="X10" i="1"/>
  <c r="AE14" i="1"/>
  <c r="AB14" i="1"/>
  <c r="O11" i="1"/>
  <c r="AA10" i="1"/>
  <c r="P14" i="1"/>
  <c r="G14" i="4"/>
  <c r="H13" i="4"/>
  <c r="B16" i="1"/>
  <c r="U11" i="1"/>
  <c r="AB18" i="3"/>
  <c r="H7" i="3"/>
  <c r="K7" i="3"/>
  <c r="N8" i="3"/>
  <c r="E7" i="3"/>
  <c r="C16" i="1"/>
  <c r="J16" i="1"/>
  <c r="L6" i="3"/>
  <c r="D17" i="1"/>
  <c r="AE15" i="1"/>
  <c r="G16" i="1"/>
  <c r="V15" i="1"/>
  <c r="F16" i="1"/>
  <c r="E16" i="1"/>
  <c r="P15" i="1"/>
  <c r="Y15" i="1"/>
  <c r="F17" i="1"/>
  <c r="D18" i="1"/>
  <c r="O12" i="1"/>
  <c r="AA11" i="1"/>
  <c r="L12" i="1"/>
  <c r="X11" i="1"/>
  <c r="R12" i="1"/>
  <c r="AD11" i="1"/>
  <c r="S15" i="1"/>
  <c r="M15" i="1"/>
  <c r="AB15" i="1"/>
  <c r="G15" i="4"/>
  <c r="H14" i="4"/>
  <c r="V16" i="1"/>
  <c r="B17" i="1"/>
  <c r="U12" i="1"/>
  <c r="W8" i="3"/>
  <c r="F7" i="3"/>
  <c r="H8" i="3"/>
  <c r="K8" i="3"/>
  <c r="P7" i="3"/>
  <c r="V7" i="3"/>
  <c r="E17" i="1"/>
  <c r="G17" i="1"/>
  <c r="Y16" i="1"/>
  <c r="AB16" i="1"/>
  <c r="R13" i="1"/>
  <c r="AD12" i="1"/>
  <c r="L13" i="1"/>
  <c r="X12" i="1"/>
  <c r="P16" i="1"/>
  <c r="S16" i="1"/>
  <c r="O13" i="1"/>
  <c r="AA12" i="1"/>
  <c r="E18" i="1"/>
  <c r="D19" i="1"/>
  <c r="G18" i="1"/>
  <c r="F18" i="1"/>
  <c r="AE16" i="1"/>
  <c r="M16" i="1"/>
  <c r="G16" i="4"/>
  <c r="H15" i="4"/>
  <c r="C17" i="1"/>
  <c r="J17" i="1"/>
  <c r="B18" i="1"/>
  <c r="U13" i="1"/>
  <c r="X7" i="3"/>
  <c r="E8" i="3"/>
  <c r="F8" i="3"/>
  <c r="G8" i="3"/>
  <c r="G7" i="3"/>
  <c r="N9" i="3"/>
  <c r="R7" i="3"/>
  <c r="D20" i="1"/>
  <c r="D21" i="1"/>
  <c r="D22" i="1"/>
  <c r="D23" i="1"/>
  <c r="D24" i="1"/>
  <c r="D25" i="1"/>
  <c r="D26" i="1"/>
  <c r="D27" i="1"/>
  <c r="D28" i="1"/>
  <c r="D29" i="1"/>
  <c r="D30" i="1"/>
  <c r="B19" i="1"/>
  <c r="B20" i="1"/>
  <c r="B21" i="1"/>
  <c r="B22" i="1"/>
  <c r="B23" i="1"/>
  <c r="B24" i="1"/>
  <c r="B25" i="1"/>
  <c r="B26" i="1"/>
  <c r="B27" i="1"/>
  <c r="B28" i="1"/>
  <c r="B29" i="1"/>
  <c r="B30" i="1"/>
  <c r="C30" i="1"/>
  <c r="J30" i="1"/>
  <c r="L8" i="3"/>
  <c r="C23" i="1"/>
  <c r="J23" i="1"/>
  <c r="L7" i="3"/>
  <c r="S7" i="3"/>
  <c r="V17" i="1"/>
  <c r="O14" i="1"/>
  <c r="AA13" i="1"/>
  <c r="L14" i="1"/>
  <c r="X13" i="1"/>
  <c r="R14" i="1"/>
  <c r="AD13" i="1"/>
  <c r="AB17" i="1"/>
  <c r="M17" i="1"/>
  <c r="S17" i="1"/>
  <c r="F19" i="1"/>
  <c r="E19" i="1"/>
  <c r="G19" i="1"/>
  <c r="Y17" i="1"/>
  <c r="P17" i="1"/>
  <c r="AE17" i="1"/>
  <c r="G17" i="4"/>
  <c r="H16" i="4"/>
  <c r="C18" i="1"/>
  <c r="J18" i="1"/>
  <c r="U14" i="1"/>
  <c r="E9" i="3"/>
  <c r="T8" i="3"/>
  <c r="Y8" i="3"/>
  <c r="H9" i="3"/>
  <c r="K9" i="3"/>
  <c r="Q8" i="3"/>
  <c r="P8" i="3"/>
  <c r="Z7" i="3"/>
  <c r="V8" i="3"/>
  <c r="V18" i="1"/>
  <c r="S18" i="1"/>
  <c r="AB18" i="1"/>
  <c r="L15" i="1"/>
  <c r="X14" i="1"/>
  <c r="G20" i="1"/>
  <c r="F20" i="1"/>
  <c r="E20" i="1"/>
  <c r="R15" i="1"/>
  <c r="AD14" i="1"/>
  <c r="O15" i="1"/>
  <c r="AA14" i="1"/>
  <c r="Y18" i="1"/>
  <c r="P18" i="1"/>
  <c r="AE18" i="1"/>
  <c r="M18" i="1"/>
  <c r="G18" i="4"/>
  <c r="H17" i="4"/>
  <c r="C19" i="1"/>
  <c r="J19" i="1"/>
  <c r="U15" i="1"/>
  <c r="X8" i="3"/>
  <c r="AB19" i="3"/>
  <c r="F9" i="3"/>
  <c r="G9" i="3"/>
  <c r="N10" i="3"/>
  <c r="R8" i="3"/>
  <c r="D31" i="1"/>
  <c r="D32" i="1"/>
  <c r="D33" i="1"/>
  <c r="D34" i="1"/>
  <c r="D35" i="1"/>
  <c r="D36" i="1"/>
  <c r="D37" i="1"/>
  <c r="D38" i="1"/>
  <c r="B31" i="1"/>
  <c r="B32" i="1"/>
  <c r="B33" i="1"/>
  <c r="B34" i="1"/>
  <c r="B35" i="1"/>
  <c r="B36" i="1"/>
  <c r="B37" i="1"/>
  <c r="B38" i="1"/>
  <c r="C38" i="1"/>
  <c r="J38" i="1"/>
  <c r="L9" i="3"/>
  <c r="S8" i="3"/>
  <c r="V19" i="1"/>
  <c r="S19" i="1"/>
  <c r="O16" i="1"/>
  <c r="AA15" i="1"/>
  <c r="G21" i="1"/>
  <c r="F21" i="1"/>
  <c r="E21" i="1"/>
  <c r="R16" i="1"/>
  <c r="AD15" i="1"/>
  <c r="L16" i="1"/>
  <c r="X15" i="1"/>
  <c r="Y19" i="1"/>
  <c r="AB19" i="1"/>
  <c r="M19" i="1"/>
  <c r="P19" i="1"/>
  <c r="AE19" i="1"/>
  <c r="G19" i="4"/>
  <c r="H18" i="4"/>
  <c r="C20" i="1"/>
  <c r="J20" i="1"/>
  <c r="U16" i="1"/>
  <c r="W9" i="3"/>
  <c r="Y9" i="3"/>
  <c r="Q9" i="3"/>
  <c r="P9" i="3"/>
  <c r="T9" i="3"/>
  <c r="H10" i="3"/>
  <c r="K10" i="3"/>
  <c r="E10" i="3"/>
  <c r="Z8" i="3"/>
  <c r="V9" i="3"/>
  <c r="V20" i="1"/>
  <c r="AE20" i="1"/>
  <c r="P20" i="1"/>
  <c r="R17" i="1"/>
  <c r="AD16" i="1"/>
  <c r="L17" i="1"/>
  <c r="X16" i="1"/>
  <c r="O17" i="1"/>
  <c r="AA16" i="1"/>
  <c r="Y20" i="1"/>
  <c r="S20" i="1"/>
  <c r="M20" i="1"/>
  <c r="E22" i="1"/>
  <c r="G22" i="1"/>
  <c r="F22" i="1"/>
  <c r="AB20" i="1"/>
  <c r="G20" i="4"/>
  <c r="H19" i="4"/>
  <c r="C21" i="1"/>
  <c r="J21" i="1"/>
  <c r="U17" i="1"/>
  <c r="X9" i="3"/>
  <c r="AB20" i="3"/>
  <c r="R9" i="3"/>
  <c r="N11" i="3"/>
  <c r="F10" i="3"/>
  <c r="G10" i="3"/>
  <c r="D39" i="1"/>
  <c r="D40" i="1"/>
  <c r="D41" i="1"/>
  <c r="D42" i="1"/>
  <c r="D43" i="1"/>
  <c r="D44" i="1"/>
  <c r="D45" i="1"/>
  <c r="B39" i="1"/>
  <c r="B40" i="1"/>
  <c r="B41" i="1"/>
  <c r="B42" i="1"/>
  <c r="B43" i="1"/>
  <c r="B44" i="1"/>
  <c r="B45" i="1"/>
  <c r="C45" i="1"/>
  <c r="J45" i="1"/>
  <c r="L10" i="3"/>
  <c r="S9" i="3"/>
  <c r="V21" i="1"/>
  <c r="F23" i="1"/>
  <c r="E23" i="1"/>
  <c r="G23" i="1"/>
  <c r="O18" i="1"/>
  <c r="AA17" i="1"/>
  <c r="L18" i="1"/>
  <c r="X17" i="1"/>
  <c r="R18" i="1"/>
  <c r="AD17" i="1"/>
  <c r="Y21" i="1"/>
  <c r="M21" i="1"/>
  <c r="P21" i="1"/>
  <c r="S21" i="1"/>
  <c r="AB21" i="1"/>
  <c r="AE21" i="1"/>
  <c r="G21" i="4"/>
  <c r="H20" i="4"/>
  <c r="C22" i="1"/>
  <c r="J22" i="1"/>
  <c r="U18" i="1"/>
  <c r="W10" i="3"/>
  <c r="Y10" i="3"/>
  <c r="AB21" i="3"/>
  <c r="T10" i="3"/>
  <c r="Q10" i="3"/>
  <c r="P10" i="3"/>
  <c r="E11" i="3"/>
  <c r="K11" i="3"/>
  <c r="N12" i="3"/>
  <c r="I11" i="3"/>
  <c r="H11" i="3"/>
  <c r="Z9" i="3"/>
  <c r="V10" i="3"/>
  <c r="V22" i="1"/>
  <c r="AB22" i="1"/>
  <c r="AE22" i="1"/>
  <c r="R19" i="1"/>
  <c r="AD18" i="1"/>
  <c r="L19" i="1"/>
  <c r="X18" i="1"/>
  <c r="M22" i="1"/>
  <c r="O19" i="1"/>
  <c r="AA18" i="1"/>
  <c r="G24" i="1"/>
  <c r="F24" i="1"/>
  <c r="E24" i="1"/>
  <c r="Y22" i="1"/>
  <c r="P22" i="1"/>
  <c r="S22" i="1"/>
  <c r="G22" i="4"/>
  <c r="H21" i="4"/>
  <c r="U19" i="1"/>
  <c r="X10" i="3"/>
  <c r="W11" i="3"/>
  <c r="R10" i="3"/>
  <c r="F11" i="3"/>
  <c r="G11" i="3"/>
  <c r="T11" i="3"/>
  <c r="Y11" i="3"/>
  <c r="H12" i="3"/>
  <c r="I12" i="3"/>
  <c r="K12" i="3"/>
  <c r="N13" i="3"/>
  <c r="L11" i="3"/>
  <c r="S10" i="3"/>
  <c r="V23" i="1"/>
  <c r="P23" i="1"/>
  <c r="L20" i="1"/>
  <c r="X19" i="1"/>
  <c r="R20" i="1"/>
  <c r="AD19" i="1"/>
  <c r="AE23" i="1"/>
  <c r="M23" i="1"/>
  <c r="O20" i="1"/>
  <c r="AA19" i="1"/>
  <c r="G25" i="1"/>
  <c r="F25" i="1"/>
  <c r="E25" i="1"/>
  <c r="AB23" i="1"/>
  <c r="S23" i="1"/>
  <c r="Y23" i="1"/>
  <c r="G23" i="4"/>
  <c r="H22" i="4"/>
  <c r="C24" i="1"/>
  <c r="J24" i="1"/>
  <c r="U20" i="1"/>
  <c r="E12" i="3"/>
  <c r="F12" i="3"/>
  <c r="Q11" i="3"/>
  <c r="P11" i="3"/>
  <c r="AB22" i="3"/>
  <c r="I13" i="3"/>
  <c r="K13" i="3"/>
  <c r="N14" i="3"/>
  <c r="H13" i="3"/>
  <c r="V11" i="3"/>
  <c r="C27" i="1"/>
  <c r="J27" i="1"/>
  <c r="Z10" i="3"/>
  <c r="V24" i="1"/>
  <c r="Y24" i="1"/>
  <c r="E26" i="1"/>
  <c r="G26" i="1"/>
  <c r="F26" i="1"/>
  <c r="AB24" i="1"/>
  <c r="AE24" i="1"/>
  <c r="P24" i="1"/>
  <c r="R21" i="1"/>
  <c r="AD20" i="1"/>
  <c r="O21" i="1"/>
  <c r="AA20" i="1"/>
  <c r="L21" i="1"/>
  <c r="X20" i="1"/>
  <c r="S24" i="1"/>
  <c r="M24" i="1"/>
  <c r="G24" i="4"/>
  <c r="H23" i="4"/>
  <c r="C25" i="1"/>
  <c r="J25" i="1"/>
  <c r="U21" i="1"/>
  <c r="X11" i="3"/>
  <c r="W12" i="3"/>
  <c r="E13" i="3"/>
  <c r="F13" i="3"/>
  <c r="G13" i="3"/>
  <c r="G12" i="3"/>
  <c r="R11" i="3"/>
  <c r="S11" i="3"/>
  <c r="T12" i="3"/>
  <c r="Y12" i="3"/>
  <c r="AB23" i="3"/>
  <c r="K14" i="3"/>
  <c r="N15" i="3"/>
  <c r="I14" i="3"/>
  <c r="H14" i="3"/>
  <c r="L12" i="3"/>
  <c r="Z11" i="3"/>
  <c r="V25" i="1"/>
  <c r="Q12" i="3"/>
  <c r="P12" i="3"/>
  <c r="Y25" i="1"/>
  <c r="AB25" i="1"/>
  <c r="O22" i="1"/>
  <c r="AA21" i="1"/>
  <c r="AE25" i="1"/>
  <c r="P25" i="1"/>
  <c r="R22" i="1"/>
  <c r="AD21" i="1"/>
  <c r="L22" i="1"/>
  <c r="X21" i="1"/>
  <c r="F27" i="1"/>
  <c r="E27" i="1"/>
  <c r="G27" i="1"/>
  <c r="S25" i="1"/>
  <c r="M25" i="1"/>
  <c r="G25" i="4"/>
  <c r="H24" i="4"/>
  <c r="C26" i="1"/>
  <c r="J26" i="1"/>
  <c r="U22" i="1"/>
  <c r="W13" i="3"/>
  <c r="E14" i="3"/>
  <c r="F14" i="3"/>
  <c r="G14" i="3"/>
  <c r="T13" i="3"/>
  <c r="Y13" i="3"/>
  <c r="AB24" i="3"/>
  <c r="H15" i="3"/>
  <c r="K15" i="3"/>
  <c r="N16" i="3"/>
  <c r="I15" i="3"/>
  <c r="L13" i="3"/>
  <c r="L14" i="3"/>
  <c r="V12" i="3"/>
  <c r="V26" i="1"/>
  <c r="R12" i="3"/>
  <c r="S12" i="3"/>
  <c r="X12" i="3"/>
  <c r="S26" i="1"/>
  <c r="G28" i="1"/>
  <c r="F28" i="1"/>
  <c r="E28" i="1"/>
  <c r="AB26" i="1"/>
  <c r="Y26" i="1"/>
  <c r="L23" i="1"/>
  <c r="X22" i="1"/>
  <c r="R23" i="1"/>
  <c r="AD22" i="1"/>
  <c r="P26" i="1"/>
  <c r="M26" i="1"/>
  <c r="AE26" i="1"/>
  <c r="O23" i="1"/>
  <c r="AA22" i="1"/>
  <c r="G26" i="4"/>
  <c r="H25" i="4"/>
  <c r="U23" i="1"/>
  <c r="E15" i="3"/>
  <c r="F15" i="3"/>
  <c r="G15" i="3"/>
  <c r="W14" i="3"/>
  <c r="K16" i="3"/>
  <c r="J16" i="3"/>
  <c r="H16" i="3"/>
  <c r="I16" i="3"/>
  <c r="L15" i="3"/>
  <c r="C34" i="1"/>
  <c r="J34" i="1"/>
  <c r="Z12" i="3"/>
  <c r="V27" i="1"/>
  <c r="Q13" i="3"/>
  <c r="P13" i="3"/>
  <c r="AE27" i="1"/>
  <c r="Y27" i="1"/>
  <c r="S27" i="1"/>
  <c r="L24" i="1"/>
  <c r="X23" i="1"/>
  <c r="O24" i="1"/>
  <c r="AA23" i="1"/>
  <c r="R24" i="1"/>
  <c r="AD23" i="1"/>
  <c r="AB27" i="1"/>
  <c r="G29" i="1"/>
  <c r="F29" i="1"/>
  <c r="E29" i="1"/>
  <c r="M27" i="1"/>
  <c r="P27" i="1"/>
  <c r="G27" i="4"/>
  <c r="H26" i="4"/>
  <c r="C28" i="1"/>
  <c r="J28" i="1"/>
  <c r="U24" i="1"/>
  <c r="E16" i="3"/>
  <c r="F16" i="3"/>
  <c r="G16" i="3"/>
  <c r="T14" i="3"/>
  <c r="Y14" i="3"/>
  <c r="AB25" i="3"/>
  <c r="N17" i="3"/>
  <c r="L16" i="3"/>
  <c r="V13" i="3"/>
  <c r="V28" i="1"/>
  <c r="X13" i="3"/>
  <c r="R13" i="3"/>
  <c r="S13" i="3"/>
  <c r="M28" i="1"/>
  <c r="AE28" i="1"/>
  <c r="E30" i="1"/>
  <c r="G30" i="1"/>
  <c r="F30" i="1"/>
  <c r="R25" i="1"/>
  <c r="AD24" i="1"/>
  <c r="O25" i="1"/>
  <c r="AA24" i="1"/>
  <c r="AB28" i="1"/>
  <c r="P28" i="1"/>
  <c r="L25" i="1"/>
  <c r="X24" i="1"/>
  <c r="S28" i="1"/>
  <c r="Y28" i="1"/>
  <c r="G28" i="4"/>
  <c r="H27" i="4"/>
  <c r="C29" i="1"/>
  <c r="J29" i="1"/>
  <c r="U25" i="1"/>
  <c r="W15" i="3"/>
  <c r="M16" i="3"/>
  <c r="I17" i="3"/>
  <c r="J17" i="3"/>
  <c r="E17" i="3"/>
  <c r="K17" i="3"/>
  <c r="H17" i="3"/>
  <c r="Z13" i="3"/>
  <c r="V29" i="1"/>
  <c r="Q14" i="3"/>
  <c r="R14" i="3"/>
  <c r="S14" i="3"/>
  <c r="AE29" i="1"/>
  <c r="Y29" i="1"/>
  <c r="S29" i="1"/>
  <c r="AB29" i="1"/>
  <c r="R26" i="1"/>
  <c r="AD25" i="1"/>
  <c r="F31" i="1"/>
  <c r="E31" i="1"/>
  <c r="G31" i="1"/>
  <c r="L26" i="1"/>
  <c r="X25" i="1"/>
  <c r="O26" i="1"/>
  <c r="AA25" i="1"/>
  <c r="M29" i="1"/>
  <c r="P29" i="1"/>
  <c r="G29" i="4"/>
  <c r="H28" i="4"/>
  <c r="U26" i="1"/>
  <c r="F17" i="3"/>
  <c r="G17" i="3"/>
  <c r="T15" i="3"/>
  <c r="Y15" i="3"/>
  <c r="AB26" i="3"/>
  <c r="N18" i="3"/>
  <c r="L17" i="3"/>
  <c r="C41" i="1"/>
  <c r="J41" i="1"/>
  <c r="Z14" i="3"/>
  <c r="V30" i="1"/>
  <c r="P14" i="3"/>
  <c r="AB30" i="1"/>
  <c r="O27" i="1"/>
  <c r="AA26" i="1"/>
  <c r="G32" i="1"/>
  <c r="F32" i="1"/>
  <c r="E32" i="1"/>
  <c r="Y30" i="1"/>
  <c r="L27" i="1"/>
  <c r="X26" i="1"/>
  <c r="R27" i="1"/>
  <c r="AD26" i="1"/>
  <c r="S30" i="1"/>
  <c r="AE30" i="1"/>
  <c r="M30" i="1"/>
  <c r="P30" i="1"/>
  <c r="G30" i="4"/>
  <c r="H29" i="4"/>
  <c r="C31" i="1"/>
  <c r="J31" i="1"/>
  <c r="U27" i="1"/>
  <c r="M17" i="3"/>
  <c r="W16" i="3"/>
  <c r="H18" i="3"/>
  <c r="K18" i="3"/>
  <c r="J18" i="3"/>
  <c r="E18" i="3"/>
  <c r="I18" i="3"/>
  <c r="Q15" i="3"/>
  <c r="P15" i="3"/>
  <c r="V14" i="3"/>
  <c r="V15" i="3"/>
  <c r="V31" i="1"/>
  <c r="X14" i="3"/>
  <c r="P31" i="1"/>
  <c r="M31" i="1"/>
  <c r="AE31" i="1"/>
  <c r="O28" i="1"/>
  <c r="AA27" i="1"/>
  <c r="R28" i="1"/>
  <c r="AD27" i="1"/>
  <c r="G33" i="1"/>
  <c r="F33" i="1"/>
  <c r="E33" i="1"/>
  <c r="L28" i="1"/>
  <c r="X27" i="1"/>
  <c r="S31" i="1"/>
  <c r="AB31" i="1"/>
  <c r="Y31" i="1"/>
  <c r="G31" i="4"/>
  <c r="H30" i="4"/>
  <c r="C32" i="1"/>
  <c r="J32" i="1"/>
  <c r="U28" i="1"/>
  <c r="F18" i="3"/>
  <c r="G18" i="3"/>
  <c r="X15" i="3"/>
  <c r="T16" i="3"/>
  <c r="Y16" i="3"/>
  <c r="AB27" i="3"/>
  <c r="R15" i="3"/>
  <c r="S15" i="3"/>
  <c r="N19" i="3"/>
  <c r="L18" i="3"/>
  <c r="Z15" i="3"/>
  <c r="V32" i="1"/>
  <c r="O29" i="1"/>
  <c r="AA28" i="1"/>
  <c r="E34" i="1"/>
  <c r="G34" i="1"/>
  <c r="F34" i="1"/>
  <c r="AB32" i="1"/>
  <c r="Y32" i="1"/>
  <c r="P32" i="1"/>
  <c r="M32" i="1"/>
  <c r="S32" i="1"/>
  <c r="L29" i="1"/>
  <c r="X28" i="1"/>
  <c r="R29" i="1"/>
  <c r="AD28" i="1"/>
  <c r="AE32" i="1"/>
  <c r="G32" i="4"/>
  <c r="H31" i="4"/>
  <c r="C33" i="1"/>
  <c r="J33" i="1"/>
  <c r="U29" i="1"/>
  <c r="M18" i="3"/>
  <c r="W17" i="3"/>
  <c r="E19" i="3"/>
  <c r="I19" i="3"/>
  <c r="K19" i="3"/>
  <c r="H19" i="3"/>
  <c r="J19" i="3"/>
  <c r="U16" i="3"/>
  <c r="Q16" i="3"/>
  <c r="R16" i="3"/>
  <c r="S16" i="3"/>
  <c r="Z16" i="3"/>
  <c r="V33" i="1"/>
  <c r="S33" i="1"/>
  <c r="F35" i="1"/>
  <c r="E35" i="1"/>
  <c r="G35" i="1"/>
  <c r="O30" i="1"/>
  <c r="AA29" i="1"/>
  <c r="AB33" i="1"/>
  <c r="Y33" i="1"/>
  <c r="P33" i="1"/>
  <c r="M33" i="1"/>
  <c r="R30" i="1"/>
  <c r="AD29" i="1"/>
  <c r="L30" i="1"/>
  <c r="X29" i="1"/>
  <c r="AE33" i="1"/>
  <c r="G33" i="4"/>
  <c r="H32" i="4"/>
  <c r="U30" i="1"/>
  <c r="F19" i="3"/>
  <c r="G19" i="3"/>
  <c r="P16" i="3"/>
  <c r="T17" i="3"/>
  <c r="Y17" i="3"/>
  <c r="AB28" i="3"/>
  <c r="N20" i="3"/>
  <c r="L19" i="3"/>
  <c r="V16" i="3"/>
  <c r="V34" i="1"/>
  <c r="S34" i="1"/>
  <c r="AB34" i="1"/>
  <c r="P34" i="1"/>
  <c r="Y34" i="1"/>
  <c r="R31" i="1"/>
  <c r="AD30" i="1"/>
  <c r="G36" i="1"/>
  <c r="F36" i="1"/>
  <c r="E36" i="1"/>
  <c r="L31" i="1"/>
  <c r="X30" i="1"/>
  <c r="O31" i="1"/>
  <c r="AA30" i="1"/>
  <c r="AE34" i="1"/>
  <c r="M34" i="1"/>
  <c r="G34" i="4"/>
  <c r="H33" i="4"/>
  <c r="C35" i="1"/>
  <c r="J35" i="1"/>
  <c r="U31" i="1"/>
  <c r="M19" i="3"/>
  <c r="X16" i="3"/>
  <c r="AA16" i="3"/>
  <c r="W18" i="3"/>
  <c r="I20" i="3"/>
  <c r="E20" i="3"/>
  <c r="H20" i="3"/>
  <c r="J20" i="3"/>
  <c r="K20" i="3"/>
  <c r="U17" i="3"/>
  <c r="Q17" i="3"/>
  <c r="P17" i="3"/>
  <c r="V17" i="3"/>
  <c r="V35" i="1"/>
  <c r="S35" i="1"/>
  <c r="L32" i="1"/>
  <c r="X31" i="1"/>
  <c r="R32" i="1"/>
  <c r="AD31" i="1"/>
  <c r="O32" i="1"/>
  <c r="AA31" i="1"/>
  <c r="G37" i="1"/>
  <c r="F37" i="1"/>
  <c r="E37" i="1"/>
  <c r="AE35" i="1"/>
  <c r="Y35" i="1"/>
  <c r="AB35" i="1"/>
  <c r="M35" i="1"/>
  <c r="P35" i="1"/>
  <c r="G35" i="4"/>
  <c r="H34" i="4"/>
  <c r="C36" i="1"/>
  <c r="J36" i="1"/>
  <c r="U32" i="1"/>
  <c r="F20" i="3"/>
  <c r="G20" i="3"/>
  <c r="X17" i="3"/>
  <c r="R17" i="3"/>
  <c r="S17" i="3"/>
  <c r="T18" i="3"/>
  <c r="Y18" i="3"/>
  <c r="AB29" i="3"/>
  <c r="N21" i="3"/>
  <c r="L20" i="3"/>
  <c r="Z17" i="3"/>
  <c r="V36" i="1"/>
  <c r="S36" i="1"/>
  <c r="R33" i="1"/>
  <c r="AD32" i="1"/>
  <c r="L33" i="1"/>
  <c r="X32" i="1"/>
  <c r="O33" i="1"/>
  <c r="AA32" i="1"/>
  <c r="Y36" i="1"/>
  <c r="M36" i="1"/>
  <c r="AB36" i="1"/>
  <c r="E38" i="1"/>
  <c r="G38" i="1"/>
  <c r="F38" i="1"/>
  <c r="P36" i="1"/>
  <c r="AE36" i="1"/>
  <c r="G36" i="4"/>
  <c r="H35" i="4"/>
  <c r="C37" i="1"/>
  <c r="J37" i="1"/>
  <c r="U33" i="1"/>
  <c r="M20" i="3"/>
  <c r="AA17" i="3"/>
  <c r="W19" i="3"/>
  <c r="I21" i="3"/>
  <c r="E21" i="3"/>
  <c r="K21" i="3"/>
  <c r="H21" i="3"/>
  <c r="J21" i="3"/>
  <c r="U18" i="3"/>
  <c r="Q18" i="3"/>
  <c r="P18" i="3"/>
  <c r="V18" i="3"/>
  <c r="V37" i="1"/>
  <c r="Y37" i="1"/>
  <c r="AB37" i="1"/>
  <c r="S37" i="1"/>
  <c r="P37" i="1"/>
  <c r="F39" i="1"/>
  <c r="E39" i="1"/>
  <c r="G39" i="1"/>
  <c r="R34" i="1"/>
  <c r="AD33" i="1"/>
  <c r="AE37" i="1"/>
  <c r="O34" i="1"/>
  <c r="AA33" i="1"/>
  <c r="L34" i="1"/>
  <c r="X33" i="1"/>
  <c r="M37" i="1"/>
  <c r="G37" i="4"/>
  <c r="H36" i="4"/>
  <c r="U34" i="1"/>
  <c r="F21" i="3"/>
  <c r="G21" i="3"/>
  <c r="X18" i="3"/>
  <c r="R18" i="3"/>
  <c r="S18" i="3"/>
  <c r="T19" i="3"/>
  <c r="Y19" i="3"/>
  <c r="AB30" i="3"/>
  <c r="N22" i="3"/>
  <c r="U19" i="3"/>
  <c r="L21" i="3"/>
  <c r="Z18" i="3"/>
  <c r="V38" i="1"/>
  <c r="AE38" i="1"/>
  <c r="R35" i="1"/>
  <c r="AD34" i="1"/>
  <c r="L35" i="1"/>
  <c r="X34" i="1"/>
  <c r="P38" i="1"/>
  <c r="S38" i="1"/>
  <c r="Y38" i="1"/>
  <c r="G40" i="1"/>
  <c r="F40" i="1"/>
  <c r="E40" i="1"/>
  <c r="O35" i="1"/>
  <c r="AA34" i="1"/>
  <c r="M38" i="1"/>
  <c r="AB38" i="1"/>
  <c r="G38" i="4"/>
  <c r="H37" i="4"/>
  <c r="C39" i="1"/>
  <c r="J39" i="1"/>
  <c r="U35" i="1"/>
  <c r="M21" i="3"/>
  <c r="AA18" i="3"/>
  <c r="Q19" i="3"/>
  <c r="W20" i="3"/>
  <c r="T20" i="3"/>
  <c r="Y20" i="3"/>
  <c r="AB31" i="3"/>
  <c r="J22" i="3"/>
  <c r="I22" i="3"/>
  <c r="E22" i="3"/>
  <c r="K22" i="3"/>
  <c r="H22" i="3"/>
  <c r="V39" i="1"/>
  <c r="R36" i="1"/>
  <c r="AD35" i="1"/>
  <c r="O36" i="1"/>
  <c r="AA35" i="1"/>
  <c r="AE39" i="1"/>
  <c r="Y39" i="1"/>
  <c r="AB39" i="1"/>
  <c r="M39" i="1"/>
  <c r="G41" i="1"/>
  <c r="F41" i="1"/>
  <c r="E41" i="1"/>
  <c r="L36" i="1"/>
  <c r="X35" i="1"/>
  <c r="P39" i="1"/>
  <c r="S39" i="1"/>
  <c r="G39" i="4"/>
  <c r="H38" i="4"/>
  <c r="C40" i="1"/>
  <c r="J40" i="1"/>
  <c r="U36" i="1"/>
  <c r="F22" i="3"/>
  <c r="G22" i="3"/>
  <c r="R19" i="3"/>
  <c r="S19" i="3"/>
  <c r="P19" i="3"/>
  <c r="W21" i="3"/>
  <c r="N23" i="3"/>
  <c r="U20" i="3"/>
  <c r="L22" i="3"/>
  <c r="V19" i="3"/>
  <c r="Z19" i="3"/>
  <c r="V40" i="1"/>
  <c r="Y40" i="1"/>
  <c r="E42" i="1"/>
  <c r="G42" i="1"/>
  <c r="F42" i="1"/>
  <c r="P40" i="1"/>
  <c r="R37" i="1"/>
  <c r="AD36" i="1"/>
  <c r="M40" i="1"/>
  <c r="S40" i="1"/>
  <c r="O37" i="1"/>
  <c r="AA36" i="1"/>
  <c r="L37" i="1"/>
  <c r="X36" i="1"/>
  <c r="AB40" i="1"/>
  <c r="AE40" i="1"/>
  <c r="G40" i="4"/>
  <c r="H39" i="4"/>
  <c r="U37" i="1"/>
  <c r="M22" i="3"/>
  <c r="Q20" i="3"/>
  <c r="X19" i="3"/>
  <c r="AA19" i="3"/>
  <c r="T21" i="3"/>
  <c r="Y21" i="3"/>
  <c r="AB32" i="3"/>
  <c r="I23" i="3"/>
  <c r="J23" i="3"/>
  <c r="H23" i="3"/>
  <c r="E23" i="3"/>
  <c r="K23" i="3"/>
  <c r="U21" i="3"/>
  <c r="V41" i="1"/>
  <c r="S41" i="1"/>
  <c r="M41" i="1"/>
  <c r="L38" i="1"/>
  <c r="X37" i="1"/>
  <c r="AB41" i="1"/>
  <c r="P41" i="1"/>
  <c r="F43" i="1"/>
  <c r="E43" i="1"/>
  <c r="G43" i="1"/>
  <c r="O38" i="1"/>
  <c r="AA37" i="1"/>
  <c r="R38" i="1"/>
  <c r="AD37" i="1"/>
  <c r="Y41" i="1"/>
  <c r="AE41" i="1"/>
  <c r="G41" i="4"/>
  <c r="H40" i="4"/>
  <c r="C42" i="1"/>
  <c r="J42" i="1"/>
  <c r="U38" i="1"/>
  <c r="F23" i="3"/>
  <c r="G23" i="3"/>
  <c r="P20" i="3"/>
  <c r="R20" i="3"/>
  <c r="W22" i="3"/>
  <c r="T22" i="3"/>
  <c r="Y22" i="3"/>
  <c r="AB33" i="3"/>
  <c r="N24" i="3"/>
  <c r="U22" i="3"/>
  <c r="L23" i="3"/>
  <c r="V20" i="3"/>
  <c r="V42" i="1"/>
  <c r="M42" i="1"/>
  <c r="O39" i="1"/>
  <c r="AA38" i="1"/>
  <c r="G44" i="1"/>
  <c r="F44" i="1"/>
  <c r="E44" i="1"/>
  <c r="L39" i="1"/>
  <c r="X38" i="1"/>
  <c r="S42" i="1"/>
  <c r="Y42" i="1"/>
  <c r="AE42" i="1"/>
  <c r="R39" i="1"/>
  <c r="AD38" i="1"/>
  <c r="AB42" i="1"/>
  <c r="P42" i="1"/>
  <c r="G42" i="4"/>
  <c r="H41" i="4"/>
  <c r="C43" i="1"/>
  <c r="J43" i="1"/>
  <c r="U39" i="1"/>
  <c r="M23" i="3"/>
  <c r="X20" i="3"/>
  <c r="S20" i="3"/>
  <c r="Q21" i="3"/>
  <c r="W23" i="3"/>
  <c r="T23" i="3"/>
  <c r="Y23" i="3"/>
  <c r="AB34" i="3"/>
  <c r="J24" i="3"/>
  <c r="E24" i="3"/>
  <c r="K24" i="3"/>
  <c r="I24" i="3"/>
  <c r="H24" i="3"/>
  <c r="Z20" i="3"/>
  <c r="V43" i="1"/>
  <c r="P43" i="1"/>
  <c r="O40" i="1"/>
  <c r="AA39" i="1"/>
  <c r="L40" i="1"/>
  <c r="X39" i="1"/>
  <c r="S43" i="1"/>
  <c r="R40" i="1"/>
  <c r="AD39" i="1"/>
  <c r="G45" i="1"/>
  <c r="F45" i="1"/>
  <c r="E45" i="1"/>
  <c r="D46" i="1"/>
  <c r="AB43" i="1"/>
  <c r="Y43" i="1"/>
  <c r="M43" i="1"/>
  <c r="AE43" i="1"/>
  <c r="G43" i="4"/>
  <c r="H42" i="4"/>
  <c r="C44" i="1"/>
  <c r="J44" i="1"/>
  <c r="U40" i="1"/>
  <c r="F24" i="3"/>
  <c r="G24" i="3"/>
  <c r="AA20" i="3"/>
  <c r="P21" i="3"/>
  <c r="R21" i="3"/>
  <c r="W24" i="3"/>
  <c r="N25" i="3"/>
  <c r="U23" i="3"/>
  <c r="L24" i="3"/>
  <c r="V21" i="3"/>
  <c r="V44" i="1"/>
  <c r="AB44" i="1"/>
  <c r="O41" i="1"/>
  <c r="AA40" i="1"/>
  <c r="R41" i="1"/>
  <c r="AD40" i="1"/>
  <c r="AE44" i="1"/>
  <c r="M44" i="1"/>
  <c r="E46" i="1"/>
  <c r="G46" i="1"/>
  <c r="D47" i="1"/>
  <c r="F46" i="1"/>
  <c r="L41" i="1"/>
  <c r="X40" i="1"/>
  <c r="Y44" i="1"/>
  <c r="S44" i="1"/>
  <c r="P44" i="1"/>
  <c r="G44" i="4"/>
  <c r="H43" i="4"/>
  <c r="B46" i="1"/>
  <c r="U41" i="1"/>
  <c r="M24" i="3"/>
  <c r="X21" i="3"/>
  <c r="S21" i="3"/>
  <c r="Q22" i="3"/>
  <c r="T24" i="3"/>
  <c r="Y24" i="3"/>
  <c r="AB35" i="3"/>
  <c r="J25" i="3"/>
  <c r="E25" i="3"/>
  <c r="K25" i="3"/>
  <c r="I25" i="3"/>
  <c r="H25" i="3"/>
  <c r="Z21" i="3"/>
  <c r="V45" i="1"/>
  <c r="AE45" i="1"/>
  <c r="M45" i="1"/>
  <c r="S45" i="1"/>
  <c r="AB45" i="1"/>
  <c r="F47" i="1"/>
  <c r="E47" i="1"/>
  <c r="D48" i="1"/>
  <c r="G47" i="1"/>
  <c r="Y45" i="1"/>
  <c r="P45" i="1"/>
  <c r="R42" i="1"/>
  <c r="AD41" i="1"/>
  <c r="O42" i="1"/>
  <c r="AA41" i="1"/>
  <c r="L42" i="1"/>
  <c r="X41" i="1"/>
  <c r="G45" i="4"/>
  <c r="H44" i="4"/>
  <c r="C46" i="1"/>
  <c r="J46" i="1"/>
  <c r="B47" i="1"/>
  <c r="U42" i="1"/>
  <c r="F25" i="3"/>
  <c r="G25" i="3"/>
  <c r="R22" i="3"/>
  <c r="P22" i="3"/>
  <c r="AA21" i="3"/>
  <c r="W25" i="3"/>
  <c r="N26" i="3"/>
  <c r="L26" i="3"/>
  <c r="U24" i="3"/>
  <c r="L25" i="3"/>
  <c r="V22" i="3"/>
  <c r="V46" i="1"/>
  <c r="AB46" i="1"/>
  <c r="R43" i="1"/>
  <c r="AD42" i="1"/>
  <c r="Y46" i="1"/>
  <c r="M46" i="1"/>
  <c r="O43" i="1"/>
  <c r="AA42" i="1"/>
  <c r="L43" i="1"/>
  <c r="X42" i="1"/>
  <c r="G48" i="1"/>
  <c r="F48" i="1"/>
  <c r="E48" i="1"/>
  <c r="D49" i="1"/>
  <c r="S46" i="1"/>
  <c r="P46" i="1"/>
  <c r="AE46" i="1"/>
  <c r="G46" i="4"/>
  <c r="H45" i="4"/>
  <c r="B48" i="1"/>
  <c r="C47" i="1"/>
  <c r="J47" i="1"/>
  <c r="U43" i="1"/>
  <c r="M25" i="3"/>
  <c r="X22" i="3"/>
  <c r="S22" i="3"/>
  <c r="Q23" i="3"/>
  <c r="G26" i="3"/>
  <c r="T25" i="3"/>
  <c r="Y25" i="3"/>
  <c r="AB36" i="3"/>
  <c r="E26" i="3"/>
  <c r="M26" i="3"/>
  <c r="I26" i="3"/>
  <c r="K26" i="3"/>
  <c r="F26" i="3"/>
  <c r="H26" i="3"/>
  <c r="J26" i="3"/>
  <c r="Z22" i="3"/>
  <c r="V47" i="1"/>
  <c r="L44" i="1"/>
  <c r="X43" i="1"/>
  <c r="O44" i="1"/>
  <c r="AA43" i="1"/>
  <c r="R44" i="1"/>
  <c r="AD43" i="1"/>
  <c r="Y47" i="1"/>
  <c r="AB47" i="1"/>
  <c r="M47" i="1"/>
  <c r="P47" i="1"/>
  <c r="S47" i="1"/>
  <c r="G49" i="1"/>
  <c r="F49" i="1"/>
  <c r="E49" i="1"/>
  <c r="D50" i="1"/>
  <c r="AE47" i="1"/>
  <c r="G47" i="4"/>
  <c r="H46" i="4"/>
  <c r="C48" i="1"/>
  <c r="J48" i="1"/>
  <c r="B49" i="1"/>
  <c r="U44" i="1"/>
  <c r="R23" i="3"/>
  <c r="P23" i="3"/>
  <c r="AA22" i="3"/>
  <c r="W26" i="3"/>
  <c r="N27" i="3"/>
  <c r="L27" i="3"/>
  <c r="U25" i="3"/>
  <c r="V23" i="3"/>
  <c r="V48" i="1"/>
  <c r="M48" i="1"/>
  <c r="Y48" i="1"/>
  <c r="R45" i="1"/>
  <c r="AD44" i="1"/>
  <c r="E50" i="1"/>
  <c r="G50" i="1"/>
  <c r="D51" i="1"/>
  <c r="F50" i="1"/>
  <c r="O45" i="1"/>
  <c r="AA44" i="1"/>
  <c r="AB48" i="1"/>
  <c r="S48" i="1"/>
  <c r="L45" i="1"/>
  <c r="X44" i="1"/>
  <c r="P48" i="1"/>
  <c r="AE48" i="1"/>
  <c r="G48" i="4"/>
  <c r="H47" i="4"/>
  <c r="C49" i="1"/>
  <c r="J49" i="1"/>
  <c r="B50" i="1"/>
  <c r="U45" i="1"/>
  <c r="X23" i="3"/>
  <c r="S23" i="3"/>
  <c r="Q24" i="3"/>
  <c r="G27" i="3"/>
  <c r="T26" i="3"/>
  <c r="Y26" i="3"/>
  <c r="AB37" i="3"/>
  <c r="H27" i="3"/>
  <c r="E27" i="3"/>
  <c r="K27" i="3"/>
  <c r="M27" i="3"/>
  <c r="I27" i="3"/>
  <c r="F27" i="3"/>
  <c r="J27" i="3"/>
  <c r="U26" i="3"/>
  <c r="Z23" i="3"/>
  <c r="V49" i="1"/>
  <c r="AB49" i="1"/>
  <c r="O46" i="1"/>
  <c r="AA45" i="1"/>
  <c r="F51" i="1"/>
  <c r="E51" i="1"/>
  <c r="D52" i="1"/>
  <c r="G51" i="1"/>
  <c r="R46" i="1"/>
  <c r="AD45" i="1"/>
  <c r="S49" i="1"/>
  <c r="M49" i="1"/>
  <c r="AE49" i="1"/>
  <c r="L46" i="1"/>
  <c r="X45" i="1"/>
  <c r="Y49" i="1"/>
  <c r="P49" i="1"/>
  <c r="G49" i="4"/>
  <c r="H48" i="4"/>
  <c r="C50" i="1"/>
  <c r="J50" i="1"/>
  <c r="B51" i="1"/>
  <c r="U46" i="1"/>
  <c r="P24" i="3"/>
  <c r="R24" i="3"/>
  <c r="AA23" i="3"/>
  <c r="W27" i="3"/>
  <c r="T27" i="3"/>
  <c r="Y27" i="3"/>
  <c r="AB38" i="3"/>
  <c r="N28" i="3"/>
  <c r="L28" i="3"/>
  <c r="V24" i="3"/>
  <c r="V50" i="1"/>
  <c r="S50" i="1"/>
  <c r="Y50" i="1"/>
  <c r="O47" i="1"/>
  <c r="AA46" i="1"/>
  <c r="L47" i="1"/>
  <c r="X46" i="1"/>
  <c r="M50" i="1"/>
  <c r="G52" i="1"/>
  <c r="D53" i="1"/>
  <c r="F52" i="1"/>
  <c r="E52" i="1"/>
  <c r="AB50" i="1"/>
  <c r="R47" i="1"/>
  <c r="AD46" i="1"/>
  <c r="AE50" i="1"/>
  <c r="P50" i="1"/>
  <c r="G50" i="4"/>
  <c r="H49" i="4"/>
  <c r="B52" i="1"/>
  <c r="C51" i="1"/>
  <c r="J51" i="1"/>
  <c r="U47" i="1"/>
  <c r="X24" i="3"/>
  <c r="S24" i="3"/>
  <c r="Q25" i="3"/>
  <c r="W28" i="3"/>
  <c r="G28" i="3"/>
  <c r="K28" i="3"/>
  <c r="E28" i="3"/>
  <c r="I28" i="3"/>
  <c r="M28" i="3"/>
  <c r="F28" i="3"/>
  <c r="J28" i="3"/>
  <c r="H28" i="3"/>
  <c r="U27" i="3"/>
  <c r="Z24" i="3"/>
  <c r="V51" i="1"/>
  <c r="AB51" i="1"/>
  <c r="S51" i="1"/>
  <c r="L48" i="1"/>
  <c r="X47" i="1"/>
  <c r="O48" i="1"/>
  <c r="AA47" i="1"/>
  <c r="P51" i="1"/>
  <c r="R48" i="1"/>
  <c r="AD47" i="1"/>
  <c r="Y51" i="1"/>
  <c r="G53" i="1"/>
  <c r="F53" i="1"/>
  <c r="E53" i="1"/>
  <c r="D54" i="1"/>
  <c r="AE51" i="1"/>
  <c r="M51" i="1"/>
  <c r="G51" i="4"/>
  <c r="H50" i="4"/>
  <c r="C52" i="1"/>
  <c r="J52" i="1"/>
  <c r="B53" i="1"/>
  <c r="U48" i="1"/>
  <c r="AA24" i="3"/>
  <c r="P25" i="3"/>
  <c r="R25" i="3"/>
  <c r="T28" i="3"/>
  <c r="Y28" i="3"/>
  <c r="AB39" i="3"/>
  <c r="N29" i="3"/>
  <c r="L29" i="3"/>
  <c r="U28" i="3"/>
  <c r="V25" i="3"/>
  <c r="V52" i="1"/>
  <c r="AE52" i="1"/>
  <c r="S25" i="3"/>
  <c r="Q26" i="3"/>
  <c r="S52" i="1"/>
  <c r="M52" i="1"/>
  <c r="L49" i="1"/>
  <c r="X48" i="1"/>
  <c r="R49" i="1"/>
  <c r="AD48" i="1"/>
  <c r="O49" i="1"/>
  <c r="AA48" i="1"/>
  <c r="AB52" i="1"/>
  <c r="E54" i="1"/>
  <c r="D55" i="1"/>
  <c r="G54" i="1"/>
  <c r="F54" i="1"/>
  <c r="Y52" i="1"/>
  <c r="P52" i="1"/>
  <c r="G52" i="4"/>
  <c r="H51" i="4"/>
  <c r="C53" i="1"/>
  <c r="J53" i="1"/>
  <c r="B54" i="1"/>
  <c r="U49" i="1"/>
  <c r="X25" i="3"/>
  <c r="W29" i="3"/>
  <c r="G29" i="3"/>
  <c r="T29" i="3"/>
  <c r="Y29" i="3"/>
  <c r="AB40" i="3"/>
  <c r="F29" i="3"/>
  <c r="E29" i="3"/>
  <c r="H29" i="3"/>
  <c r="J29" i="3"/>
  <c r="I29" i="3"/>
  <c r="K29" i="3"/>
  <c r="M29" i="3"/>
  <c r="U29" i="3"/>
  <c r="Z25" i="3"/>
  <c r="V53" i="1"/>
  <c r="AA25" i="3"/>
  <c r="P53" i="1"/>
  <c r="P26" i="3"/>
  <c r="R26" i="3"/>
  <c r="AE53" i="1"/>
  <c r="Y53" i="1"/>
  <c r="AB53" i="1"/>
  <c r="M53" i="1"/>
  <c r="O50" i="1"/>
  <c r="AA49" i="1"/>
  <c r="L50" i="1"/>
  <c r="X49" i="1"/>
  <c r="R50" i="1"/>
  <c r="AD49" i="1"/>
  <c r="E55" i="1"/>
  <c r="D56" i="1"/>
  <c r="G55" i="1"/>
  <c r="F55" i="1"/>
  <c r="S53" i="1"/>
  <c r="G53" i="4"/>
  <c r="H52" i="4"/>
  <c r="C54" i="1"/>
  <c r="J54" i="1"/>
  <c r="B55" i="1"/>
  <c r="U50" i="1"/>
  <c r="W30" i="3"/>
  <c r="T30" i="3"/>
  <c r="Y30" i="3"/>
  <c r="AB41" i="3"/>
  <c r="N30" i="3"/>
  <c r="L30" i="3"/>
  <c r="U30" i="3"/>
  <c r="V26" i="3"/>
  <c r="V54" i="1"/>
  <c r="AE54" i="1"/>
  <c r="X26" i="3"/>
  <c r="S26" i="3"/>
  <c r="Q27" i="3"/>
  <c r="P54" i="1"/>
  <c r="S54" i="1"/>
  <c r="L51" i="1"/>
  <c r="X50" i="1"/>
  <c r="Y54" i="1"/>
  <c r="G56" i="1"/>
  <c r="F56" i="1"/>
  <c r="E56" i="1"/>
  <c r="D57" i="1"/>
  <c r="M54" i="1"/>
  <c r="R51" i="1"/>
  <c r="AD50" i="1"/>
  <c r="O51" i="1"/>
  <c r="AA50" i="1"/>
  <c r="AB54" i="1"/>
  <c r="G54" i="4"/>
  <c r="H53" i="4"/>
  <c r="B56" i="1"/>
  <c r="C55" i="1"/>
  <c r="J55" i="1"/>
  <c r="U51" i="1"/>
  <c r="W31" i="3"/>
  <c r="G30" i="3"/>
  <c r="T31" i="3"/>
  <c r="Y31" i="3"/>
  <c r="AB42" i="3"/>
  <c r="F30" i="3"/>
  <c r="M30" i="3"/>
  <c r="K30" i="3"/>
  <c r="I30" i="3"/>
  <c r="J30" i="3"/>
  <c r="E30" i="3"/>
  <c r="H30" i="3"/>
  <c r="U31" i="3"/>
  <c r="Z26" i="3"/>
  <c r="V55" i="1"/>
  <c r="AA26" i="3"/>
  <c r="R27" i="3"/>
  <c r="P27" i="3"/>
  <c r="G57" i="1"/>
  <c r="F57" i="1"/>
  <c r="E57" i="1"/>
  <c r="D58" i="1"/>
  <c r="L52" i="1"/>
  <c r="X51" i="1"/>
  <c r="S55" i="1"/>
  <c r="M55" i="1"/>
  <c r="AE55" i="1"/>
  <c r="R52" i="1"/>
  <c r="AD51" i="1"/>
  <c r="AB55" i="1"/>
  <c r="O52" i="1"/>
  <c r="AA51" i="1"/>
  <c r="P55" i="1"/>
  <c r="Y55" i="1"/>
  <c r="G55" i="4"/>
  <c r="H54" i="4"/>
  <c r="C56" i="1"/>
  <c r="J56" i="1"/>
  <c r="B57" i="1"/>
  <c r="U52" i="1"/>
  <c r="W32" i="3"/>
  <c r="T32" i="3"/>
  <c r="Y32" i="3"/>
  <c r="AB43" i="3"/>
  <c r="N31" i="3"/>
  <c r="L31" i="3"/>
  <c r="U32" i="3"/>
  <c r="V27" i="3"/>
  <c r="V56" i="1"/>
  <c r="AB56" i="1"/>
  <c r="X27" i="3"/>
  <c r="S27" i="3"/>
  <c r="Q28" i="3"/>
  <c r="O53" i="1"/>
  <c r="AA52" i="1"/>
  <c r="L53" i="1"/>
  <c r="X52" i="1"/>
  <c r="Y56" i="1"/>
  <c r="P56" i="1"/>
  <c r="S56" i="1"/>
  <c r="R53" i="1"/>
  <c r="AD52" i="1"/>
  <c r="E58" i="1"/>
  <c r="D59" i="1"/>
  <c r="G58" i="1"/>
  <c r="F58" i="1"/>
  <c r="M56" i="1"/>
  <c r="AE56" i="1"/>
  <c r="G56" i="4"/>
  <c r="H55" i="4"/>
  <c r="C57" i="1"/>
  <c r="J57" i="1"/>
  <c r="B58" i="1"/>
  <c r="U53" i="1"/>
  <c r="W33" i="3"/>
  <c r="G31" i="3"/>
  <c r="T33" i="3"/>
  <c r="Y33" i="3"/>
  <c r="AB44" i="3"/>
  <c r="E31" i="3"/>
  <c r="K31" i="3"/>
  <c r="J31" i="3"/>
  <c r="H31" i="3"/>
  <c r="M31" i="3"/>
  <c r="I31" i="3"/>
  <c r="F31" i="3"/>
  <c r="U33" i="3"/>
  <c r="Z27" i="3"/>
  <c r="V57" i="1"/>
  <c r="AA27" i="3"/>
  <c r="Y57" i="1"/>
  <c r="R28" i="3"/>
  <c r="P28" i="3"/>
  <c r="F59" i="1"/>
  <c r="E59" i="1"/>
  <c r="D60" i="1"/>
  <c r="G59" i="1"/>
  <c r="R54" i="1"/>
  <c r="AD53" i="1"/>
  <c r="S57" i="1"/>
  <c r="M57" i="1"/>
  <c r="P57" i="1"/>
  <c r="O54" i="1"/>
  <c r="AA53" i="1"/>
  <c r="AB57" i="1"/>
  <c r="AE57" i="1"/>
  <c r="L54" i="1"/>
  <c r="X53" i="1"/>
  <c r="G57" i="4"/>
  <c r="H56" i="4"/>
  <c r="C58" i="1"/>
  <c r="J58" i="1"/>
  <c r="B59" i="1"/>
  <c r="U54" i="1"/>
  <c r="W34" i="3"/>
  <c r="T34" i="3"/>
  <c r="Y34" i="3"/>
  <c r="AB45" i="3"/>
  <c r="N32" i="3"/>
  <c r="L32" i="3"/>
  <c r="V28" i="3"/>
  <c r="V58" i="1"/>
  <c r="AE58" i="1"/>
  <c r="X28" i="3"/>
  <c r="S28" i="3"/>
  <c r="Q29" i="3"/>
  <c r="P58" i="1"/>
  <c r="Y58" i="1"/>
  <c r="D61" i="1"/>
  <c r="F60" i="1"/>
  <c r="E60" i="1"/>
  <c r="G60" i="1"/>
  <c r="L55" i="1"/>
  <c r="X54" i="1"/>
  <c r="O55" i="1"/>
  <c r="AA54" i="1"/>
  <c r="M58" i="1"/>
  <c r="R55" i="1"/>
  <c r="AD54" i="1"/>
  <c r="S58" i="1"/>
  <c r="AB58" i="1"/>
  <c r="G58" i="4"/>
  <c r="H57" i="4"/>
  <c r="B60" i="1"/>
  <c r="C59" i="1"/>
  <c r="J59" i="1"/>
  <c r="U55" i="1"/>
  <c r="W35" i="3"/>
  <c r="G32" i="3"/>
  <c r="H32" i="3"/>
  <c r="E32" i="3"/>
  <c r="F32" i="3"/>
  <c r="I32" i="3"/>
  <c r="M32" i="3"/>
  <c r="J32" i="3"/>
  <c r="K32" i="3"/>
  <c r="U34" i="3"/>
  <c r="Z28" i="3"/>
  <c r="V59" i="1"/>
  <c r="AA28" i="3"/>
  <c r="P29" i="3"/>
  <c r="R29" i="3"/>
  <c r="R56" i="1"/>
  <c r="AD55" i="1"/>
  <c r="S59" i="1"/>
  <c r="AE59" i="1"/>
  <c r="L56" i="1"/>
  <c r="X55" i="1"/>
  <c r="O56" i="1"/>
  <c r="AA55" i="1"/>
  <c r="G61" i="1"/>
  <c r="F61" i="1"/>
  <c r="E61" i="1"/>
  <c r="D62" i="1"/>
  <c r="M59" i="1"/>
  <c r="AB59" i="1"/>
  <c r="Y59" i="1"/>
  <c r="P59" i="1"/>
  <c r="G59" i="4"/>
  <c r="H58" i="4"/>
  <c r="C60" i="1"/>
  <c r="J60" i="1"/>
  <c r="B61" i="1"/>
  <c r="U56" i="1"/>
  <c r="T35" i="3"/>
  <c r="Y35" i="3"/>
  <c r="AB46" i="3"/>
  <c r="N33" i="3"/>
  <c r="L33" i="3"/>
  <c r="U35" i="3"/>
  <c r="V29" i="3"/>
  <c r="V60" i="1"/>
  <c r="AE60" i="1"/>
  <c r="X29" i="3"/>
  <c r="S29" i="3"/>
  <c r="Q30" i="3"/>
  <c r="L57" i="1"/>
  <c r="X56" i="1"/>
  <c r="E62" i="1"/>
  <c r="G62" i="1"/>
  <c r="D63" i="1"/>
  <c r="F62" i="1"/>
  <c r="Y60" i="1"/>
  <c r="S60" i="1"/>
  <c r="M60" i="1"/>
  <c r="O57" i="1"/>
  <c r="AA56" i="1"/>
  <c r="R57" i="1"/>
  <c r="AD56" i="1"/>
  <c r="AB60" i="1"/>
  <c r="P60" i="1"/>
  <c r="G60" i="4"/>
  <c r="H59" i="4"/>
  <c r="C61" i="1"/>
  <c r="J61" i="1"/>
  <c r="B62" i="1"/>
  <c r="U57" i="1"/>
  <c r="W36" i="3"/>
  <c r="G33" i="3"/>
  <c r="T36" i="3"/>
  <c r="Y36" i="3"/>
  <c r="AB47" i="3"/>
  <c r="I33" i="3"/>
  <c r="J33" i="3"/>
  <c r="M33" i="3"/>
  <c r="E33" i="3"/>
  <c r="H33" i="3"/>
  <c r="K33" i="3"/>
  <c r="F33" i="3"/>
  <c r="U36" i="3"/>
  <c r="Z29" i="3"/>
  <c r="V61" i="1"/>
  <c r="AA29" i="3"/>
  <c r="S61" i="1"/>
  <c r="R30" i="3"/>
  <c r="P30" i="3"/>
  <c r="R58" i="1"/>
  <c r="AD57" i="1"/>
  <c r="Y61" i="1"/>
  <c r="AB61" i="1"/>
  <c r="AE61" i="1"/>
  <c r="L58" i="1"/>
  <c r="X57" i="1"/>
  <c r="E63" i="1"/>
  <c r="D64" i="1"/>
  <c r="G63" i="1"/>
  <c r="F63" i="1"/>
  <c r="M61" i="1"/>
  <c r="P61" i="1"/>
  <c r="O58" i="1"/>
  <c r="AA57" i="1"/>
  <c r="G61" i="4"/>
  <c r="H60" i="4"/>
  <c r="C62" i="1"/>
  <c r="J62" i="1"/>
  <c r="B63" i="1"/>
  <c r="U58" i="1"/>
  <c r="W37" i="3"/>
  <c r="T37" i="3"/>
  <c r="Y37" i="3"/>
  <c r="AB48" i="3"/>
  <c r="N34" i="3"/>
  <c r="L34" i="3"/>
  <c r="U37" i="3"/>
  <c r="V30" i="3"/>
  <c r="V62" i="1"/>
  <c r="M62" i="1"/>
  <c r="X30" i="3"/>
  <c r="S30" i="3"/>
  <c r="Q31" i="3"/>
  <c r="S62" i="1"/>
  <c r="L59" i="1"/>
  <c r="X58" i="1"/>
  <c r="AB62" i="1"/>
  <c r="AE62" i="1"/>
  <c r="R59" i="1"/>
  <c r="AD58" i="1"/>
  <c r="G64" i="1"/>
  <c r="F64" i="1"/>
  <c r="E64" i="1"/>
  <c r="D65" i="1"/>
  <c r="P62" i="1"/>
  <c r="O59" i="1"/>
  <c r="AA58" i="1"/>
  <c r="Y62" i="1"/>
  <c r="G62" i="4"/>
  <c r="H61" i="4"/>
  <c r="B64" i="1"/>
  <c r="C63" i="1"/>
  <c r="J63" i="1"/>
  <c r="I59" i="1"/>
  <c r="U59" i="1"/>
  <c r="W38" i="3"/>
  <c r="G34" i="3"/>
  <c r="T38" i="3"/>
  <c r="Y38" i="3"/>
  <c r="AB49" i="3"/>
  <c r="K34" i="3"/>
  <c r="H34" i="3"/>
  <c r="E34" i="3"/>
  <c r="I34" i="3"/>
  <c r="M34" i="3"/>
  <c r="J34" i="3"/>
  <c r="F34" i="3"/>
  <c r="U38" i="3"/>
  <c r="Z30" i="3"/>
  <c r="I60" i="1"/>
  <c r="U60" i="1"/>
  <c r="V63" i="1"/>
  <c r="AA30" i="3"/>
  <c r="P31" i="3"/>
  <c r="R31" i="3"/>
  <c r="R60" i="1"/>
  <c r="AD59" i="1"/>
  <c r="AB63" i="1"/>
  <c r="AE63" i="1"/>
  <c r="P63" i="1"/>
  <c r="Y63" i="1"/>
  <c r="L60" i="1"/>
  <c r="X59" i="1"/>
  <c r="O60" i="1"/>
  <c r="AA59" i="1"/>
  <c r="G65" i="1"/>
  <c r="F65" i="1"/>
  <c r="E65" i="1"/>
  <c r="D66" i="1"/>
  <c r="S63" i="1"/>
  <c r="M63" i="1"/>
  <c r="G63" i="4"/>
  <c r="H62" i="4"/>
  <c r="C64" i="1"/>
  <c r="J64" i="1"/>
  <c r="B65" i="1"/>
  <c r="W39" i="3"/>
  <c r="T39" i="3"/>
  <c r="Y39" i="3"/>
  <c r="AB50" i="3"/>
  <c r="N35" i="3"/>
  <c r="L35" i="3"/>
  <c r="U39" i="3"/>
  <c r="V31" i="3"/>
  <c r="I61" i="1"/>
  <c r="U61" i="1"/>
  <c r="V64" i="1"/>
  <c r="Y64" i="1"/>
  <c r="X31" i="3"/>
  <c r="S31" i="3"/>
  <c r="Q32" i="3"/>
  <c r="S64" i="1"/>
  <c r="O61" i="1"/>
  <c r="AA60" i="1"/>
  <c r="R61" i="1"/>
  <c r="AD60" i="1"/>
  <c r="AB64" i="1"/>
  <c r="AE64" i="1"/>
  <c r="P64" i="1"/>
  <c r="L61" i="1"/>
  <c r="X60" i="1"/>
  <c r="D67" i="1"/>
  <c r="G66" i="1"/>
  <c r="F66" i="1"/>
  <c r="E66" i="1"/>
  <c r="M64" i="1"/>
  <c r="G64" i="4"/>
  <c r="H63" i="4"/>
  <c r="C65" i="1"/>
  <c r="J65" i="1"/>
  <c r="B66" i="1"/>
  <c r="W40" i="3"/>
  <c r="G35" i="3"/>
  <c r="T40" i="3"/>
  <c r="Y40" i="3"/>
  <c r="AB51" i="3"/>
  <c r="H35" i="3"/>
  <c r="F35" i="3"/>
  <c r="I35" i="3"/>
  <c r="K35" i="3"/>
  <c r="E35" i="3"/>
  <c r="M35" i="3"/>
  <c r="J35" i="3"/>
  <c r="U40" i="3"/>
  <c r="Z31" i="3"/>
  <c r="I62" i="1"/>
  <c r="U62" i="1"/>
  <c r="V65" i="1"/>
  <c r="AA31" i="3"/>
  <c r="R32" i="3"/>
  <c r="P32" i="3"/>
  <c r="O62" i="1"/>
  <c r="AA61" i="1"/>
  <c r="L62" i="1"/>
  <c r="X61" i="1"/>
  <c r="P65" i="1"/>
  <c r="S65" i="1"/>
  <c r="F67" i="1"/>
  <c r="E67" i="1"/>
  <c r="D68" i="1"/>
  <c r="G67" i="1"/>
  <c r="R62" i="1"/>
  <c r="AD61" i="1"/>
  <c r="M65" i="1"/>
  <c r="AE65" i="1"/>
  <c r="AB65" i="1"/>
  <c r="Y65" i="1"/>
  <c r="G65" i="4"/>
  <c r="H64" i="4"/>
  <c r="C66" i="1"/>
  <c r="J66" i="1"/>
  <c r="B67" i="1"/>
  <c r="W41" i="3"/>
  <c r="T41" i="3"/>
  <c r="Y41" i="3"/>
  <c r="AB52" i="3"/>
  <c r="N36" i="3"/>
  <c r="L36" i="3"/>
  <c r="U41" i="3"/>
  <c r="V32" i="3"/>
  <c r="I63" i="1"/>
  <c r="U63" i="1"/>
  <c r="V66" i="1"/>
  <c r="AB66" i="1"/>
  <c r="X32" i="3"/>
  <c r="S32" i="3"/>
  <c r="Q33" i="3"/>
  <c r="R63" i="1"/>
  <c r="AD62" i="1"/>
  <c r="D69" i="1"/>
  <c r="F68" i="1"/>
  <c r="E68" i="1"/>
  <c r="G68" i="1"/>
  <c r="L63" i="1"/>
  <c r="X62" i="1"/>
  <c r="Y66" i="1"/>
  <c r="M66" i="1"/>
  <c r="O63" i="1"/>
  <c r="AA62" i="1"/>
  <c r="S66" i="1"/>
  <c r="P66" i="1"/>
  <c r="AE66" i="1"/>
  <c r="G66" i="4"/>
  <c r="H65" i="4"/>
  <c r="B68" i="1"/>
  <c r="C67" i="1"/>
  <c r="J67" i="1"/>
  <c r="W42" i="3"/>
  <c r="G36" i="3"/>
  <c r="T42" i="3"/>
  <c r="Y42" i="3"/>
  <c r="AB53" i="3"/>
  <c r="K36" i="3"/>
  <c r="F36" i="3"/>
  <c r="H36" i="3"/>
  <c r="J36" i="3"/>
  <c r="I36" i="3"/>
  <c r="E36" i="3"/>
  <c r="M36" i="3"/>
  <c r="U42" i="3"/>
  <c r="Z32" i="3"/>
  <c r="I64" i="1"/>
  <c r="U64" i="1"/>
  <c r="V67" i="1"/>
  <c r="AA32" i="3"/>
  <c r="AB67" i="1"/>
  <c r="P33" i="3"/>
  <c r="R33" i="3"/>
  <c r="M67" i="1"/>
  <c r="AE67" i="1"/>
  <c r="P67" i="1"/>
  <c r="O64" i="1"/>
  <c r="AA63" i="1"/>
  <c r="L64" i="1"/>
  <c r="X63" i="1"/>
  <c r="G69" i="1"/>
  <c r="F69" i="1"/>
  <c r="E69" i="1"/>
  <c r="D70" i="1"/>
  <c r="R64" i="1"/>
  <c r="AD63" i="1"/>
  <c r="Y67" i="1"/>
  <c r="S67" i="1"/>
  <c r="G67" i="4"/>
  <c r="H66" i="4"/>
  <c r="C68" i="1"/>
  <c r="J68" i="1"/>
  <c r="B69" i="1"/>
  <c r="W43" i="3"/>
  <c r="T43" i="3"/>
  <c r="Y43" i="3"/>
  <c r="AB54" i="3"/>
  <c r="N37" i="3"/>
  <c r="L37" i="3"/>
  <c r="U43" i="3"/>
  <c r="V33" i="3"/>
  <c r="I65" i="1"/>
  <c r="U65" i="1"/>
  <c r="V68" i="1"/>
  <c r="S68" i="1"/>
  <c r="X33" i="3"/>
  <c r="S33" i="3"/>
  <c r="Q34" i="3"/>
  <c r="AE68" i="1"/>
  <c r="E70" i="1"/>
  <c r="G70" i="1"/>
  <c r="D71" i="1"/>
  <c r="F70" i="1"/>
  <c r="R65" i="1"/>
  <c r="AD64" i="1"/>
  <c r="L65" i="1"/>
  <c r="X64" i="1"/>
  <c r="Y68" i="1"/>
  <c r="AB68" i="1"/>
  <c r="M68" i="1"/>
  <c r="P68" i="1"/>
  <c r="O65" i="1"/>
  <c r="AA64" i="1"/>
  <c r="G68" i="4"/>
  <c r="H67" i="4"/>
  <c r="C69" i="1"/>
  <c r="J69" i="1"/>
  <c r="B70" i="1"/>
  <c r="W44" i="3"/>
  <c r="G37" i="3"/>
  <c r="T44" i="3"/>
  <c r="Y44" i="3"/>
  <c r="AB55" i="3"/>
  <c r="H37" i="3"/>
  <c r="F37" i="3"/>
  <c r="I37" i="3"/>
  <c r="J37" i="3"/>
  <c r="M37" i="3"/>
  <c r="E37" i="3"/>
  <c r="K37" i="3"/>
  <c r="U44" i="3"/>
  <c r="Z33" i="3"/>
  <c r="I66" i="1"/>
  <c r="U66" i="1"/>
  <c r="V69" i="1"/>
  <c r="AA33" i="3"/>
  <c r="AE69" i="1"/>
  <c r="P34" i="3"/>
  <c r="R34" i="3"/>
  <c r="P69" i="1"/>
  <c r="M69" i="1"/>
  <c r="L66" i="1"/>
  <c r="X65" i="1"/>
  <c r="R66" i="1"/>
  <c r="AD65" i="1"/>
  <c r="E71" i="1"/>
  <c r="D72" i="1"/>
  <c r="G71" i="1"/>
  <c r="F71" i="1"/>
  <c r="Y69" i="1"/>
  <c r="O66" i="1"/>
  <c r="AA65" i="1"/>
  <c r="AB69" i="1"/>
  <c r="S69" i="1"/>
  <c r="G69" i="4"/>
  <c r="H68" i="4"/>
  <c r="C70" i="1"/>
  <c r="J70" i="1"/>
  <c r="B71" i="1"/>
  <c r="W45" i="3"/>
  <c r="T45" i="3"/>
  <c r="Y45" i="3"/>
  <c r="AB56" i="3"/>
  <c r="N38" i="3"/>
  <c r="L38" i="3"/>
  <c r="U45" i="3"/>
  <c r="V34" i="3"/>
  <c r="I67" i="1"/>
  <c r="U67" i="1"/>
  <c r="V70" i="1"/>
  <c r="X34" i="3"/>
  <c r="S34" i="3"/>
  <c r="Q35" i="3"/>
  <c r="O67" i="1"/>
  <c r="AA66" i="1"/>
  <c r="G72" i="1"/>
  <c r="F72" i="1"/>
  <c r="E72" i="1"/>
  <c r="D73" i="1"/>
  <c r="L67" i="1"/>
  <c r="X66" i="1"/>
  <c r="AB70" i="1"/>
  <c r="P70" i="1"/>
  <c r="S70" i="1"/>
  <c r="R67" i="1"/>
  <c r="AD66" i="1"/>
  <c r="Y70" i="1"/>
  <c r="AE70" i="1"/>
  <c r="M70" i="1"/>
  <c r="AA46" i="3"/>
  <c r="V46" i="3"/>
  <c r="G70" i="4"/>
  <c r="H69" i="4"/>
  <c r="B72" i="1"/>
  <c r="C71" i="1"/>
  <c r="J71" i="1"/>
  <c r="I68" i="1"/>
  <c r="U68" i="1"/>
  <c r="W46" i="3"/>
  <c r="X46" i="3"/>
  <c r="S46" i="3"/>
  <c r="Z46" i="3"/>
  <c r="G38" i="3"/>
  <c r="T46" i="3"/>
  <c r="Y46" i="3"/>
  <c r="AB57" i="3"/>
  <c r="F38" i="3"/>
  <c r="H38" i="3"/>
  <c r="J38" i="3"/>
  <c r="I38" i="3"/>
  <c r="M38" i="3"/>
  <c r="E38" i="3"/>
  <c r="K38" i="3"/>
  <c r="P46" i="3"/>
  <c r="Q46" i="3"/>
  <c r="R46" i="3"/>
  <c r="U46" i="3"/>
  <c r="Z34" i="3"/>
  <c r="V71" i="1"/>
  <c r="AA34" i="3"/>
  <c r="P35" i="3"/>
  <c r="R35" i="3"/>
  <c r="L68" i="1"/>
  <c r="X67" i="1"/>
  <c r="Y71" i="1"/>
  <c r="AE71" i="1"/>
  <c r="M71" i="1"/>
  <c r="R68" i="1"/>
  <c r="AD67" i="1"/>
  <c r="G73" i="1"/>
  <c r="F73" i="1"/>
  <c r="E73" i="1"/>
  <c r="D74" i="1"/>
  <c r="O68" i="1"/>
  <c r="AA67" i="1"/>
  <c r="AB71" i="1"/>
  <c r="P71" i="1"/>
  <c r="S71" i="1"/>
  <c r="AA47" i="3"/>
  <c r="V47" i="3"/>
  <c r="G71" i="4"/>
  <c r="H70" i="4"/>
  <c r="C72" i="1"/>
  <c r="J72" i="1"/>
  <c r="B73" i="1"/>
  <c r="I69" i="1"/>
  <c r="U69" i="1"/>
  <c r="W47" i="3"/>
  <c r="X47" i="3"/>
  <c r="Z47" i="3"/>
  <c r="S47" i="3"/>
  <c r="T47" i="3"/>
  <c r="Y47" i="3"/>
  <c r="AB58" i="3"/>
  <c r="N39" i="3"/>
  <c r="L39" i="3"/>
  <c r="U47" i="3"/>
  <c r="Q47" i="3"/>
  <c r="R47" i="3"/>
  <c r="P47" i="3"/>
  <c r="V35" i="3"/>
  <c r="V72" i="1"/>
  <c r="AE72" i="1"/>
  <c r="X35" i="3"/>
  <c r="S35" i="3"/>
  <c r="Q36" i="3"/>
  <c r="L69" i="1"/>
  <c r="X68" i="1"/>
  <c r="O69" i="1"/>
  <c r="AA68" i="1"/>
  <c r="G74" i="1"/>
  <c r="D75" i="1"/>
  <c r="F74" i="1"/>
  <c r="E74" i="1"/>
  <c r="Y72" i="1"/>
  <c r="AB72" i="1"/>
  <c r="R69" i="1"/>
  <c r="AD68" i="1"/>
  <c r="S72" i="1"/>
  <c r="M72" i="1"/>
  <c r="P72" i="1"/>
  <c r="AA48" i="3"/>
  <c r="V48" i="3"/>
  <c r="G72" i="4"/>
  <c r="H71" i="4"/>
  <c r="C73" i="1"/>
  <c r="J73" i="1"/>
  <c r="B74" i="1"/>
  <c r="I70" i="1"/>
  <c r="U70" i="1"/>
  <c r="W48" i="3"/>
  <c r="X48" i="3"/>
  <c r="Z48" i="3"/>
  <c r="S48" i="3"/>
  <c r="G39" i="3"/>
  <c r="T48" i="3"/>
  <c r="Y48" i="3"/>
  <c r="AB59" i="3"/>
  <c r="F39" i="3"/>
  <c r="H39" i="3"/>
  <c r="I39" i="3"/>
  <c r="K39" i="3"/>
  <c r="M39" i="3"/>
  <c r="J39" i="3"/>
  <c r="E39" i="3"/>
  <c r="U48" i="3"/>
  <c r="P48" i="3"/>
  <c r="Q48" i="3"/>
  <c r="R48" i="3"/>
  <c r="Z35" i="3"/>
  <c r="V73" i="1"/>
  <c r="AA35" i="3"/>
  <c r="Y73" i="1"/>
  <c r="P36" i="3"/>
  <c r="R36" i="3"/>
  <c r="R70" i="1"/>
  <c r="AD69" i="1"/>
  <c r="L70" i="1"/>
  <c r="X69" i="1"/>
  <c r="M73" i="1"/>
  <c r="E75" i="1"/>
  <c r="D76" i="1"/>
  <c r="G75" i="1"/>
  <c r="F75" i="1"/>
  <c r="O70" i="1"/>
  <c r="AA69" i="1"/>
  <c r="AB73" i="1"/>
  <c r="S73" i="1"/>
  <c r="P73" i="1"/>
  <c r="AE73" i="1"/>
  <c r="AA49" i="3"/>
  <c r="V49" i="3"/>
  <c r="G73" i="4"/>
  <c r="H72" i="4"/>
  <c r="C74" i="1"/>
  <c r="J74" i="1"/>
  <c r="B75" i="1"/>
  <c r="I71" i="1"/>
  <c r="U71" i="1"/>
  <c r="W49" i="3"/>
  <c r="X49" i="3"/>
  <c r="Z49" i="3"/>
  <c r="S49" i="3"/>
  <c r="T49" i="3"/>
  <c r="Y49" i="3"/>
  <c r="AB60" i="3"/>
  <c r="N40" i="3"/>
  <c r="L40" i="3"/>
  <c r="R49" i="3"/>
  <c r="P49" i="3"/>
  <c r="U49" i="3"/>
  <c r="Q49" i="3"/>
  <c r="V36" i="3"/>
  <c r="V74" i="1"/>
  <c r="Y74" i="1"/>
  <c r="X36" i="3"/>
  <c r="S36" i="3"/>
  <c r="Q37" i="3"/>
  <c r="G76" i="1"/>
  <c r="D77" i="1"/>
  <c r="F76" i="1"/>
  <c r="E76" i="1"/>
  <c r="L71" i="1"/>
  <c r="X70" i="1"/>
  <c r="R71" i="1"/>
  <c r="AD70" i="1"/>
  <c r="M74" i="1"/>
  <c r="S74" i="1"/>
  <c r="AB74" i="1"/>
  <c r="O71" i="1"/>
  <c r="AA70" i="1"/>
  <c r="AE74" i="1"/>
  <c r="P74" i="1"/>
  <c r="AA50" i="3"/>
  <c r="V50" i="3"/>
  <c r="G74" i="4"/>
  <c r="H73" i="4"/>
  <c r="B76" i="1"/>
  <c r="C75" i="1"/>
  <c r="J75" i="1"/>
  <c r="I72" i="1"/>
  <c r="U72" i="1"/>
  <c r="W50" i="3"/>
  <c r="X50" i="3"/>
  <c r="S50" i="3"/>
  <c r="Z50" i="3"/>
  <c r="G40" i="3"/>
  <c r="T50" i="3"/>
  <c r="Y50" i="3"/>
  <c r="AB61" i="3"/>
  <c r="K40" i="3"/>
  <c r="E40" i="3"/>
  <c r="F40" i="3"/>
  <c r="I40" i="3"/>
  <c r="J40" i="3"/>
  <c r="M40" i="3"/>
  <c r="H40" i="3"/>
  <c r="P50" i="3"/>
  <c r="Q50" i="3"/>
  <c r="R50" i="3"/>
  <c r="U50" i="3"/>
  <c r="Z36" i="3"/>
  <c r="V75" i="1"/>
  <c r="AA36" i="3"/>
  <c r="AE75" i="1"/>
  <c r="P37" i="3"/>
  <c r="R37" i="3"/>
  <c r="R72" i="1"/>
  <c r="AD71" i="1"/>
  <c r="P75" i="1"/>
  <c r="S75" i="1"/>
  <c r="Y75" i="1"/>
  <c r="L72" i="1"/>
  <c r="X71" i="1"/>
  <c r="O72" i="1"/>
  <c r="AA71" i="1"/>
  <c r="G77" i="1"/>
  <c r="F77" i="1"/>
  <c r="E77" i="1"/>
  <c r="D78" i="1"/>
  <c r="M75" i="1"/>
  <c r="AB75" i="1"/>
  <c r="AA51" i="3"/>
  <c r="V51" i="3"/>
  <c r="G75" i="4"/>
  <c r="H74" i="4"/>
  <c r="C76" i="1"/>
  <c r="J76" i="1"/>
  <c r="B77" i="1"/>
  <c r="I73" i="1"/>
  <c r="U73" i="1"/>
  <c r="W51" i="3"/>
  <c r="X51" i="3"/>
  <c r="Z51" i="3"/>
  <c r="S51" i="3"/>
  <c r="T51" i="3"/>
  <c r="Y51" i="3"/>
  <c r="AB62" i="3"/>
  <c r="N41" i="3"/>
  <c r="L41" i="3"/>
  <c r="U51" i="3"/>
  <c r="Q51" i="3"/>
  <c r="R51" i="3"/>
  <c r="P51" i="3"/>
  <c r="V37" i="3"/>
  <c r="V76" i="1"/>
  <c r="S76" i="1"/>
  <c r="X37" i="3"/>
  <c r="S37" i="3"/>
  <c r="Q38" i="3"/>
  <c r="R73" i="1"/>
  <c r="AD72" i="1"/>
  <c r="G78" i="1"/>
  <c r="D79" i="1"/>
  <c r="F78" i="1"/>
  <c r="E78" i="1"/>
  <c r="AE76" i="1"/>
  <c r="Y76" i="1"/>
  <c r="AB76" i="1"/>
  <c r="O73" i="1"/>
  <c r="AA72" i="1"/>
  <c r="L73" i="1"/>
  <c r="X72" i="1"/>
  <c r="M76" i="1"/>
  <c r="P76" i="1"/>
  <c r="AA52" i="3"/>
  <c r="V52" i="3"/>
  <c r="G76" i="4"/>
  <c r="H75" i="4"/>
  <c r="C77" i="1"/>
  <c r="J77" i="1"/>
  <c r="B78" i="1"/>
  <c r="I74" i="1"/>
  <c r="U74" i="1"/>
  <c r="W52" i="3"/>
  <c r="X52" i="3"/>
  <c r="Z52" i="3"/>
  <c r="S52" i="3"/>
  <c r="G41" i="3"/>
  <c r="T52" i="3"/>
  <c r="Y52" i="3"/>
  <c r="AB63" i="3"/>
  <c r="J41" i="3"/>
  <c r="F41" i="3"/>
  <c r="E41" i="3"/>
  <c r="K41" i="3"/>
  <c r="M41" i="3"/>
  <c r="I41" i="3"/>
  <c r="H41" i="3"/>
  <c r="U52" i="3"/>
  <c r="P52" i="3"/>
  <c r="Q52" i="3"/>
  <c r="R52" i="3"/>
  <c r="Z37" i="3"/>
  <c r="V77" i="1"/>
  <c r="AA37" i="3"/>
  <c r="M77" i="1"/>
  <c r="P38" i="3"/>
  <c r="R38" i="3"/>
  <c r="R74" i="1"/>
  <c r="AD73" i="1"/>
  <c r="L74" i="1"/>
  <c r="X73" i="1"/>
  <c r="AB77" i="1"/>
  <c r="P77" i="1"/>
  <c r="S77" i="1"/>
  <c r="O74" i="1"/>
  <c r="AA73" i="1"/>
  <c r="F79" i="1"/>
  <c r="E79" i="1"/>
  <c r="D80" i="1"/>
  <c r="G79" i="1"/>
  <c r="Y77" i="1"/>
  <c r="AE77" i="1"/>
  <c r="AA53" i="3"/>
  <c r="V53" i="3"/>
  <c r="G77" i="4"/>
  <c r="H76" i="4"/>
  <c r="C78" i="1"/>
  <c r="J78" i="1"/>
  <c r="B79" i="1"/>
  <c r="I75" i="1"/>
  <c r="U75" i="1"/>
  <c r="W53" i="3"/>
  <c r="X53" i="3"/>
  <c r="Z53" i="3"/>
  <c r="S53" i="3"/>
  <c r="T53" i="3"/>
  <c r="Y53" i="3"/>
  <c r="AB64" i="3"/>
  <c r="N42" i="3"/>
  <c r="L42" i="3"/>
  <c r="R53" i="3"/>
  <c r="P53" i="3"/>
  <c r="U53" i="3"/>
  <c r="Q53" i="3"/>
  <c r="V38" i="3"/>
  <c r="V78" i="1"/>
  <c r="AB78" i="1"/>
  <c r="X38" i="3"/>
  <c r="S38" i="3"/>
  <c r="Q39" i="3"/>
  <c r="Y78" i="1"/>
  <c r="F80" i="1"/>
  <c r="E80" i="1"/>
  <c r="G80" i="1"/>
  <c r="D81" i="1"/>
  <c r="M78" i="1"/>
  <c r="P78" i="1"/>
  <c r="L75" i="1"/>
  <c r="X74" i="1"/>
  <c r="R75" i="1"/>
  <c r="AD74" i="1"/>
  <c r="S78" i="1"/>
  <c r="O75" i="1"/>
  <c r="AA74" i="1"/>
  <c r="AE78" i="1"/>
  <c r="AA54" i="3"/>
  <c r="V54" i="3"/>
  <c r="G78" i="4"/>
  <c r="H77" i="4"/>
  <c r="B80" i="1"/>
  <c r="C79" i="1"/>
  <c r="J79" i="1"/>
  <c r="I76" i="1"/>
  <c r="U76" i="1"/>
  <c r="W54" i="3"/>
  <c r="X54" i="3"/>
  <c r="S54" i="3"/>
  <c r="Z54" i="3"/>
  <c r="G42" i="3"/>
  <c r="T54" i="3"/>
  <c r="Y54" i="3"/>
  <c r="AB65" i="3"/>
  <c r="F42" i="3"/>
  <c r="I42" i="3"/>
  <c r="E42" i="3"/>
  <c r="K42" i="3"/>
  <c r="M42" i="3"/>
  <c r="H42" i="3"/>
  <c r="J42" i="3"/>
  <c r="P54" i="3"/>
  <c r="Q54" i="3"/>
  <c r="R54" i="3"/>
  <c r="U54" i="3"/>
  <c r="Z38" i="3"/>
  <c r="V79" i="1"/>
  <c r="AA38" i="3"/>
  <c r="M79" i="1"/>
  <c r="P39" i="3"/>
  <c r="R39" i="3"/>
  <c r="S79" i="1"/>
  <c r="Y79" i="1"/>
  <c r="R76" i="1"/>
  <c r="AD75" i="1"/>
  <c r="AE79" i="1"/>
  <c r="AB79" i="1"/>
  <c r="O76" i="1"/>
  <c r="AA75" i="1"/>
  <c r="G81" i="1"/>
  <c r="F81" i="1"/>
  <c r="E81" i="1"/>
  <c r="D82" i="1"/>
  <c r="P79" i="1"/>
  <c r="L76" i="1"/>
  <c r="X75" i="1"/>
  <c r="AA55" i="3"/>
  <c r="V55" i="3"/>
  <c r="G79" i="4"/>
  <c r="H78" i="4"/>
  <c r="C80" i="1"/>
  <c r="J80" i="1"/>
  <c r="B81" i="1"/>
  <c r="I77" i="1"/>
  <c r="U77" i="1"/>
  <c r="W55" i="3"/>
  <c r="X55" i="3"/>
  <c r="Z55" i="3"/>
  <c r="S55" i="3"/>
  <c r="T55" i="3"/>
  <c r="Y55" i="3"/>
  <c r="N43" i="3"/>
  <c r="L43" i="3"/>
  <c r="U55" i="3"/>
  <c r="Q55" i="3"/>
  <c r="R55" i="3"/>
  <c r="P55" i="3"/>
  <c r="V39" i="3"/>
  <c r="V80" i="1"/>
  <c r="Y80" i="1"/>
  <c r="X39" i="3"/>
  <c r="S39" i="3"/>
  <c r="Q40" i="3"/>
  <c r="O77" i="1"/>
  <c r="AA76" i="1"/>
  <c r="R77" i="1"/>
  <c r="AD76" i="1"/>
  <c r="P80" i="1"/>
  <c r="L77" i="1"/>
  <c r="X76" i="1"/>
  <c r="M80" i="1"/>
  <c r="S80" i="1"/>
  <c r="E82" i="1"/>
  <c r="D83" i="1"/>
  <c r="G82" i="1"/>
  <c r="F82" i="1"/>
  <c r="AB80" i="1"/>
  <c r="AE80" i="1"/>
  <c r="G80" i="4"/>
  <c r="H79" i="4"/>
  <c r="C81" i="1"/>
  <c r="J81" i="1"/>
  <c r="B82" i="1"/>
  <c r="I78" i="1"/>
  <c r="U78" i="1"/>
  <c r="G43" i="3"/>
  <c r="E43" i="3"/>
  <c r="K43" i="3"/>
  <c r="M43" i="3"/>
  <c r="F43" i="3"/>
  <c r="I43" i="3"/>
  <c r="J43" i="3"/>
  <c r="H43" i="3"/>
  <c r="Z39" i="3"/>
  <c r="V81" i="1"/>
  <c r="AA39" i="3"/>
  <c r="AE81" i="1"/>
  <c r="P40" i="3"/>
  <c r="R40" i="3"/>
  <c r="R78" i="1"/>
  <c r="AD77" i="1"/>
  <c r="Y81" i="1"/>
  <c r="AB81" i="1"/>
  <c r="E83" i="1"/>
  <c r="D84" i="1"/>
  <c r="G83" i="1"/>
  <c r="F83" i="1"/>
  <c r="L78" i="1"/>
  <c r="X77" i="1"/>
  <c r="S81" i="1"/>
  <c r="M81" i="1"/>
  <c r="P81" i="1"/>
  <c r="O78" i="1"/>
  <c r="AA77" i="1"/>
  <c r="G81" i="4"/>
  <c r="H80" i="4"/>
  <c r="C82" i="1"/>
  <c r="J82" i="1"/>
  <c r="B83" i="1"/>
  <c r="I79" i="1"/>
  <c r="U79" i="1"/>
  <c r="N44" i="3"/>
  <c r="L44" i="3"/>
  <c r="V40" i="3"/>
  <c r="V82" i="1"/>
  <c r="Y82" i="1"/>
  <c r="X40" i="3"/>
  <c r="S40" i="3"/>
  <c r="Q41" i="3"/>
  <c r="R79" i="1"/>
  <c r="AD78" i="1"/>
  <c r="AE82" i="1"/>
  <c r="AB82" i="1"/>
  <c r="P82" i="1"/>
  <c r="L79" i="1"/>
  <c r="X78" i="1"/>
  <c r="O79" i="1"/>
  <c r="AA78" i="1"/>
  <c r="G84" i="1"/>
  <c r="D85" i="1"/>
  <c r="F84" i="1"/>
  <c r="E84" i="1"/>
  <c r="S82" i="1"/>
  <c r="M82" i="1"/>
  <c r="G82" i="4"/>
  <c r="H81" i="4"/>
  <c r="B84" i="1"/>
  <c r="C83" i="1"/>
  <c r="J83" i="1"/>
  <c r="I80" i="1"/>
  <c r="U80" i="1"/>
  <c r="G44" i="3"/>
  <c r="F44" i="3"/>
  <c r="J44" i="3"/>
  <c r="E44" i="3"/>
  <c r="K44" i="3"/>
  <c r="M44" i="3"/>
  <c r="H44" i="3"/>
  <c r="I44" i="3"/>
  <c r="Z40" i="3"/>
  <c r="V83" i="1"/>
  <c r="AA40" i="3"/>
  <c r="R41" i="3"/>
  <c r="P41" i="3"/>
  <c r="G85" i="1"/>
  <c r="F85" i="1"/>
  <c r="E85" i="1"/>
  <c r="D86" i="1"/>
  <c r="M83" i="1"/>
  <c r="S83" i="1"/>
  <c r="L80" i="1"/>
  <c r="X79" i="1"/>
  <c r="AE83" i="1"/>
  <c r="R80" i="1"/>
  <c r="AD79" i="1"/>
  <c r="AB83" i="1"/>
  <c r="O80" i="1"/>
  <c r="AA79" i="1"/>
  <c r="Y83" i="1"/>
  <c r="P83" i="1"/>
  <c r="G83" i="4"/>
  <c r="H82" i="4"/>
  <c r="C84" i="1"/>
  <c r="J84" i="1"/>
  <c r="B85" i="1"/>
  <c r="I81" i="1"/>
  <c r="U81" i="1"/>
  <c r="N45" i="3"/>
  <c r="L45" i="3"/>
  <c r="V41" i="3"/>
  <c r="V84" i="1"/>
  <c r="M84" i="1"/>
  <c r="X41" i="3"/>
  <c r="S41" i="3"/>
  <c r="Q42" i="3"/>
  <c r="S84" i="1"/>
  <c r="AE84" i="1"/>
  <c r="O81" i="1"/>
  <c r="AA80" i="1"/>
  <c r="L81" i="1"/>
  <c r="X80" i="1"/>
  <c r="AB84" i="1"/>
  <c r="P84" i="1"/>
  <c r="R81" i="1"/>
  <c r="AD80" i="1"/>
  <c r="G86" i="1"/>
  <c r="D87" i="1"/>
  <c r="F86" i="1"/>
  <c r="E86" i="1"/>
  <c r="Y84" i="1"/>
  <c r="G84" i="4"/>
  <c r="H83" i="4"/>
  <c r="C85" i="1"/>
  <c r="J85" i="1"/>
  <c r="B86" i="1"/>
  <c r="I82" i="1"/>
  <c r="U82" i="1"/>
  <c r="G45" i="3"/>
  <c r="E45" i="3"/>
  <c r="K45" i="3"/>
  <c r="M45" i="3"/>
  <c r="H45" i="3"/>
  <c r="F45" i="3"/>
  <c r="I45" i="3"/>
  <c r="J45" i="3"/>
  <c r="Z41" i="3"/>
  <c r="V85" i="1"/>
  <c r="AA41" i="3"/>
  <c r="Y85" i="1"/>
  <c r="P42" i="3"/>
  <c r="R42" i="3"/>
  <c r="L82" i="1"/>
  <c r="X81" i="1"/>
  <c r="AB85" i="1"/>
  <c r="P85" i="1"/>
  <c r="R82" i="1"/>
  <c r="AD81" i="1"/>
  <c r="O82" i="1"/>
  <c r="AA81" i="1"/>
  <c r="S85" i="1"/>
  <c r="F87" i="1"/>
  <c r="E87" i="1"/>
  <c r="D88" i="1"/>
  <c r="G87" i="1"/>
  <c r="AE85" i="1"/>
  <c r="M85" i="1"/>
  <c r="G85" i="4"/>
  <c r="H84" i="4"/>
  <c r="C86" i="1"/>
  <c r="J86" i="1"/>
  <c r="B87" i="1"/>
  <c r="I83" i="1"/>
  <c r="U83" i="1"/>
  <c r="N46" i="3"/>
  <c r="L46" i="3"/>
  <c r="V42" i="3"/>
  <c r="V86" i="1"/>
  <c r="AE86" i="1"/>
  <c r="X42" i="3"/>
  <c r="S42" i="3"/>
  <c r="Q43" i="3"/>
  <c r="O83" i="1"/>
  <c r="AA82" i="1"/>
  <c r="Y86" i="1"/>
  <c r="AB86" i="1"/>
  <c r="F88" i="1"/>
  <c r="E88" i="1"/>
  <c r="G88" i="1"/>
  <c r="D89" i="1"/>
  <c r="M86" i="1"/>
  <c r="S86" i="1"/>
  <c r="P86" i="1"/>
  <c r="R83" i="1"/>
  <c r="AD82" i="1"/>
  <c r="L83" i="1"/>
  <c r="X82" i="1"/>
  <c r="G86" i="4"/>
  <c r="H85" i="4"/>
  <c r="B88" i="1"/>
  <c r="C87" i="1"/>
  <c r="J87" i="1"/>
  <c r="I84" i="1"/>
  <c r="U84" i="1"/>
  <c r="G46" i="3"/>
  <c r="F46" i="3"/>
  <c r="I46" i="3"/>
  <c r="E46" i="3"/>
  <c r="J46" i="3"/>
  <c r="K46" i="3"/>
  <c r="M46" i="3"/>
  <c r="H46" i="3"/>
  <c r="Z42" i="3"/>
  <c r="V87" i="1"/>
  <c r="AA42" i="3"/>
  <c r="P87" i="1"/>
  <c r="P43" i="3"/>
  <c r="R43" i="3"/>
  <c r="AB87" i="1"/>
  <c r="M87" i="1"/>
  <c r="O84" i="1"/>
  <c r="AA83" i="1"/>
  <c r="AE87" i="1"/>
  <c r="Y87" i="1"/>
  <c r="L84" i="1"/>
  <c r="X83" i="1"/>
  <c r="R84" i="1"/>
  <c r="AD83" i="1"/>
  <c r="G89" i="1"/>
  <c r="F89" i="1"/>
  <c r="E89" i="1"/>
  <c r="D90" i="1"/>
  <c r="S87" i="1"/>
  <c r="G87" i="4"/>
  <c r="H86" i="4"/>
  <c r="C88" i="1"/>
  <c r="J88" i="1"/>
  <c r="B89" i="1"/>
  <c r="I85" i="1"/>
  <c r="U85" i="1"/>
  <c r="N47" i="3"/>
  <c r="L47" i="3"/>
  <c r="V43" i="3"/>
  <c r="V88" i="1"/>
  <c r="M88" i="1"/>
  <c r="X43" i="3"/>
  <c r="S43" i="3"/>
  <c r="Q44" i="3"/>
  <c r="R85" i="1"/>
  <c r="AD84" i="1"/>
  <c r="AB88" i="1"/>
  <c r="S88" i="1"/>
  <c r="Y88" i="1"/>
  <c r="P88" i="1"/>
  <c r="AE88" i="1"/>
  <c r="L85" i="1"/>
  <c r="X84" i="1"/>
  <c r="O85" i="1"/>
  <c r="AA84" i="1"/>
  <c r="D91" i="1"/>
  <c r="G90" i="1"/>
  <c r="F90" i="1"/>
  <c r="E90" i="1"/>
  <c r="G88" i="4"/>
  <c r="H87" i="4"/>
  <c r="C89" i="1"/>
  <c r="J89" i="1"/>
  <c r="B90" i="1"/>
  <c r="I86" i="1"/>
  <c r="U86" i="1"/>
  <c r="G47" i="3"/>
  <c r="E47" i="3"/>
  <c r="K47" i="3"/>
  <c r="M47" i="3"/>
  <c r="H47" i="3"/>
  <c r="F47" i="3"/>
  <c r="I47" i="3"/>
  <c r="J47" i="3"/>
  <c r="Z43" i="3"/>
  <c r="V89" i="1"/>
  <c r="AA43" i="3"/>
  <c r="M89" i="1"/>
  <c r="P44" i="3"/>
  <c r="R44" i="3"/>
  <c r="AE89" i="1"/>
  <c r="AB89" i="1"/>
  <c r="Y89" i="1"/>
  <c r="P89" i="1"/>
  <c r="O86" i="1"/>
  <c r="AA85" i="1"/>
  <c r="F91" i="1"/>
  <c r="E91" i="1"/>
  <c r="D92" i="1"/>
  <c r="G91" i="1"/>
  <c r="R86" i="1"/>
  <c r="AD85" i="1"/>
  <c r="L86" i="1"/>
  <c r="X85" i="1"/>
  <c r="S89" i="1"/>
  <c r="G89" i="4"/>
  <c r="H88" i="4"/>
  <c r="C90" i="1"/>
  <c r="J90" i="1"/>
  <c r="B91" i="1"/>
  <c r="I87" i="1"/>
  <c r="U87" i="1"/>
  <c r="N48" i="3"/>
  <c r="L48" i="3"/>
  <c r="V44" i="3"/>
  <c r="V90" i="1"/>
  <c r="AB90" i="1"/>
  <c r="X44" i="3"/>
  <c r="S44" i="3"/>
  <c r="Q45" i="3"/>
  <c r="F92" i="1"/>
  <c r="E92" i="1"/>
  <c r="G92" i="1"/>
  <c r="D93" i="1"/>
  <c r="O87" i="1"/>
  <c r="AA86" i="1"/>
  <c r="S90" i="1"/>
  <c r="AE90" i="1"/>
  <c r="L87" i="1"/>
  <c r="X86" i="1"/>
  <c r="R87" i="1"/>
  <c r="AD86" i="1"/>
  <c r="Y90" i="1"/>
  <c r="M90" i="1"/>
  <c r="P90" i="1"/>
  <c r="G90" i="4"/>
  <c r="H89" i="4"/>
  <c r="B92" i="1"/>
  <c r="C91" i="1"/>
  <c r="J91" i="1"/>
  <c r="I88" i="1"/>
  <c r="U88" i="1"/>
  <c r="G48" i="3"/>
  <c r="F48" i="3"/>
  <c r="I48" i="3"/>
  <c r="J48" i="3"/>
  <c r="E48" i="3"/>
  <c r="M48" i="3"/>
  <c r="H48" i="3"/>
  <c r="K48" i="3"/>
  <c r="Z44" i="3"/>
  <c r="V91" i="1"/>
  <c r="AA44" i="3"/>
  <c r="P45" i="3"/>
  <c r="R45" i="3"/>
  <c r="R88" i="1"/>
  <c r="AD87" i="1"/>
  <c r="P91" i="1"/>
  <c r="G93" i="1"/>
  <c r="F93" i="1"/>
  <c r="E93" i="1"/>
  <c r="D94" i="1"/>
  <c r="Y91" i="1"/>
  <c r="S91" i="1"/>
  <c r="L88" i="1"/>
  <c r="X87" i="1"/>
  <c r="O88" i="1"/>
  <c r="AA87" i="1"/>
  <c r="M91" i="1"/>
  <c r="AE91" i="1"/>
  <c r="AB91" i="1"/>
  <c r="G91" i="4"/>
  <c r="H90" i="4"/>
  <c r="C92" i="1"/>
  <c r="J92" i="1"/>
  <c r="B93" i="1"/>
  <c r="I89" i="1"/>
  <c r="U89" i="1"/>
  <c r="N49" i="3"/>
  <c r="L49" i="3"/>
  <c r="Z45" i="3"/>
  <c r="V45" i="3"/>
  <c r="S45" i="3"/>
  <c r="V92" i="1"/>
  <c r="C60" i="3"/>
  <c r="X45" i="3"/>
  <c r="AA45" i="3"/>
  <c r="E94" i="1"/>
  <c r="G94" i="1"/>
  <c r="D95" i="1"/>
  <c r="F94" i="1"/>
  <c r="M92" i="1"/>
  <c r="P92" i="1"/>
  <c r="S92" i="1"/>
  <c r="AE92" i="1"/>
  <c r="R89" i="1"/>
  <c r="AD88" i="1"/>
  <c r="O89" i="1"/>
  <c r="AA88" i="1"/>
  <c r="L89" i="1"/>
  <c r="X88" i="1"/>
  <c r="Y92" i="1"/>
  <c r="AB92" i="1"/>
  <c r="G92" i="4"/>
  <c r="H91" i="4"/>
  <c r="C93" i="1"/>
  <c r="J93" i="1"/>
  <c r="B94" i="1"/>
  <c r="I90" i="1"/>
  <c r="U90" i="1"/>
  <c r="G49" i="3"/>
  <c r="J49" i="3"/>
  <c r="E49" i="3"/>
  <c r="K49" i="3"/>
  <c r="M49" i="3"/>
  <c r="H49" i="3"/>
  <c r="F49" i="3"/>
  <c r="I49" i="3"/>
  <c r="V93" i="1"/>
  <c r="S93" i="1"/>
  <c r="L90" i="1"/>
  <c r="X89" i="1"/>
  <c r="R90" i="1"/>
  <c r="AD89" i="1"/>
  <c r="AB93" i="1"/>
  <c r="AE93" i="1"/>
  <c r="O90" i="1"/>
  <c r="AA89" i="1"/>
  <c r="E95" i="1"/>
  <c r="D96" i="1"/>
  <c r="G95" i="1"/>
  <c r="F95" i="1"/>
  <c r="Y93" i="1"/>
  <c r="P93" i="1"/>
  <c r="M93" i="1"/>
  <c r="G93" i="4"/>
  <c r="H92" i="4"/>
  <c r="C94" i="1"/>
  <c r="J94" i="1"/>
  <c r="B95" i="1"/>
  <c r="I91" i="1"/>
  <c r="U91" i="1"/>
  <c r="N50" i="3"/>
  <c r="L50" i="3"/>
  <c r="V94" i="1"/>
  <c r="S94" i="1"/>
  <c r="AB94" i="1"/>
  <c r="P94" i="1"/>
  <c r="L91" i="1"/>
  <c r="X90" i="1"/>
  <c r="O91" i="1"/>
  <c r="AA90" i="1"/>
  <c r="R91" i="1"/>
  <c r="AD90" i="1"/>
  <c r="Y94" i="1"/>
  <c r="G96" i="1"/>
  <c r="D97" i="1"/>
  <c r="F96" i="1"/>
  <c r="E96" i="1"/>
  <c r="M94" i="1"/>
  <c r="AE94" i="1"/>
  <c r="G94" i="4"/>
  <c r="H93" i="4"/>
  <c r="B96" i="1"/>
  <c r="C95" i="1"/>
  <c r="J95" i="1"/>
  <c r="I92" i="1"/>
  <c r="U92" i="1"/>
  <c r="G50" i="3"/>
  <c r="M50" i="3"/>
  <c r="H50" i="3"/>
  <c r="I50" i="3"/>
  <c r="F50" i="3"/>
  <c r="J50" i="3"/>
  <c r="K50" i="3"/>
  <c r="E50" i="3"/>
  <c r="V95" i="1"/>
  <c r="AE95" i="1"/>
  <c r="O92" i="1"/>
  <c r="AA91" i="1"/>
  <c r="AB95" i="1"/>
  <c r="S95" i="1"/>
  <c r="P95" i="1"/>
  <c r="R92" i="1"/>
  <c r="AD91" i="1"/>
  <c r="L92" i="1"/>
  <c r="X91" i="1"/>
  <c r="Y95" i="1"/>
  <c r="G97" i="1"/>
  <c r="F97" i="1"/>
  <c r="E97" i="1"/>
  <c r="D98" i="1"/>
  <c r="M95" i="1"/>
  <c r="G95" i="4"/>
  <c r="H94" i="4"/>
  <c r="C96" i="1"/>
  <c r="J96" i="1"/>
  <c r="B97" i="1"/>
  <c r="I93" i="1"/>
  <c r="U93" i="1"/>
  <c r="N51" i="3"/>
  <c r="L51" i="3"/>
  <c r="V96" i="1"/>
  <c r="S96" i="1"/>
  <c r="Y96" i="1"/>
  <c r="R93" i="1"/>
  <c r="AD92" i="1"/>
  <c r="M96" i="1"/>
  <c r="O93" i="1"/>
  <c r="AA92" i="1"/>
  <c r="AB96" i="1"/>
  <c r="G98" i="1"/>
  <c r="D99" i="1"/>
  <c r="F98" i="1"/>
  <c r="E98" i="1"/>
  <c r="L93" i="1"/>
  <c r="X92" i="1"/>
  <c r="P96" i="1"/>
  <c r="AE96" i="1"/>
  <c r="G96" i="4"/>
  <c r="H95" i="4"/>
  <c r="C97" i="1"/>
  <c r="J97" i="1"/>
  <c r="B98" i="1"/>
  <c r="I94" i="1"/>
  <c r="U94" i="1"/>
  <c r="G51" i="3"/>
  <c r="J51" i="3"/>
  <c r="E51" i="3"/>
  <c r="K51" i="3"/>
  <c r="M51" i="3"/>
  <c r="H51" i="3"/>
  <c r="F51" i="3"/>
  <c r="I51" i="3"/>
  <c r="V97" i="1"/>
  <c r="S97" i="1"/>
  <c r="AB97" i="1"/>
  <c r="Y97" i="1"/>
  <c r="L94" i="1"/>
  <c r="X93" i="1"/>
  <c r="P97" i="1"/>
  <c r="M97" i="1"/>
  <c r="O94" i="1"/>
  <c r="AA93" i="1"/>
  <c r="F99" i="1"/>
  <c r="E99" i="1"/>
  <c r="D100" i="1"/>
  <c r="G99" i="1"/>
  <c r="R94" i="1"/>
  <c r="AD93" i="1"/>
  <c r="AE97" i="1"/>
  <c r="G97" i="4"/>
  <c r="H96" i="4"/>
  <c r="C98" i="1"/>
  <c r="J98" i="1"/>
  <c r="B99" i="1"/>
  <c r="I95" i="1"/>
  <c r="U95" i="1"/>
  <c r="N52" i="3"/>
  <c r="L52" i="3"/>
  <c r="V98" i="1"/>
  <c r="AB98" i="1"/>
  <c r="F100" i="1"/>
  <c r="E100" i="1"/>
  <c r="G100" i="1"/>
  <c r="D101" i="1"/>
  <c r="O95" i="1"/>
  <c r="AA94" i="1"/>
  <c r="Y98" i="1"/>
  <c r="M98" i="1"/>
  <c r="R95" i="1"/>
  <c r="AD94" i="1"/>
  <c r="L95" i="1"/>
  <c r="X94" i="1"/>
  <c r="S98" i="1"/>
  <c r="AE98" i="1"/>
  <c r="P98" i="1"/>
  <c r="G98" i="4"/>
  <c r="H97" i="4"/>
  <c r="B100" i="1"/>
  <c r="C99" i="1"/>
  <c r="J99" i="1"/>
  <c r="I96" i="1"/>
  <c r="U96" i="1"/>
  <c r="G52" i="3"/>
  <c r="F52" i="3"/>
  <c r="I52" i="3"/>
  <c r="K52" i="3"/>
  <c r="M52" i="3"/>
  <c r="H52" i="3"/>
  <c r="J52" i="3"/>
  <c r="E52" i="3"/>
  <c r="V99" i="1"/>
  <c r="P99" i="1"/>
  <c r="R96" i="1"/>
  <c r="AD95" i="1"/>
  <c r="G101" i="1"/>
  <c r="F101" i="1"/>
  <c r="E101" i="1"/>
  <c r="D102" i="1"/>
  <c r="S99" i="1"/>
  <c r="AB99" i="1"/>
  <c r="L96" i="1"/>
  <c r="X95" i="1"/>
  <c r="O96" i="1"/>
  <c r="AA95" i="1"/>
  <c r="M99" i="1"/>
  <c r="AE99" i="1"/>
  <c r="Y99" i="1"/>
  <c r="G99" i="4"/>
  <c r="H98" i="4"/>
  <c r="C100" i="1"/>
  <c r="J100" i="1"/>
  <c r="B101" i="1"/>
  <c r="I97" i="1"/>
  <c r="U97" i="1"/>
  <c r="N53" i="3"/>
  <c r="L53" i="3"/>
  <c r="V100" i="1"/>
  <c r="S100" i="1"/>
  <c r="L97" i="1"/>
  <c r="X96" i="1"/>
  <c r="R97" i="1"/>
  <c r="AD96" i="1"/>
  <c r="AB100" i="1"/>
  <c r="E102" i="1"/>
  <c r="D103" i="1"/>
  <c r="G102" i="1"/>
  <c r="F102" i="1"/>
  <c r="P100" i="1"/>
  <c r="O97" i="1"/>
  <c r="AA96" i="1"/>
  <c r="Y100" i="1"/>
  <c r="M100" i="1"/>
  <c r="AE100" i="1"/>
  <c r="G100" i="4"/>
  <c r="H99" i="4"/>
  <c r="C101" i="1"/>
  <c r="J101" i="1"/>
  <c r="B102" i="1"/>
  <c r="I98" i="1"/>
  <c r="U98" i="1"/>
  <c r="G53" i="3"/>
  <c r="J53" i="3"/>
  <c r="K53" i="3"/>
  <c r="E53" i="3"/>
  <c r="M53" i="3"/>
  <c r="H53" i="3"/>
  <c r="F53" i="3"/>
  <c r="I53" i="3"/>
  <c r="V101" i="1"/>
  <c r="Y101" i="1"/>
  <c r="O98" i="1"/>
  <c r="AA97" i="1"/>
  <c r="R98" i="1"/>
  <c r="AD97" i="1"/>
  <c r="L98" i="1"/>
  <c r="X97" i="1"/>
  <c r="E103" i="1"/>
  <c r="D104" i="1"/>
  <c r="G103" i="1"/>
  <c r="F103" i="1"/>
  <c r="S101" i="1"/>
  <c r="AB101" i="1"/>
  <c r="AE101" i="1"/>
  <c r="P101" i="1"/>
  <c r="M101" i="1"/>
  <c r="G101" i="4"/>
  <c r="H100" i="4"/>
  <c r="C102" i="1"/>
  <c r="J102" i="1"/>
  <c r="B103" i="1"/>
  <c r="I99" i="1"/>
  <c r="U99" i="1"/>
  <c r="N54" i="3"/>
  <c r="L54" i="3"/>
  <c r="V102" i="1"/>
  <c r="AB102" i="1"/>
  <c r="L99" i="1"/>
  <c r="X98" i="1"/>
  <c r="O99" i="1"/>
  <c r="AA98" i="1"/>
  <c r="Y102" i="1"/>
  <c r="G104" i="1"/>
  <c r="D105" i="1"/>
  <c r="F104" i="1"/>
  <c r="E104" i="1"/>
  <c r="S102" i="1"/>
  <c r="M102" i="1"/>
  <c r="R99" i="1"/>
  <c r="AD98" i="1"/>
  <c r="AE102" i="1"/>
  <c r="P102" i="1"/>
  <c r="G102" i="4"/>
  <c r="H101" i="4"/>
  <c r="B104" i="1"/>
  <c r="C103" i="1"/>
  <c r="J103" i="1"/>
  <c r="I100" i="1"/>
  <c r="U100" i="1"/>
  <c r="G54" i="3"/>
  <c r="F54" i="3"/>
  <c r="I54" i="3"/>
  <c r="J54" i="3"/>
  <c r="E54" i="3"/>
  <c r="M54" i="3"/>
  <c r="H54" i="3"/>
  <c r="K54" i="3"/>
  <c r="V103" i="1"/>
  <c r="O100" i="1"/>
  <c r="AA99" i="1"/>
  <c r="AE103" i="1"/>
  <c r="Y103" i="1"/>
  <c r="R100" i="1"/>
  <c r="AD99" i="1"/>
  <c r="M103" i="1"/>
  <c r="G105" i="1"/>
  <c r="F105" i="1"/>
  <c r="E105" i="1"/>
  <c r="D106" i="1"/>
  <c r="L100" i="1"/>
  <c r="X99" i="1"/>
  <c r="AB103" i="1"/>
  <c r="P103" i="1"/>
  <c r="S103" i="1"/>
  <c r="G103" i="4"/>
  <c r="H102" i="4"/>
  <c r="C104" i="1"/>
  <c r="J104" i="1"/>
  <c r="B105" i="1"/>
  <c r="I101" i="1"/>
  <c r="U101" i="1"/>
  <c r="N55" i="3"/>
  <c r="L55" i="3"/>
  <c r="V104" i="1"/>
  <c r="R101" i="1"/>
  <c r="AD100" i="1"/>
  <c r="O101" i="1"/>
  <c r="AA100" i="1"/>
  <c r="G106" i="1"/>
  <c r="D107" i="1"/>
  <c r="F106" i="1"/>
  <c r="E106" i="1"/>
  <c r="AB104" i="1"/>
  <c r="S104" i="1"/>
  <c r="Y104" i="1"/>
  <c r="L101" i="1"/>
  <c r="X100" i="1"/>
  <c r="P104" i="1"/>
  <c r="AE104" i="1"/>
  <c r="M104" i="1"/>
  <c r="G104" i="4"/>
  <c r="H103" i="4"/>
  <c r="C105" i="1"/>
  <c r="J105" i="1"/>
  <c r="B106" i="1"/>
  <c r="I102" i="1"/>
  <c r="U102" i="1"/>
  <c r="G55" i="3"/>
  <c r="M55" i="3"/>
  <c r="I55" i="3"/>
  <c r="H55" i="3"/>
  <c r="K55" i="3"/>
  <c r="E55" i="3"/>
  <c r="J55" i="3"/>
  <c r="F55" i="3"/>
  <c r="V105" i="1"/>
  <c r="O102" i="1"/>
  <c r="AA101" i="1"/>
  <c r="S105" i="1"/>
  <c r="E107" i="1"/>
  <c r="D108" i="1"/>
  <c r="G107" i="1"/>
  <c r="F107" i="1"/>
  <c r="Y105" i="1"/>
  <c r="AE105" i="1"/>
  <c r="R102" i="1"/>
  <c r="AD101" i="1"/>
  <c r="P105" i="1"/>
  <c r="M105" i="1"/>
  <c r="L102" i="1"/>
  <c r="X101" i="1"/>
  <c r="AB105" i="1"/>
  <c r="G105" i="4"/>
  <c r="H104" i="4"/>
  <c r="C106" i="1"/>
  <c r="J106" i="1"/>
  <c r="B107" i="1"/>
  <c r="I103" i="1"/>
  <c r="U103" i="1"/>
  <c r="C59" i="3"/>
  <c r="V106" i="1"/>
  <c r="G108" i="1"/>
  <c r="F108" i="1"/>
  <c r="E108" i="1"/>
  <c r="AE106" i="1"/>
  <c r="AB106" i="1"/>
  <c r="O103" i="1"/>
  <c r="AA102" i="1"/>
  <c r="Y106" i="1"/>
  <c r="M106" i="1"/>
  <c r="P106" i="1"/>
  <c r="L103" i="1"/>
  <c r="X102" i="1"/>
  <c r="R103" i="1"/>
  <c r="AD102" i="1"/>
  <c r="S106" i="1"/>
  <c r="G106" i="4"/>
  <c r="H105" i="4"/>
  <c r="B108" i="1"/>
  <c r="C108" i="1"/>
  <c r="J108" i="1"/>
  <c r="C107" i="1"/>
  <c r="J107" i="1"/>
  <c r="I104" i="1"/>
  <c r="U104" i="1"/>
  <c r="J6" i="3"/>
  <c r="J7" i="3"/>
  <c r="J8" i="3"/>
  <c r="J9" i="3"/>
  <c r="J10" i="3"/>
  <c r="J11" i="3"/>
  <c r="M11" i="3"/>
  <c r="J12" i="3"/>
  <c r="M12" i="3"/>
  <c r="J13" i="3"/>
  <c r="M13" i="3"/>
  <c r="J14" i="3"/>
  <c r="M14" i="3"/>
  <c r="J15" i="3"/>
  <c r="M15" i="3"/>
  <c r="V108" i="1"/>
  <c r="V107" i="1"/>
  <c r="R104" i="1"/>
  <c r="AD103" i="1"/>
  <c r="S108" i="1"/>
  <c r="AE108" i="1"/>
  <c r="P107" i="1"/>
  <c r="S107" i="1"/>
  <c r="O104" i="1"/>
  <c r="AA103" i="1"/>
  <c r="AB108" i="1"/>
  <c r="P108" i="1"/>
  <c r="AE107" i="1"/>
  <c r="L104" i="1"/>
  <c r="X103" i="1"/>
  <c r="Y108" i="1"/>
  <c r="M108" i="1"/>
  <c r="Y107" i="1"/>
  <c r="M107" i="1"/>
  <c r="AB107" i="1"/>
  <c r="G107" i="4"/>
  <c r="H107" i="4"/>
  <c r="H106" i="4"/>
  <c r="I105" i="1"/>
  <c r="U105" i="1"/>
  <c r="O105" i="1"/>
  <c r="AA104" i="1"/>
  <c r="R105" i="1"/>
  <c r="AD104" i="1"/>
  <c r="L105" i="1"/>
  <c r="X104" i="1"/>
  <c r="I106" i="1"/>
  <c r="U106" i="1"/>
  <c r="O106" i="1"/>
  <c r="AA105" i="1"/>
  <c r="L106" i="1"/>
  <c r="X105" i="1"/>
  <c r="R106" i="1"/>
  <c r="AD105" i="1"/>
  <c r="I107" i="1"/>
  <c r="U107" i="1"/>
  <c r="O107" i="1"/>
  <c r="AA106" i="1"/>
  <c r="R107" i="1"/>
  <c r="AD106" i="1"/>
  <c r="L107" i="1"/>
  <c r="X106" i="1"/>
  <c r="I108" i="1"/>
  <c r="L108" i="1"/>
  <c r="X108" i="1"/>
  <c r="X107" i="1"/>
  <c r="O108" i="1"/>
  <c r="AA108" i="1"/>
  <c r="AA107" i="1"/>
  <c r="R108" i="1"/>
  <c r="AD108" i="1"/>
  <c r="AD107" i="1"/>
  <c r="U108" i="1"/>
  <c r="U14" i="3"/>
  <c r="AA14" i="3"/>
  <c r="I9" i="3"/>
  <c r="M9" i="3"/>
  <c r="U12" i="3"/>
  <c r="AA12" i="3"/>
  <c r="U13" i="3"/>
  <c r="AA13" i="3"/>
  <c r="I10" i="3"/>
  <c r="M10" i="3"/>
  <c r="U8" i="3"/>
  <c r="AA8" i="3"/>
  <c r="U6" i="3"/>
  <c r="U15" i="3"/>
  <c r="AA15" i="3"/>
  <c r="I8" i="3"/>
  <c r="M8" i="3"/>
  <c r="U10" i="3"/>
  <c r="AA10" i="3"/>
  <c r="U11" i="3"/>
  <c r="AA11" i="3"/>
  <c r="I7" i="3"/>
  <c r="M7" i="3"/>
  <c r="U9" i="3"/>
  <c r="AA9" i="3"/>
  <c r="U7" i="3"/>
  <c r="AA7" i="3"/>
  <c r="I6" i="3"/>
  <c r="C61" i="3"/>
  <c r="M6" i="3"/>
  <c r="AA6" i="3"/>
  <c r="C53" i="3"/>
  <c r="C54" i="3"/>
  <c r="C62" i="3"/>
  <c r="C52" i="3"/>
  <c r="C18" i="3"/>
  <c r="C67" i="3"/>
  <c r="C23" i="3"/>
  <c r="C19" i="3"/>
  <c r="C56" i="3"/>
  <c r="C55" i="3"/>
  <c r="C17" i="3"/>
  <c r="C20" i="3"/>
  <c r="C66" i="3"/>
  <c r="C65" i="3"/>
  <c r="C68" i="3"/>
  <c r="C25" i="3"/>
  <c r="C26" i="3"/>
</calcChain>
</file>

<file path=xl/sharedStrings.xml><?xml version="1.0" encoding="utf-8"?>
<sst xmlns="http://schemas.openxmlformats.org/spreadsheetml/2006/main" count="188" uniqueCount="126">
  <si>
    <t>EUR</t>
  </si>
  <si>
    <t>Date</t>
  </si>
  <si>
    <t>Periodicity</t>
  </si>
  <si>
    <t>Days</t>
  </si>
  <si>
    <t>DiscFact</t>
  </si>
  <si>
    <t>USD</t>
  </si>
  <si>
    <t>GBP</t>
  </si>
  <si>
    <t>JPY</t>
  </si>
  <si>
    <t>EUR6ML</t>
  </si>
  <si>
    <t>USD3ML</t>
  </si>
  <si>
    <t>GBP6ML</t>
  </si>
  <si>
    <t>JPY6ML</t>
  </si>
  <si>
    <t>AsOfDate</t>
  </si>
  <si>
    <t>Fixed Leg</t>
  </si>
  <si>
    <t>Float Leg</t>
  </si>
  <si>
    <t>N</t>
  </si>
  <si>
    <t>Notional, N</t>
  </si>
  <si>
    <t>Tenor, T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</si>
  <si>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</si>
  <si>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</si>
  <si>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</si>
  <si>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Currency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</si>
  <si>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</si>
  <si>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</si>
  <si>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Show</t>
  </si>
  <si>
    <t>Total PV</t>
  </si>
  <si>
    <t>Discount Curve</t>
  </si>
  <si>
    <t>Forecast Curve</t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</si>
  <si>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</si>
  <si>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</si>
  <si>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</si>
  <si>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</si>
  <si>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</si>
  <si>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</si>
  <si>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</si>
  <si>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t>Par Rate, p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</si>
  <si>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</si>
  <si>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</si>
  <si>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Row</t>
  </si>
  <si>
    <t>Payer/Receiver</t>
  </si>
  <si>
    <t>Set DiscFact=1</t>
  </si>
  <si>
    <t>Annuity Factors</t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</si>
  <si>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</si>
  <si>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</si>
  <si>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t>Accrual Start</t>
  </si>
  <si>
    <t>Accrual End</t>
  </si>
  <si>
    <t>ANNUAL</t>
  </si>
  <si>
    <t>SEMI-ANNUAL</t>
  </si>
  <si>
    <t>Accrual Period</t>
  </si>
  <si>
    <t>QUARTERLY</t>
  </si>
  <si>
    <r>
      <t xml:space="preserve">Phi, </t>
    </r>
    <r>
      <rPr>
        <sz val="11"/>
        <rFont val="Symbol"/>
        <family val="1"/>
        <charset val="2"/>
      </rPr>
      <t>f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</si>
  <si>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</si>
  <si>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t>Benchmark Libor Curves</t>
  </si>
  <si>
    <t>Act/365</t>
  </si>
  <si>
    <t>30E/360</t>
  </si>
  <si>
    <t>Act/360</t>
  </si>
  <si>
    <t>Fixed Frequency</t>
  </si>
  <si>
    <t>30/360</t>
  </si>
  <si>
    <t>Act/365F</t>
  </si>
  <si>
    <t>Instructions</t>
  </si>
  <si>
    <r>
      <t xml:space="preserve">1.  </t>
    </r>
    <r>
      <rPr>
        <b/>
        <sz val="11"/>
        <color theme="3" tint="0.39997558519241921"/>
        <rFont val="Calibri"/>
        <family val="2"/>
        <scheme val="minor"/>
      </rPr>
      <t>UPDATING THE WORKBOOK:</t>
    </r>
    <r>
      <rPr>
        <sz val="11"/>
        <color theme="1"/>
        <rFont val="Calibri"/>
        <family val="2"/>
        <scheme val="minor"/>
      </rPr>
      <t xml:space="preserve">  Refresh each worksheet starting from left to right using Shift-F9. Alternatively use F9 to refresh all worksheets at once.</t>
    </r>
  </si>
  <si>
    <r>
      <t xml:space="preserve">2.  </t>
    </r>
    <r>
      <rPr>
        <b/>
        <sz val="11"/>
        <color theme="3" tint="0.39997558519241921"/>
        <rFont val="Calibri"/>
        <family val="2"/>
        <scheme val="minor"/>
      </rPr>
      <t>FORMAT &amp; COLOUR CODING:</t>
    </r>
    <r>
      <rPr>
        <sz val="11"/>
        <color theme="1"/>
        <rFont val="Calibri"/>
        <family val="2"/>
        <scheme val="minor"/>
      </rPr>
      <t xml:space="preserve"> Yellow boxes are for user input, whilst grey boxes and text in green indicates a formula and should not be modified.</t>
    </r>
  </si>
  <si>
    <t>Float Frequency</t>
  </si>
  <si>
    <t>Market Freq</t>
  </si>
  <si>
    <t>Override Mkt Freq</t>
  </si>
  <si>
    <t>Libor Spread, s</t>
  </si>
  <si>
    <t>s</t>
  </si>
  <si>
    <t>Swap Settings</t>
  </si>
  <si>
    <t>Frequency</t>
  </si>
  <si>
    <t>Daycount</t>
  </si>
  <si>
    <t>Convention</t>
  </si>
  <si>
    <t>x</t>
  </si>
  <si>
    <t>PV01</t>
  </si>
  <si>
    <t>DV01</t>
  </si>
  <si>
    <t>PV No Bump</t>
  </si>
  <si>
    <t>Zero Rates</t>
  </si>
  <si>
    <t>YearFraction</t>
  </si>
  <si>
    <t>EUR Discount Factors</t>
  </si>
  <si>
    <t>USD Discount Factors</t>
  </si>
  <si>
    <t>GBP Discount Factors</t>
  </si>
  <si>
    <t>JPY Discount Factors</t>
  </si>
  <si>
    <t>Base</t>
  </si>
  <si>
    <t>BumpedDF</t>
  </si>
  <si>
    <t>EUR Bumped Discount Factors</t>
  </si>
  <si>
    <t>GBP Bumped Discount Factors</t>
  </si>
  <si>
    <t>JPY Bumped Discount Factors</t>
  </si>
  <si>
    <t>USD Bumped Discount Factors</t>
  </si>
  <si>
    <t>Bump Size</t>
  </si>
  <si>
    <t>Bps</t>
  </si>
  <si>
    <t>Bumped</t>
  </si>
  <si>
    <t>Discount Factors</t>
  </si>
  <si>
    <t>Swap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</si>
  <si>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</si>
  <si>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t>Swap Pricing</t>
  </si>
  <si>
    <t>Fixed Leg PV</t>
  </si>
  <si>
    <t>Float Leg PV</t>
  </si>
  <si>
    <t>Apply Risk Bump</t>
  </si>
  <si>
    <t>PV With Bump</t>
  </si>
  <si>
    <t>Numerical DV01</t>
  </si>
  <si>
    <t>+/-</t>
  </si>
  <si>
    <t>Analytical Risk</t>
  </si>
  <si>
    <t>Numerical Risk</t>
  </si>
  <si>
    <t>Par Rate</t>
  </si>
  <si>
    <t>Analytical DV01</t>
  </si>
  <si>
    <t>Yield Curves</t>
  </si>
  <si>
    <t>Refresh</t>
  </si>
  <si>
    <t>Swap Pricing &amp; Risk Calculations</t>
  </si>
  <si>
    <t>Pay / Receive Indicator</t>
  </si>
  <si>
    <t>Swap Conventions</t>
  </si>
  <si>
    <t>Swap Trade Details</t>
  </si>
  <si>
    <t>Discount Factor Curves for Pricing</t>
  </si>
  <si>
    <t>Discount Factor Curves for Risk</t>
  </si>
  <si>
    <t>Libor Data for Pricing &amp; Risk</t>
  </si>
  <si>
    <t>Spread PV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</si>
  <si>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</si>
  <si>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RECEIVER</t>
  </si>
  <si>
    <t>Swap PV</t>
  </si>
  <si>
    <t>Pay Date</t>
  </si>
  <si>
    <t>Use Market Standard Conventions</t>
  </si>
  <si>
    <t>Approximate</t>
  </si>
  <si>
    <t>Selected Freq</t>
  </si>
  <si>
    <r>
      <t xml:space="preserve">3.  </t>
    </r>
    <r>
      <rPr>
        <b/>
        <sz val="11"/>
        <color theme="3" tint="0.39997558519241921"/>
        <rFont val="Calibri"/>
        <family val="2"/>
        <scheme val="minor"/>
      </rPr>
      <t>PRICING SWAPS:</t>
    </r>
    <r>
      <rPr>
        <sz val="11"/>
        <color theme="1"/>
        <rFont val="Calibri"/>
        <family val="2"/>
        <scheme val="minor"/>
      </rPr>
      <t xml:space="preserve"> On the "Swaps" worksheet enter the details in yellow and refresh using Shift-F9</t>
    </r>
  </si>
  <si>
    <r>
      <t xml:space="preserve">2.  </t>
    </r>
    <r>
      <rPr>
        <b/>
        <sz val="11"/>
        <color theme="3" tint="0.39997558519241921"/>
        <rFont val="Calibri"/>
        <family val="2"/>
        <scheme val="minor"/>
      </rPr>
      <t>MARKET CONVENTIONS:</t>
    </r>
    <r>
      <rPr>
        <sz val="11"/>
        <color theme="1"/>
        <rFont val="Calibri"/>
        <family val="2"/>
        <scheme val="minor"/>
      </rPr>
      <t xml:space="preserve"> Swap coupon frequencies can also be annulaized and coupon year fractions forced to 1.0 using the approximation flag in cell C14.</t>
    </r>
  </si>
  <si>
    <r>
      <t xml:space="preserve">1.  </t>
    </r>
    <r>
      <rPr>
        <b/>
        <sz val="11"/>
        <color theme="3" tint="0.39997558519241921"/>
        <rFont val="Calibri"/>
        <family val="2"/>
        <scheme val="minor"/>
      </rPr>
      <t>DISCOUNT FACTORS:</t>
    </r>
    <r>
      <rPr>
        <sz val="11"/>
        <color theme="1"/>
        <rFont val="Calibri"/>
        <family val="2"/>
        <scheme val="minor"/>
      </rPr>
      <t xml:space="preserve"> Discount Factors can be forced to be 1.0 using the approximation flag in cell C14 on the Swaps worksheet. This simplifies the calculations.</t>
    </r>
  </si>
  <si>
    <t>Swap Leg</t>
  </si>
  <si>
    <t>Swap Market Conventions (LIBOR)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</si>
</sst>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0000"/>
    <numFmt numFmtId="165" formatCode="0.0000%"/>
    <numFmt numFmtId="166" formatCode="#,##0.0000"/>
    <numFmt numFmtId="167" formatCode="0.0%"/>
  </numFmts>
  <fonts count="12" x14ac:knownFonts="1"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name val="Symbol"/>
      <family val="1"/>
      <charset val="2"/>
    </font>
    <font>
      <b/>
      <sz val="11"/>
      <color theme="3" tint="0.3999755851924192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14993743705557422"/>
      </top>
      <bottom/>
      <diagonal/>
    </border>
    <border>
      <left/>
      <right style="thin">
        <color theme="0" tint="-0.24994659260841701"/>
      </right>
      <top/>
      <bottom style="thin">
        <color theme="0" tint="-0.14993743705557422"/>
      </bottom>
      <diagonal/>
    </border>
    <border>
      <left/>
      <right/>
      <top/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theme="0" tint="-0.24994659260841701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3" fontId="0" fillId="0" borderId="0" xfId="0" applyNumberFormat="1" applyFont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3" fontId="0" fillId="2" borderId="10" xfId="0" applyNumberFormat="1" applyFont="1" applyFill="1" applyBorder="1" applyAlignment="1">
      <alignment horizontal="center" vertical="center"/>
    </xf>
    <xf numFmtId="165" fontId="0" fillId="2" borderId="10" xfId="0" applyNumberFormat="1" applyFont="1" applyFill="1" applyBorder="1" applyAlignment="1">
      <alignment horizontal="center" vertical="center"/>
    </xf>
    <xf numFmtId="4" fontId="0" fillId="2" borderId="10" xfId="0" applyNumberFormat="1" applyFont="1" applyFill="1" applyBorder="1" applyAlignment="1">
      <alignment horizontal="center" vertical="center"/>
    </xf>
    <xf numFmtId="4" fontId="0" fillId="2" borderId="9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0" fontId="0" fillId="3" borderId="1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15" fontId="7" fillId="4" borderId="2" xfId="0" applyNumberFormat="1" applyFont="1" applyFill="1" applyBorder="1" applyAlignment="1">
      <alignment horizontal="center" vertical="center"/>
    </xf>
    <xf numFmtId="15" fontId="7" fillId="4" borderId="14" xfId="0" applyNumberFormat="1" applyFont="1" applyFill="1" applyBorder="1" applyAlignment="1">
      <alignment horizontal="center" vertical="center"/>
    </xf>
    <xf numFmtId="4" fontId="7" fillId="4" borderId="14" xfId="0" applyNumberFormat="1" applyFont="1" applyFill="1" applyBorder="1" applyAlignment="1">
      <alignment horizontal="center" vertical="center"/>
    </xf>
    <xf numFmtId="3" fontId="7" fillId="4" borderId="14" xfId="0" applyNumberFormat="1" applyFont="1" applyFill="1" applyBorder="1" applyAlignment="1">
      <alignment horizontal="center" vertical="center"/>
    </xf>
    <xf numFmtId="165" fontId="7" fillId="4" borderId="14" xfId="0" applyNumberFormat="1" applyFont="1" applyFill="1" applyBorder="1" applyAlignment="1">
      <alignment horizontal="center" vertical="center"/>
    </xf>
    <xf numFmtId="164" fontId="7" fillId="4" borderId="14" xfId="0" applyNumberFormat="1" applyFont="1" applyFill="1" applyBorder="1" applyAlignment="1">
      <alignment horizontal="center" vertical="center"/>
    </xf>
    <xf numFmtId="15" fontId="7" fillId="4" borderId="6" xfId="0" applyNumberFormat="1" applyFont="1" applyFill="1" applyBorder="1" applyAlignment="1">
      <alignment horizontal="center" vertical="center"/>
    </xf>
    <xf numFmtId="15" fontId="7" fillId="4" borderId="0" xfId="0" applyNumberFormat="1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Border="1" applyAlignment="1">
      <alignment horizontal="center" vertical="center"/>
    </xf>
    <xf numFmtId="165" fontId="7" fillId="4" borderId="0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 vertical="center"/>
    </xf>
    <xf numFmtId="15" fontId="7" fillId="4" borderId="4" xfId="0" applyNumberFormat="1" applyFont="1" applyFill="1" applyBorder="1" applyAlignment="1">
      <alignment horizontal="center" vertical="center"/>
    </xf>
    <xf numFmtId="15" fontId="7" fillId="4" borderId="15" xfId="0" applyNumberFormat="1" applyFont="1" applyFill="1" applyBorder="1" applyAlignment="1">
      <alignment horizontal="center" vertical="center"/>
    </xf>
    <xf numFmtId="4" fontId="7" fillId="4" borderId="15" xfId="0" applyNumberFormat="1" applyFont="1" applyFill="1" applyBorder="1" applyAlignment="1">
      <alignment horizontal="center" vertical="center"/>
    </xf>
    <xf numFmtId="3" fontId="7" fillId="4" borderId="15" xfId="0" applyNumberFormat="1" applyFont="1" applyFill="1" applyBorder="1" applyAlignment="1">
      <alignment horizontal="center" vertical="center"/>
    </xf>
    <xf numFmtId="165" fontId="7" fillId="4" borderId="15" xfId="0" applyNumberFormat="1" applyFont="1" applyFill="1" applyBorder="1" applyAlignment="1">
      <alignment horizontal="center" vertical="center"/>
    </xf>
    <xf numFmtId="164" fontId="7" fillId="4" borderId="15" xfId="0" applyNumberFormat="1" applyFont="1" applyFill="1" applyBorder="1" applyAlignment="1">
      <alignment horizontal="center" vertical="center"/>
    </xf>
    <xf numFmtId="165" fontId="7" fillId="4" borderId="3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5" xfId="0" applyNumberFormat="1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7" fillId="4" borderId="3" xfId="0" applyNumberFormat="1" applyFont="1" applyFill="1" applyBorder="1" applyAlignment="1">
      <alignment horizontal="center" vertical="center"/>
    </xf>
    <xf numFmtId="164" fontId="7" fillId="4" borderId="7" xfId="0" applyNumberFormat="1" applyFont="1" applyFill="1" applyBorder="1" applyAlignment="1">
      <alignment horizontal="center" vertical="center"/>
    </xf>
    <xf numFmtId="164" fontId="7" fillId="4" borderId="5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5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5" fillId="0" borderId="0" xfId="0" applyFont="1"/>
    <xf numFmtId="0" fontId="6" fillId="0" borderId="1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4" fontId="7" fillId="4" borderId="7" xfId="0" applyNumberFormat="1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0" fillId="0" borderId="6" xfId="0" applyFont="1" applyBorder="1" applyAlignment="1">
      <alignment horizontal="center" vertical="center"/>
    </xf>
    <xf numFmtId="0" fontId="0" fillId="3" borderId="8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165" fontId="7" fillId="4" borderId="3" xfId="0" quotePrefix="1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6" fontId="7" fillId="4" borderId="14" xfId="0" applyNumberFormat="1" applyFont="1" applyFill="1" applyBorder="1" applyAlignment="1">
      <alignment horizontal="center" vertical="center"/>
    </xf>
    <xf numFmtId="165" fontId="7" fillId="4" borderId="14" xfId="0" quotePrefix="1" applyNumberFormat="1" applyFont="1" applyFill="1" applyBorder="1" applyAlignment="1">
      <alignment horizontal="center" vertical="center"/>
    </xf>
    <xf numFmtId="166" fontId="7" fillId="4" borderId="0" xfId="0" applyNumberFormat="1" applyFont="1" applyFill="1" applyBorder="1" applyAlignment="1">
      <alignment horizontal="center" vertical="center"/>
    </xf>
    <xf numFmtId="166" fontId="7" fillId="4" borderId="15" xfId="0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6" xfId="0" applyFont="1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4" borderId="4" xfId="0" applyFont="1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3" borderId="11" xfId="0" applyFont="1" applyFill="1" applyBorder="1" applyAlignment="1">
      <alignment horizontal="left" vertical="center"/>
    </xf>
    <xf numFmtId="0" fontId="5" fillId="0" borderId="0" xfId="0" applyFont="1" applyAlignment="1">
      <alignment vertical="center"/>
    </xf>
    <xf numFmtId="4" fontId="6" fillId="4" borderId="6" xfId="0" applyNumberFormat="1" applyFont="1" applyFill="1" applyBorder="1" applyAlignment="1">
      <alignment horizontal="left" vertical="center"/>
    </xf>
    <xf numFmtId="4" fontId="6" fillId="4" borderId="4" xfId="0" applyNumberFormat="1" applyFont="1" applyFill="1" applyBorder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0" fontId="0" fillId="4" borderId="16" xfId="0" applyFill="1" applyBorder="1" applyAlignment="1">
      <alignment horizontal="left" vertical="center"/>
    </xf>
    <xf numFmtId="0" fontId="0" fillId="4" borderId="18" xfId="0" applyFill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0" fillId="4" borderId="20" xfId="0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3" fontId="7" fillId="4" borderId="3" xfId="0" applyNumberFormat="1" applyFont="1" applyFill="1" applyBorder="1" applyAlignment="1">
      <alignment horizontal="center" vertical="center"/>
    </xf>
    <xf numFmtId="3" fontId="7" fillId="4" borderId="5" xfId="0" applyNumberFormat="1" applyFont="1" applyFill="1" applyBorder="1" applyAlignment="1">
      <alignment horizontal="center" vertical="center"/>
    </xf>
    <xf numFmtId="3" fontId="7" fillId="4" borderId="8" xfId="0" applyNumberFormat="1" applyFont="1" applyFill="1" applyBorder="1" applyAlignment="1">
      <alignment horizontal="center" vertical="center"/>
    </xf>
    <xf numFmtId="3" fontId="7" fillId="4" borderId="10" xfId="0" applyNumberFormat="1" applyFont="1" applyFill="1" applyBorder="1" applyAlignment="1">
      <alignment horizontal="center" vertical="center"/>
    </xf>
    <xf numFmtId="3" fontId="7" fillId="4" borderId="9" xfId="0" applyNumberFormat="1" applyFont="1" applyFill="1" applyBorder="1" applyAlignment="1">
      <alignment horizontal="center" vertical="center"/>
    </xf>
    <xf numFmtId="0" fontId="0" fillId="3" borderId="13" xfId="0" applyFont="1" applyFill="1" applyBorder="1" applyAlignment="1">
      <alignment horizontal="center" vertical="center"/>
    </xf>
    <xf numFmtId="3" fontId="7" fillId="4" borderId="7" xfId="0" applyNumberFormat="1" applyFont="1" applyFill="1" applyBorder="1" applyAlignment="1">
      <alignment horizontal="center" vertical="center"/>
    </xf>
    <xf numFmtId="166" fontId="7" fillId="4" borderId="7" xfId="0" applyNumberFormat="1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5" borderId="22" xfId="0" applyFont="1" applyFill="1" applyBorder="1" applyAlignment="1">
      <alignment horizontal="center" vertical="center"/>
    </xf>
    <xf numFmtId="3" fontId="7" fillId="4" borderId="23" xfId="0" applyNumberFormat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0" fillId="4" borderId="16" xfId="0" applyFont="1" applyFill="1" applyBorder="1" applyAlignment="1">
      <alignment horizontal="left" vertical="center"/>
    </xf>
    <xf numFmtId="0" fontId="7" fillId="4" borderId="17" xfId="0" applyFont="1" applyFill="1" applyBorder="1" applyAlignment="1">
      <alignment horizontal="center" vertical="center"/>
    </xf>
    <xf numFmtId="0" fontId="0" fillId="4" borderId="18" xfId="0" applyFont="1" applyFill="1" applyBorder="1" applyAlignment="1">
      <alignment horizontal="left" vertical="center"/>
    </xf>
    <xf numFmtId="0" fontId="0" fillId="4" borderId="20" xfId="0" applyFont="1" applyFill="1" applyBorder="1" applyAlignment="1">
      <alignment horizontal="left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left" vertical="center"/>
    </xf>
    <xf numFmtId="0" fontId="6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center" vertical="center"/>
    </xf>
    <xf numFmtId="4" fontId="7" fillId="4" borderId="5" xfId="0" applyNumberFormat="1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4" fontId="6" fillId="5" borderId="1" xfId="0" applyNumberFormat="1" applyFont="1" applyFill="1" applyBorder="1" applyAlignment="1">
      <alignment horizontal="center" vertical="center"/>
    </xf>
    <xf numFmtId="0" fontId="7" fillId="4" borderId="2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33CC"/>
      <color rgb="FF0080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57240</xdr:rowOff>
    </xdr:to>
    <xdr:pic macro="[0]!RefreshRisk"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G21"/>
  <sheetViews>
    <sheetView showGridLines="0" zoomScale="115" zoomScaleNormal="115" workbookViewId="0"/>
  </sheetViews>
  <sheetFormatPr defaultRowHeight="14.4" x14ac:dyDescent="0.3"/>
  <cols>
    <col min="1" max="1" width="11" customWidth="1"/>
    <col min="2" max="5" width="14.6640625" customWidth="1"/>
    <col min="6" max="7" width="15.6640625" customWidth="1"/>
  </cols>
  <sheetData>
    <row r="3" spans="2:7" x14ac:dyDescent="0.3">
      <c r="B3" s="48" t="s">
        <v>12</v>
      </c>
      <c r="C3" s="47">
        <f ca="1">TODAY()</f>
        <v>44290</v>
      </c>
    </row>
    <row r="6" spans="2:7" x14ac:dyDescent="0.3">
      <c r="B6" s="49" t="s">
        <v>125</v>
      </c>
      <c r="C6" s="49"/>
    </row>
    <row r="7" spans="2:7" ht="15" thickBot="1" x14ac:dyDescent="0.35">
      <c r="B7" s="116" t="s">
        <v>124</v>
      </c>
      <c r="C7" s="116" t="s">
        <v>70</v>
      </c>
      <c r="D7" s="116" t="s">
        <v>0</v>
      </c>
      <c r="E7" s="116" t="s">
        <v>5</v>
      </c>
      <c r="F7" s="116" t="s">
        <v>6</v>
      </c>
      <c r="G7" s="116" t="s">
        <v>7</v>
      </c>
    </row>
    <row r="8" spans="2:7" ht="15" thickTop="1" x14ac:dyDescent="0.3">
      <c r="B8" s="121" t="s">
        <v>14</v>
      </c>
      <c r="C8" s="53" t="s">
        <v>68</v>
      </c>
      <c r="D8" s="117" t="s">
        <v>47</v>
      </c>
      <c r="E8" s="50" t="s">
        <v>49</v>
      </c>
      <c r="F8" s="50" t="s">
        <v>47</v>
      </c>
      <c r="G8" s="50" t="s">
        <v>47</v>
      </c>
    </row>
    <row r="9" spans="2:7" x14ac:dyDescent="0.3">
      <c r="B9" s="51"/>
      <c r="C9" s="54" t="s">
        <v>69</v>
      </c>
      <c r="D9" s="118" t="s">
        <v>55</v>
      </c>
      <c r="E9" s="51" t="s">
        <v>55</v>
      </c>
      <c r="F9" s="51" t="s">
        <v>53</v>
      </c>
      <c r="G9" s="51" t="s">
        <v>55</v>
      </c>
    </row>
    <row r="10" spans="2:7" x14ac:dyDescent="0.3">
      <c r="B10" s="50" t="s">
        <v>13</v>
      </c>
      <c r="C10" s="55" t="s">
        <v>68</v>
      </c>
      <c r="D10" s="119" t="s">
        <v>46</v>
      </c>
      <c r="E10" s="120" t="s">
        <v>47</v>
      </c>
      <c r="F10" s="120" t="s">
        <v>47</v>
      </c>
      <c r="G10" s="120" t="s">
        <v>47</v>
      </c>
    </row>
    <row r="11" spans="2:7" x14ac:dyDescent="0.3">
      <c r="B11" s="51"/>
      <c r="C11" s="54" t="s">
        <v>69</v>
      </c>
      <c r="D11" s="118" t="s">
        <v>54</v>
      </c>
      <c r="E11" s="51" t="s">
        <v>57</v>
      </c>
      <c r="F11" s="51" t="s">
        <v>53</v>
      </c>
      <c r="G11" s="51" t="s">
        <v>58</v>
      </c>
    </row>
    <row r="14" spans="2:7" x14ac:dyDescent="0.3">
      <c r="B14" s="49" t="s">
        <v>59</v>
      </c>
    </row>
    <row r="15" spans="2:7" x14ac:dyDescent="0.3">
      <c r="B15" t="s">
        <v>60</v>
      </c>
    </row>
    <row r="16" spans="2:7" x14ac:dyDescent="0.3">
      <c r="B16" t="s">
        <v>61</v>
      </c>
    </row>
    <row r="17" spans="2:2" x14ac:dyDescent="0.3">
      <c r="B17" t="s">
        <v>121</v>
      </c>
    </row>
    <row r="19" spans="2:2" x14ac:dyDescent="0.3">
      <c r="B19" s="49" t="s">
        <v>67</v>
      </c>
    </row>
    <row r="20" spans="2:2" x14ac:dyDescent="0.3">
      <c r="B20" t="s">
        <v>123</v>
      </c>
    </row>
    <row r="21" spans="2:2" x14ac:dyDescent="0.3">
      <c r="B21" t="s">
        <v>122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E108"/>
  <sheetViews>
    <sheetView showGridLines="0" workbookViewId="0"/>
  </sheetViews>
  <sheetFormatPr defaultColWidth="9.109375" defaultRowHeight="14.4" x14ac:dyDescent="0.3"/>
  <cols>
    <col min="1" max="1" width="9.109375" style="1"/>
    <col min="2" max="2" width="10.33203125" style="1" bestFit="1" customWidth="1"/>
    <col min="3" max="3" width="12" style="1" bestFit="1" customWidth="1"/>
    <col min="4" max="7" width="10.6640625" style="1" customWidth="1"/>
    <col min="8" max="8" width="9.109375" style="1"/>
    <col min="9" max="9" width="14.6640625" style="1" customWidth="1"/>
    <col min="10" max="10" width="10.6640625" style="1" customWidth="1"/>
    <col min="11" max="11" width="2.6640625" style="1" customWidth="1"/>
    <col min="12" max="12" width="14.6640625" style="1" customWidth="1"/>
    <col min="13" max="13" width="10.6640625" style="1" customWidth="1"/>
    <col min="14" max="14" width="2.6640625" style="1" customWidth="1"/>
    <col min="15" max="15" width="14.6640625" style="1" customWidth="1"/>
    <col min="16" max="16" width="10.6640625" style="1" customWidth="1"/>
    <col min="17" max="17" width="2.6640625" style="1" customWidth="1"/>
    <col min="18" max="18" width="10.6640625" style="1" customWidth="1"/>
    <col min="19" max="19" width="15.6640625" style="1" customWidth="1"/>
    <col min="20" max="20" width="9.109375" style="1" customWidth="1"/>
    <col min="21" max="21" width="14.33203125" style="1" customWidth="1"/>
    <col min="22" max="22" width="13.33203125" style="1" customWidth="1"/>
    <col min="23" max="23" width="2.6640625" style="1" customWidth="1"/>
    <col min="24" max="24" width="15" style="1" customWidth="1"/>
    <col min="25" max="25" width="12.88671875" style="1" customWidth="1"/>
    <col min="26" max="26" width="2.6640625" style="1" customWidth="1"/>
    <col min="27" max="27" width="15.109375" style="1" customWidth="1"/>
    <col min="28" max="28" width="13.33203125" style="1" customWidth="1"/>
    <col min="29" max="29" width="2.6640625" style="1" customWidth="1"/>
    <col min="30" max="30" width="14" style="1" customWidth="1"/>
    <col min="31" max="31" width="13.44140625" style="1" customWidth="1"/>
    <col min="32" max="16384" width="9.109375" style="1"/>
  </cols>
  <sheetData>
    <row r="2" spans="1:31" x14ac:dyDescent="0.3">
      <c r="B2" s="3" t="s">
        <v>90</v>
      </c>
      <c r="I2" s="3" t="s">
        <v>110</v>
      </c>
      <c r="U2" s="3" t="s">
        <v>111</v>
      </c>
    </row>
    <row r="4" spans="1:31" x14ac:dyDescent="0.3">
      <c r="B4" s="60" t="s">
        <v>2</v>
      </c>
      <c r="C4" s="69">
        <v>50</v>
      </c>
      <c r="D4" s="1" t="s">
        <v>3</v>
      </c>
    </row>
    <row r="5" spans="1:31" x14ac:dyDescent="0.3">
      <c r="B5" s="61" t="s">
        <v>87</v>
      </c>
      <c r="C5" s="70">
        <v>-1</v>
      </c>
      <c r="D5" s="1" t="s">
        <v>88</v>
      </c>
    </row>
    <row r="7" spans="1:31" s="3" customFormat="1" x14ac:dyDescent="0.3">
      <c r="B7" s="3" t="s">
        <v>75</v>
      </c>
      <c r="D7" s="1" t="s">
        <v>81</v>
      </c>
      <c r="E7" s="63">
        <v>0.01</v>
      </c>
      <c r="F7" s="63">
        <v>5.0000000000000001E-3</v>
      </c>
      <c r="G7" s="63">
        <v>0</v>
      </c>
      <c r="I7" s="3" t="s">
        <v>77</v>
      </c>
      <c r="J7" s="1"/>
      <c r="K7" s="1"/>
      <c r="L7" s="3" t="s">
        <v>78</v>
      </c>
      <c r="M7" s="1"/>
      <c r="N7" s="1"/>
      <c r="O7" s="3" t="s">
        <v>79</v>
      </c>
      <c r="P7" s="1"/>
      <c r="Q7" s="1"/>
      <c r="R7" s="3" t="s">
        <v>80</v>
      </c>
      <c r="S7" s="1"/>
      <c r="U7" s="3" t="s">
        <v>83</v>
      </c>
      <c r="V7" s="1"/>
      <c r="X7" s="3" t="s">
        <v>86</v>
      </c>
      <c r="Y7" s="1"/>
      <c r="AA7" s="3" t="s">
        <v>84</v>
      </c>
      <c r="AB7" s="1"/>
      <c r="AD7" s="3" t="s">
        <v>85</v>
      </c>
      <c r="AE7" s="1"/>
    </row>
    <row r="8" spans="1:31" s="3" customFormat="1" x14ac:dyDescent="0.3">
      <c r="A8" s="4" t="s">
        <v>38</v>
      </c>
      <c r="B8" s="18" t="s">
        <v>1</v>
      </c>
      <c r="C8" s="19" t="s">
        <v>76</v>
      </c>
      <c r="D8" s="19" t="s">
        <v>0</v>
      </c>
      <c r="E8" s="19" t="s">
        <v>5</v>
      </c>
      <c r="F8" s="19" t="s">
        <v>6</v>
      </c>
      <c r="G8" s="41" t="s">
        <v>7</v>
      </c>
      <c r="H8" s="4"/>
      <c r="I8" s="18" t="s">
        <v>1</v>
      </c>
      <c r="J8" s="41" t="s">
        <v>4</v>
      </c>
      <c r="K8" s="1"/>
      <c r="L8" s="18" t="s">
        <v>1</v>
      </c>
      <c r="M8" s="41" t="s">
        <v>4</v>
      </c>
      <c r="O8" s="18" t="s">
        <v>1</v>
      </c>
      <c r="P8" s="41" t="s">
        <v>4</v>
      </c>
      <c r="R8" s="18" t="s">
        <v>1</v>
      </c>
      <c r="S8" s="41" t="s">
        <v>4</v>
      </c>
      <c r="U8" s="18" t="s">
        <v>1</v>
      </c>
      <c r="V8" s="41" t="s">
        <v>82</v>
      </c>
      <c r="X8" s="18" t="s">
        <v>1</v>
      </c>
      <c r="Y8" s="41" t="s">
        <v>82</v>
      </c>
      <c r="AA8" s="18" t="s">
        <v>1</v>
      </c>
      <c r="AB8" s="41" t="s">
        <v>82</v>
      </c>
      <c r="AD8" s="18" t="s">
        <v>1</v>
      </c>
      <c r="AE8" s="41" t="s">
        <v>82</v>
      </c>
    </row>
    <row r="9" spans="1:31" x14ac:dyDescent="0.3">
      <c r="A9" s="4">
        <v>1</v>
      </c>
      <c r="B9" s="20">
        <f ca="1">AsOfDate</f>
        <v>44290</v>
      </c>
      <c r="C9" s="65">
        <v>2.7397260273972603E-3</v>
      </c>
      <c r="D9" s="66">
        <v>-5.0000000000000001E-3</v>
      </c>
      <c r="E9" s="66">
        <f ca="1">$D9+E$7</f>
        <v>5.0000000000000001E-3</v>
      </c>
      <c r="F9" s="66">
        <f ca="1">$D9+F$7</f>
        <v>0</v>
      </c>
      <c r="G9" s="62">
        <f ca="1">$D9+G$7</f>
        <v>-5.0000000000000001E-3</v>
      </c>
      <c r="H9" s="4"/>
      <c r="I9" s="20">
        <f ca="1">AsOfDate</f>
        <v>44290</v>
      </c>
      <c r="J9" s="42">
        <f ca="1">EXP(-$D9*$C9)</f>
        <v>1.0000136987239636</v>
      </c>
      <c r="L9" s="20">
        <f ca="1">AsOfDate</f>
        <v>44290</v>
      </c>
      <c r="M9" s="42">
        <f ca="1">EXP(-$E9*$C9)</f>
        <v>0.99998630146368883</v>
      </c>
      <c r="N9" s="64"/>
      <c r="O9" s="20">
        <f ca="1">AsOfDate</f>
        <v>44290</v>
      </c>
      <c r="P9" s="42">
        <f ca="1">EXP(-$F9*$C9)</f>
        <v>1</v>
      </c>
      <c r="Q9" s="64"/>
      <c r="R9" s="20">
        <f ca="1">AsOfDate</f>
        <v>44290</v>
      </c>
      <c r="S9" s="42">
        <f ca="1">EXP(-$G9*$C9)</f>
        <v>1.0000136987239636</v>
      </c>
      <c r="U9" s="20">
        <f t="shared" ref="U9:U40" ca="1" si="0">I9</f>
        <v>44290</v>
      </c>
      <c r="V9" s="42">
        <f t="shared" ref="V9:V40" ca="1" si="1">1/(1+(D9+BumpSize*0.0001))^C9</f>
        <v>1.0000140084526019</v>
      </c>
      <c r="X9" s="20">
        <f t="shared" ref="X9:X40" ca="1" si="2">L9</f>
        <v>44290</v>
      </c>
      <c r="Y9" s="42">
        <f t="shared" ref="Y9:Y40" ca="1" si="3">EXP(-($E9+BumpSize*0.0001)*$C9)</f>
        <v>0.99998657543257607</v>
      </c>
      <c r="AA9" s="20">
        <f t="shared" ref="AA9:AA40" ca="1" si="4">O9</f>
        <v>44290</v>
      </c>
      <c r="AB9" s="42">
        <f t="shared" ref="AB9:AB40" ca="1" si="5">EXP(-($F9+BumpSize*0.0001)*$C9)</f>
        <v>1.0000002739726404</v>
      </c>
      <c r="AD9" s="20">
        <f t="shared" ref="AD9:AD40" ca="1" si="6">R9</f>
        <v>44290</v>
      </c>
      <c r="AE9" s="42">
        <f t="shared" ref="AE9:AE40" ca="1" si="7">EXP(-($G9+BumpSize*0.0001)*$C9)</f>
        <v>1.000013972700357</v>
      </c>
    </row>
    <row r="10" spans="1:31" x14ac:dyDescent="0.3">
      <c r="A10" s="4">
        <f ca="1">A9+1</f>
        <v>2</v>
      </c>
      <c r="B10" s="26">
        <f t="shared" ref="B10:B73" ca="1" si="8">B9+Periodicity</f>
        <v>44340</v>
      </c>
      <c r="C10" s="67">
        <f t="shared" ref="C10:C41" ca="1" si="9">(B10-AsOfDate)/365</f>
        <v>0.13698630136986301</v>
      </c>
      <c r="D10" s="30">
        <f ca="1">D9+0.0001</f>
        <v>-4.8999999999999998E-3</v>
      </c>
      <c r="E10" s="30">
        <f t="shared" ref="E10:G41" ca="1" si="10">$D10+E$7</f>
        <v>5.1000000000000004E-3</v>
      </c>
      <c r="F10" s="30">
        <f t="shared" ca="1" si="10"/>
        <v>1.0000000000000026E-4</v>
      </c>
      <c r="G10" s="39">
        <f t="shared" ca="1" si="10"/>
        <v>-4.8999999999999998E-3</v>
      </c>
      <c r="H10" s="4"/>
      <c r="I10" s="26">
        <f t="shared" ref="I10:I41" ca="1" si="11">I9+Periodicity</f>
        <v>44340</v>
      </c>
      <c r="J10" s="43">
        <f t="shared" ref="J10:J73" ca="1" si="12">EXP(-$D10*$C10)</f>
        <v>1.0006714582039127</v>
      </c>
      <c r="L10" s="26">
        <f t="shared" ref="L10:L41" ca="1" si="13">L9+Periodicity</f>
        <v>44340</v>
      </c>
      <c r="M10" s="43">
        <f t="shared" ref="M10:M73" ca="1" si="14">EXP(-$E10*$C10)</f>
        <v>0.99930161384822602</v>
      </c>
      <c r="N10" s="64"/>
      <c r="O10" s="26">
        <f t="shared" ref="O10:O41" ca="1" si="15">O9+Periodicity</f>
        <v>44340</v>
      </c>
      <c r="P10" s="43">
        <f t="shared" ref="P10:P73" ca="1" si="16">EXP(-$F10*$C10)</f>
        <v>0.99998630146368883</v>
      </c>
      <c r="Q10" s="64"/>
      <c r="R10" s="26">
        <f t="shared" ref="R10:R41" ca="1" si="17">R9+Periodicity</f>
        <v>44340</v>
      </c>
      <c r="S10" s="43">
        <f t="shared" ref="S10:S73" ca="1" si="18">EXP(-$G10*$C10)</f>
        <v>1.0006714582039127</v>
      </c>
      <c r="U10" s="26">
        <f t="shared" ca="1" si="0"/>
        <v>44340</v>
      </c>
      <c r="V10" s="43">
        <f t="shared" ca="1" si="1"/>
        <v>1.0006868853626485</v>
      </c>
      <c r="X10" s="26">
        <f t="shared" ca="1" si="2"/>
        <v>44340</v>
      </c>
      <c r="Y10" s="43">
        <f t="shared" ca="1" si="3"/>
        <v>0.99931530300519056</v>
      </c>
      <c r="AA10" s="26">
        <f t="shared" ca="1" si="4"/>
        <v>44340</v>
      </c>
      <c r="AB10" s="43">
        <f t="shared" ca="1" si="5"/>
        <v>1</v>
      </c>
      <c r="AD10" s="26">
        <f t="shared" ca="1" si="6"/>
        <v>44340</v>
      </c>
      <c r="AE10" s="43">
        <f t="shared" ca="1" si="7"/>
        <v>1.0006851661259968</v>
      </c>
    </row>
    <row r="11" spans="1:31" x14ac:dyDescent="0.3">
      <c r="A11" s="4">
        <f t="shared" ref="A11:A56" ca="1" si="19">A10+1</f>
        <v>3</v>
      </c>
      <c r="B11" s="26">
        <f t="shared" ca="1" si="8"/>
        <v>44390</v>
      </c>
      <c r="C11" s="67">
        <f t="shared" ca="1" si="9"/>
        <v>0.27397260273972601</v>
      </c>
      <c r="D11" s="30">
        <f t="shared" ref="D11:D74" ca="1" si="20">D10+0.0001</f>
        <v>-4.7999999999999996E-3</v>
      </c>
      <c r="E11" s="30">
        <f t="shared" ca="1" si="10"/>
        <v>5.2000000000000006E-3</v>
      </c>
      <c r="F11" s="30">
        <f t="shared" ca="1" si="10"/>
        <v>2.0000000000000052E-4</v>
      </c>
      <c r="G11" s="39">
        <f t="shared" ca="1" si="10"/>
        <v>-4.7999999999999996E-3</v>
      </c>
      <c r="H11" s="4"/>
      <c r="I11" s="26">
        <f t="shared" ca="1" si="11"/>
        <v>44390</v>
      </c>
      <c r="J11" s="43">
        <f t="shared" ca="1" si="12"/>
        <v>1.0013159335748938</v>
      </c>
      <c r="L11" s="26">
        <f t="shared" ca="1" si="13"/>
        <v>44390</v>
      </c>
      <c r="M11" s="43">
        <f t="shared" ca="1" si="14"/>
        <v>0.99857635680854417</v>
      </c>
      <c r="N11" s="64"/>
      <c r="O11" s="26">
        <f t="shared" ca="1" si="15"/>
        <v>44390</v>
      </c>
      <c r="P11" s="43">
        <f t="shared" ca="1" si="16"/>
        <v>0.99994520698064437</v>
      </c>
      <c r="Q11" s="64"/>
      <c r="R11" s="26">
        <f t="shared" ca="1" si="17"/>
        <v>44390</v>
      </c>
      <c r="S11" s="43">
        <f t="shared" ca="1" si="18"/>
        <v>1.0013159335748938</v>
      </c>
      <c r="U11" s="26">
        <f t="shared" ca="1" si="0"/>
        <v>44390</v>
      </c>
      <c r="V11" s="43">
        <f t="shared" ca="1" si="1"/>
        <v>1.0013466715272106</v>
      </c>
      <c r="X11" s="26">
        <f t="shared" ca="1" si="2"/>
        <v>44390</v>
      </c>
      <c r="Y11" s="43">
        <f t="shared" ca="1" si="3"/>
        <v>0.99860371543966908</v>
      </c>
      <c r="AA11" s="26">
        <f t="shared" ca="1" si="4"/>
        <v>44390</v>
      </c>
      <c r="AB11" s="43">
        <f t="shared" ca="1" si="5"/>
        <v>0.99997260311502756</v>
      </c>
      <c r="AD11" s="26">
        <f t="shared" ca="1" si="6"/>
        <v>44390</v>
      </c>
      <c r="AE11" s="43">
        <f t="shared" ca="1" si="7"/>
        <v>1.0013433672639447</v>
      </c>
    </row>
    <row r="12" spans="1:31" x14ac:dyDescent="0.3">
      <c r="A12" s="4">
        <f t="shared" ca="1" si="19"/>
        <v>4</v>
      </c>
      <c r="B12" s="26">
        <f t="shared" ca="1" si="8"/>
        <v>44440</v>
      </c>
      <c r="C12" s="67">
        <f t="shared" ca="1" si="9"/>
        <v>0.41095890410958902</v>
      </c>
      <c r="D12" s="30">
        <f t="shared" ca="1" si="20"/>
        <v>-4.6999999999999993E-3</v>
      </c>
      <c r="E12" s="30">
        <f t="shared" ca="1" si="10"/>
        <v>5.3000000000000009E-3</v>
      </c>
      <c r="F12" s="30">
        <f t="shared" ca="1" si="10"/>
        <v>3.0000000000000079E-4</v>
      </c>
      <c r="G12" s="39">
        <f t="shared" ca="1" si="10"/>
        <v>-4.6999999999999993E-3</v>
      </c>
      <c r="H12" s="4"/>
      <c r="I12" s="26">
        <f t="shared" ca="1" si="11"/>
        <v>44440</v>
      </c>
      <c r="J12" s="43">
        <f t="shared" ca="1" si="12"/>
        <v>1.0019333734102345</v>
      </c>
      <c r="L12" s="26">
        <f t="shared" ca="1" si="13"/>
        <v>44440</v>
      </c>
      <c r="M12" s="43">
        <f t="shared" ca="1" si="14"/>
        <v>0.99782428810802137</v>
      </c>
      <c r="N12" s="64"/>
      <c r="O12" s="26">
        <f t="shared" ca="1" si="15"/>
        <v>44440</v>
      </c>
      <c r="P12" s="43">
        <f t="shared" ca="1" si="16"/>
        <v>0.99987671992837979</v>
      </c>
      <c r="Q12" s="64"/>
      <c r="R12" s="26">
        <f t="shared" ca="1" si="17"/>
        <v>44440</v>
      </c>
      <c r="S12" s="43">
        <f t="shared" ca="1" si="18"/>
        <v>1.0019333734102345</v>
      </c>
      <c r="U12" s="26">
        <f t="shared" ca="1" si="0"/>
        <v>44440</v>
      </c>
      <c r="V12" s="43">
        <f t="shared" ca="1" si="1"/>
        <v>1.0019793084406681</v>
      </c>
      <c r="X12" s="26">
        <f t="shared" ca="1" si="2"/>
        <v>44440</v>
      </c>
      <c r="Y12" s="43">
        <f t="shared" ca="1" si="3"/>
        <v>0.99786529542822522</v>
      </c>
      <c r="AA12" s="26">
        <f t="shared" ca="1" si="4"/>
        <v>44440</v>
      </c>
      <c r="AB12" s="43">
        <f t="shared" ca="1" si="5"/>
        <v>0.99991781159682991</v>
      </c>
      <c r="AD12" s="26">
        <f t="shared" ca="1" si="6"/>
        <v>44440</v>
      </c>
      <c r="AE12" s="43">
        <f t="shared" ca="1" si="7"/>
        <v>1.0019745496004275</v>
      </c>
    </row>
    <row r="13" spans="1:31" x14ac:dyDescent="0.3">
      <c r="A13" s="4">
        <f t="shared" ca="1" si="19"/>
        <v>5</v>
      </c>
      <c r="B13" s="26">
        <f t="shared" ca="1" si="8"/>
        <v>44490</v>
      </c>
      <c r="C13" s="67">
        <f t="shared" ca="1" si="9"/>
        <v>0.54794520547945202</v>
      </c>
      <c r="D13" s="30">
        <f t="shared" ca="1" si="20"/>
        <v>-4.5999999999999991E-3</v>
      </c>
      <c r="E13" s="30">
        <f t="shared" ca="1" si="10"/>
        <v>5.4000000000000012E-3</v>
      </c>
      <c r="F13" s="30">
        <f t="shared" ca="1" si="10"/>
        <v>4.0000000000000105E-4</v>
      </c>
      <c r="G13" s="39">
        <f t="shared" ca="1" si="10"/>
        <v>-4.5999999999999991E-3</v>
      </c>
      <c r="H13" s="4"/>
      <c r="I13" s="26">
        <f t="shared" ca="1" si="11"/>
        <v>44490</v>
      </c>
      <c r="J13" s="43">
        <f t="shared" ca="1" si="12"/>
        <v>1.0025237271967684</v>
      </c>
      <c r="L13" s="26">
        <f t="shared" ca="1" si="13"/>
        <v>44490</v>
      </c>
      <c r="M13" s="43">
        <f t="shared" ca="1" si="14"/>
        <v>0.99704546913277758</v>
      </c>
      <c r="N13" s="64"/>
      <c r="O13" s="26">
        <f t="shared" ca="1" si="15"/>
        <v>44490</v>
      </c>
      <c r="P13" s="43">
        <f t="shared" ca="1" si="16"/>
        <v>0.99978084593556937</v>
      </c>
      <c r="Q13" s="64"/>
      <c r="R13" s="26">
        <f t="shared" ca="1" si="17"/>
        <v>44490</v>
      </c>
      <c r="S13" s="43">
        <f t="shared" ca="1" si="18"/>
        <v>1.0025237271967684</v>
      </c>
      <c r="U13" s="26">
        <f t="shared" ca="1" si="0"/>
        <v>44490</v>
      </c>
      <c r="V13" s="43">
        <f t="shared" ca="1" si="1"/>
        <v>1.0025847482675205</v>
      </c>
      <c r="X13" s="26">
        <f t="shared" ca="1" si="2"/>
        <v>44490</v>
      </c>
      <c r="Y13" s="43">
        <f t="shared" ca="1" si="3"/>
        <v>0.99710010325803489</v>
      </c>
      <c r="AA13" s="26">
        <f t="shared" ca="1" si="4"/>
        <v>44490</v>
      </c>
      <c r="AB13" s="43">
        <f t="shared" ca="1" si="5"/>
        <v>0.99983562994859354</v>
      </c>
      <c r="AD13" s="26">
        <f t="shared" ca="1" si="6"/>
        <v>44490</v>
      </c>
      <c r="AE13" s="43">
        <f t="shared" ca="1" si="7"/>
        <v>1.0025786615087739</v>
      </c>
    </row>
    <row r="14" spans="1:31" x14ac:dyDescent="0.3">
      <c r="A14" s="4">
        <f t="shared" ca="1" si="19"/>
        <v>6</v>
      </c>
      <c r="B14" s="26">
        <f t="shared" ca="1" si="8"/>
        <v>44540</v>
      </c>
      <c r="C14" s="67">
        <f t="shared" ca="1" si="9"/>
        <v>0.68493150684931503</v>
      </c>
      <c r="D14" s="30">
        <f t="shared" ca="1" si="20"/>
        <v>-4.4999999999999988E-3</v>
      </c>
      <c r="E14" s="30">
        <f t="shared" ca="1" si="10"/>
        <v>5.5000000000000014E-3</v>
      </c>
      <c r="F14" s="30">
        <f t="shared" ca="1" si="10"/>
        <v>5.0000000000000131E-4</v>
      </c>
      <c r="G14" s="39">
        <f t="shared" ca="1" si="10"/>
        <v>-4.4999999999999988E-3</v>
      </c>
      <c r="H14" s="4"/>
      <c r="I14" s="26">
        <f t="shared" ca="1" si="11"/>
        <v>44540</v>
      </c>
      <c r="J14" s="43">
        <f t="shared" ca="1" si="12"/>
        <v>1.0030869466177603</v>
      </c>
      <c r="L14" s="26">
        <f t="shared" ca="1" si="13"/>
        <v>44540</v>
      </c>
      <c r="M14" s="43">
        <f t="shared" ca="1" si="14"/>
        <v>0.99623996341963472</v>
      </c>
      <c r="N14" s="64"/>
      <c r="O14" s="26">
        <f t="shared" ca="1" si="15"/>
        <v>44540</v>
      </c>
      <c r="P14" s="43">
        <f t="shared" ca="1" si="16"/>
        <v>0.99965759288127787</v>
      </c>
      <c r="Q14" s="64"/>
      <c r="R14" s="26">
        <f t="shared" ca="1" si="17"/>
        <v>44540</v>
      </c>
      <c r="S14" s="43">
        <f t="shared" ca="1" si="18"/>
        <v>1.0030869466177603</v>
      </c>
      <c r="U14" s="26">
        <f t="shared" ca="1" si="0"/>
        <v>44540</v>
      </c>
      <c r="V14" s="43">
        <f t="shared" ca="1" si="1"/>
        <v>1.0031629453957744</v>
      </c>
      <c r="X14" s="26">
        <f t="shared" ca="1" si="2"/>
        <v>44540</v>
      </c>
      <c r="Y14" s="43">
        <f t="shared" ca="1" si="3"/>
        <v>0.99630820137045706</v>
      </c>
      <c r="AA14" s="26">
        <f t="shared" ca="1" si="4"/>
        <v>44540</v>
      </c>
      <c r="AB14" s="43">
        <f t="shared" ca="1" si="5"/>
        <v>0.99972606492432659</v>
      </c>
      <c r="AD14" s="26">
        <f t="shared" ca="1" si="6"/>
        <v>44540</v>
      </c>
      <c r="AE14" s="43">
        <f t="shared" ca="1" si="7"/>
        <v>1.0031556535560955</v>
      </c>
    </row>
    <row r="15" spans="1:31" x14ac:dyDescent="0.3">
      <c r="A15" s="4">
        <f t="shared" ca="1" si="19"/>
        <v>7</v>
      </c>
      <c r="B15" s="26">
        <f t="shared" ca="1" si="8"/>
        <v>44590</v>
      </c>
      <c r="C15" s="67">
        <f t="shared" ca="1" si="9"/>
        <v>0.82191780821917804</v>
      </c>
      <c r="D15" s="30">
        <f t="shared" ca="1" si="20"/>
        <v>-4.3999999999999985E-3</v>
      </c>
      <c r="E15" s="30">
        <f t="shared" ca="1" si="10"/>
        <v>5.6000000000000017E-3</v>
      </c>
      <c r="F15" s="30">
        <f t="shared" ca="1" si="10"/>
        <v>6.0000000000000157E-4</v>
      </c>
      <c r="G15" s="39">
        <f t="shared" ca="1" si="10"/>
        <v>-4.3999999999999985E-3</v>
      </c>
      <c r="H15" s="4"/>
      <c r="I15" s="26">
        <f t="shared" ca="1" si="11"/>
        <v>44590</v>
      </c>
      <c r="J15" s="43">
        <f t="shared" ca="1" si="12"/>
        <v>1.0036229855594963</v>
      </c>
      <c r="L15" s="26">
        <f t="shared" ca="1" si="13"/>
        <v>44590</v>
      </c>
      <c r="M15" s="43">
        <f t="shared" ca="1" si="14"/>
        <v>0.99540783664747845</v>
      </c>
      <c r="N15" s="64"/>
      <c r="O15" s="26">
        <f t="shared" ca="1" si="15"/>
        <v>44590</v>
      </c>
      <c r="P15" s="43">
        <f t="shared" ca="1" si="16"/>
        <v>0.99950697089388119</v>
      </c>
      <c r="Q15" s="64"/>
      <c r="R15" s="26">
        <f t="shared" ca="1" si="17"/>
        <v>44590</v>
      </c>
      <c r="S15" s="43">
        <f t="shared" ca="1" si="18"/>
        <v>1.0036229855594963</v>
      </c>
      <c r="U15" s="26">
        <f t="shared" ca="1" si="0"/>
        <v>44590</v>
      </c>
      <c r="V15" s="43">
        <f t="shared" ca="1" si="1"/>
        <v>1.0037138564426296</v>
      </c>
      <c r="X15" s="26">
        <f t="shared" ca="1" si="2"/>
        <v>44590</v>
      </c>
      <c r="Y15" s="43">
        <f t="shared" ca="1" si="3"/>
        <v>0.995489654352542</v>
      </c>
      <c r="AA15" s="26">
        <f t="shared" ca="1" si="4"/>
        <v>44590</v>
      </c>
      <c r="AB15" s="43">
        <f t="shared" ca="1" si="5"/>
        <v>0.99958912552793444</v>
      </c>
      <c r="AD15" s="26">
        <f t="shared" ca="1" si="6"/>
        <v>44590</v>
      </c>
      <c r="AE15" s="43">
        <f t="shared" ca="1" si="7"/>
        <v>1.0037054785100281</v>
      </c>
    </row>
    <row r="16" spans="1:31" x14ac:dyDescent="0.3">
      <c r="A16" s="4">
        <f t="shared" ca="1" si="19"/>
        <v>8</v>
      </c>
      <c r="B16" s="26">
        <f t="shared" ca="1" si="8"/>
        <v>44640</v>
      </c>
      <c r="C16" s="67">
        <f t="shared" ca="1" si="9"/>
        <v>0.95890410958904104</v>
      </c>
      <c r="D16" s="30">
        <f t="shared" ca="1" si="20"/>
        <v>-4.2999999999999983E-3</v>
      </c>
      <c r="E16" s="30">
        <f t="shared" ca="1" si="10"/>
        <v>5.7000000000000019E-3</v>
      </c>
      <c r="F16" s="30">
        <f t="shared" ca="1" si="10"/>
        <v>7.0000000000000184E-4</v>
      </c>
      <c r="G16" s="39">
        <f t="shared" ca="1" si="10"/>
        <v>-4.2999999999999983E-3</v>
      </c>
      <c r="H16" s="4"/>
      <c r="I16" s="26">
        <f t="shared" ca="1" si="11"/>
        <v>44640</v>
      </c>
      <c r="J16" s="43">
        <f t="shared" ca="1" si="12"/>
        <v>1.0041318001175765</v>
      </c>
      <c r="L16" s="26">
        <f t="shared" ca="1" si="13"/>
        <v>44640</v>
      </c>
      <c r="M16" s="43">
        <f t="shared" ca="1" si="14"/>
        <v>0.99454915662833243</v>
      </c>
      <c r="N16" s="64"/>
      <c r="O16" s="26">
        <f t="shared" ca="1" si="15"/>
        <v>44640</v>
      </c>
      <c r="P16" s="43">
        <f t="shared" ca="1" si="16"/>
        <v>0.99932899234967909</v>
      </c>
      <c r="Q16" s="64"/>
      <c r="R16" s="26">
        <f t="shared" ca="1" si="17"/>
        <v>44640</v>
      </c>
      <c r="S16" s="43">
        <f t="shared" ca="1" si="18"/>
        <v>1.0041318001175765</v>
      </c>
      <c r="U16" s="26">
        <f t="shared" ca="1" si="0"/>
        <v>44640</v>
      </c>
      <c r="V16" s="43">
        <f t="shared" ca="1" si="1"/>
        <v>1.0042374402598622</v>
      </c>
      <c r="X16" s="26">
        <f t="shared" ca="1" si="2"/>
        <v>44640</v>
      </c>
      <c r="Y16" s="43">
        <f t="shared" ca="1" si="3"/>
        <v>0.99464452892825184</v>
      </c>
      <c r="AA16" s="26">
        <f t="shared" ca="1" si="4"/>
        <v>44640</v>
      </c>
      <c r="AB16" s="43">
        <f t="shared" ca="1" si="5"/>
        <v>0.9994248230119861</v>
      </c>
      <c r="AD16" s="26">
        <f t="shared" ca="1" si="6"/>
        <v>44640</v>
      </c>
      <c r="AE16" s="43">
        <f t="shared" ca="1" si="7"/>
        <v>1.0042280913451755</v>
      </c>
    </row>
    <row r="17" spans="1:31" x14ac:dyDescent="0.3">
      <c r="A17" s="4">
        <f t="shared" ca="1" si="19"/>
        <v>9</v>
      </c>
      <c r="B17" s="26">
        <f t="shared" ca="1" si="8"/>
        <v>44690</v>
      </c>
      <c r="C17" s="67">
        <f t="shared" ca="1" si="9"/>
        <v>1.095890410958904</v>
      </c>
      <c r="D17" s="30">
        <f t="shared" ca="1" si="20"/>
        <v>-4.199999999999998E-3</v>
      </c>
      <c r="E17" s="30">
        <f t="shared" ca="1" si="10"/>
        <v>5.8000000000000022E-3</v>
      </c>
      <c r="F17" s="30">
        <f t="shared" ca="1" si="10"/>
        <v>8.000000000000021E-4</v>
      </c>
      <c r="G17" s="39">
        <f t="shared" ca="1" si="10"/>
        <v>-4.199999999999998E-3</v>
      </c>
      <c r="H17" s="4"/>
      <c r="I17" s="26">
        <f t="shared" ca="1" si="11"/>
        <v>44690</v>
      </c>
      <c r="J17" s="43">
        <f t="shared" ca="1" si="12"/>
        <v>1.0046133486029083</v>
      </c>
      <c r="L17" s="26">
        <f t="shared" ca="1" si="13"/>
        <v>44690</v>
      </c>
      <c r="M17" s="43">
        <f t="shared" ca="1" si="14"/>
        <v>0.9936639932981487</v>
      </c>
      <c r="N17" s="64"/>
      <c r="O17" s="26">
        <f t="shared" ca="1" si="15"/>
        <v>44690</v>
      </c>
      <c r="P17" s="43">
        <f t="shared" ca="1" si="16"/>
        <v>0.99912367187120077</v>
      </c>
      <c r="Q17" s="64"/>
      <c r="R17" s="26">
        <f t="shared" ca="1" si="17"/>
        <v>44690</v>
      </c>
      <c r="S17" s="43">
        <f t="shared" ca="1" si="18"/>
        <v>1.0046133486029083</v>
      </c>
      <c r="U17" s="26">
        <f t="shared" ca="1" si="0"/>
        <v>44690</v>
      </c>
      <c r="V17" s="43">
        <f t="shared" ca="1" si="1"/>
        <v>1.004733657938899</v>
      </c>
      <c r="X17" s="26">
        <f t="shared" ca="1" si="2"/>
        <v>44690</v>
      </c>
      <c r="Y17" s="43">
        <f t="shared" ca="1" si="3"/>
        <v>0.99377289394939572</v>
      </c>
      <c r="AA17" s="26">
        <f t="shared" ca="1" si="4"/>
        <v>44690</v>
      </c>
      <c r="AB17" s="43">
        <f t="shared" ca="1" si="5"/>
        <v>0.99923317087617325</v>
      </c>
      <c r="AD17" s="26">
        <f t="shared" ca="1" si="6"/>
        <v>44690</v>
      </c>
      <c r="AE17" s="43">
        <f t="shared" ca="1" si="7"/>
        <v>1.0047234492492556</v>
      </c>
    </row>
    <row r="18" spans="1:31" x14ac:dyDescent="0.3">
      <c r="A18" s="4">
        <f t="shared" ca="1" si="19"/>
        <v>10</v>
      </c>
      <c r="B18" s="26">
        <f t="shared" ca="1" si="8"/>
        <v>44740</v>
      </c>
      <c r="C18" s="67">
        <f t="shared" ca="1" si="9"/>
        <v>1.2328767123287672</v>
      </c>
      <c r="D18" s="30">
        <f t="shared" ca="1" si="20"/>
        <v>-4.0999999999999977E-3</v>
      </c>
      <c r="E18" s="30">
        <f t="shared" ca="1" si="10"/>
        <v>5.9000000000000025E-3</v>
      </c>
      <c r="F18" s="30">
        <f t="shared" ca="1" si="10"/>
        <v>9.0000000000000236E-4</v>
      </c>
      <c r="G18" s="39">
        <f t="shared" ca="1" si="10"/>
        <v>-4.0999999999999977E-3</v>
      </c>
      <c r="H18" s="4"/>
      <c r="I18" s="26">
        <f t="shared" ca="1" si="11"/>
        <v>44740</v>
      </c>
      <c r="J18" s="43">
        <f t="shared" ca="1" si="12"/>
        <v>1.0050675915473983</v>
      </c>
      <c r="L18" s="26">
        <f t="shared" ca="1" si="13"/>
        <v>44740</v>
      </c>
      <c r="M18" s="43">
        <f t="shared" ca="1" si="14"/>
        <v>0.99275241870731468</v>
      </c>
      <c r="N18" s="64"/>
      <c r="O18" s="26">
        <f t="shared" ca="1" si="15"/>
        <v>44740</v>
      </c>
      <c r="P18" s="43">
        <f t="shared" ca="1" si="16"/>
        <v>0.99889102632520188</v>
      </c>
      <c r="Q18" s="64"/>
      <c r="R18" s="26">
        <f t="shared" ca="1" si="17"/>
        <v>44740</v>
      </c>
      <c r="S18" s="43">
        <f t="shared" ca="1" si="18"/>
        <v>1.0050675915473983</v>
      </c>
      <c r="U18" s="26">
        <f t="shared" ca="1" si="0"/>
        <v>44740</v>
      </c>
      <c r="V18" s="43">
        <f t="shared" ca="1" si="1"/>
        <v>1.0052024728155864</v>
      </c>
      <c r="X18" s="26">
        <f t="shared" ca="1" si="2"/>
        <v>44740</v>
      </c>
      <c r="Y18" s="43">
        <f t="shared" ca="1" si="3"/>
        <v>0.99287482038628183</v>
      </c>
      <c r="AA18" s="26">
        <f t="shared" ca="1" si="4"/>
        <v>44740</v>
      </c>
      <c r="AB18" s="43">
        <f t="shared" ca="1" si="5"/>
        <v>0.99901418486546179</v>
      </c>
      <c r="AD18" s="26">
        <f t="shared" ca="1" si="6"/>
        <v>44740</v>
      </c>
      <c r="AE18" s="43">
        <f t="shared" ca="1" si="7"/>
        <v>1.005191511628944</v>
      </c>
    </row>
    <row r="19" spans="1:31" x14ac:dyDescent="0.3">
      <c r="A19" s="4">
        <f t="shared" ca="1" si="19"/>
        <v>11</v>
      </c>
      <c r="B19" s="26">
        <f t="shared" ca="1" si="8"/>
        <v>44790</v>
      </c>
      <c r="C19" s="67">
        <f t="shared" ca="1" si="9"/>
        <v>1.3698630136986301</v>
      </c>
      <c r="D19" s="30">
        <f t="shared" ca="1" si="20"/>
        <v>-3.9999999999999975E-3</v>
      </c>
      <c r="E19" s="30">
        <f t="shared" ca="1" si="10"/>
        <v>6.0000000000000027E-3</v>
      </c>
      <c r="F19" s="30">
        <f t="shared" ca="1" si="10"/>
        <v>1.0000000000000026E-3</v>
      </c>
      <c r="G19" s="39">
        <f t="shared" ca="1" si="10"/>
        <v>-3.9999999999999975E-3</v>
      </c>
      <c r="H19" s="4"/>
      <c r="I19" s="26">
        <f t="shared" ca="1" si="11"/>
        <v>44790</v>
      </c>
      <c r="J19" s="43">
        <f t="shared" ca="1" si="12"/>
        <v>1.0054944917093458</v>
      </c>
      <c r="L19" s="26">
        <f t="shared" ca="1" si="13"/>
        <v>44790</v>
      </c>
      <c r="M19" s="43">
        <f t="shared" ca="1" si="14"/>
        <v>0.99181450701087914</v>
      </c>
      <c r="N19" s="64"/>
      <c r="O19" s="26">
        <f t="shared" ca="1" si="15"/>
        <v>44790</v>
      </c>
      <c r="P19" s="43">
        <f t="shared" ca="1" si="16"/>
        <v>0.99863107482035596</v>
      </c>
      <c r="Q19" s="64"/>
      <c r="R19" s="26">
        <f t="shared" ca="1" si="17"/>
        <v>44790</v>
      </c>
      <c r="S19" s="43">
        <f t="shared" ca="1" si="18"/>
        <v>1.0054944917093458</v>
      </c>
      <c r="U19" s="26">
        <f t="shared" ca="1" si="0"/>
        <v>44790</v>
      </c>
      <c r="V19" s="43">
        <f t="shared" ca="1" si="1"/>
        <v>1.0056438504746525</v>
      </c>
      <c r="X19" s="26">
        <f t="shared" ca="1" si="2"/>
        <v>44790</v>
      </c>
      <c r="Y19" s="43">
        <f t="shared" ca="1" si="3"/>
        <v>0.99195038131808644</v>
      </c>
      <c r="AA19" s="26">
        <f t="shared" ca="1" si="4"/>
        <v>44790</v>
      </c>
      <c r="AB19" s="43">
        <f t="shared" ca="1" si="5"/>
        <v>0.99876788296793573</v>
      </c>
      <c r="AD19" s="26">
        <f t="shared" ca="1" si="6"/>
        <v>44790</v>
      </c>
      <c r="AE19" s="43">
        <f t="shared" ca="1" si="7"/>
        <v>1.0056322401154196</v>
      </c>
    </row>
    <row r="20" spans="1:31" x14ac:dyDescent="0.3">
      <c r="A20" s="4">
        <f t="shared" ca="1" si="19"/>
        <v>12</v>
      </c>
      <c r="B20" s="26">
        <f t="shared" ca="1" si="8"/>
        <v>44840</v>
      </c>
      <c r="C20" s="67">
        <f t="shared" ca="1" si="9"/>
        <v>1.5068493150684932</v>
      </c>
      <c r="D20" s="30">
        <f t="shared" ca="1" si="20"/>
        <v>-3.8999999999999977E-3</v>
      </c>
      <c r="E20" s="30">
        <f t="shared" ca="1" si="10"/>
        <v>6.100000000000003E-3</v>
      </c>
      <c r="F20" s="30">
        <f t="shared" ca="1" si="10"/>
        <v>1.1000000000000025E-3</v>
      </c>
      <c r="G20" s="39">
        <f t="shared" ca="1" si="10"/>
        <v>-3.8999999999999977E-3</v>
      </c>
      <c r="H20" s="4"/>
      <c r="I20" s="26">
        <f t="shared" ca="1" si="11"/>
        <v>44840</v>
      </c>
      <c r="J20" s="43">
        <f t="shared" ca="1" si="12"/>
        <v>1.0058940140785289</v>
      </c>
      <c r="L20" s="26">
        <f t="shared" ca="1" si="13"/>
        <v>44840</v>
      </c>
      <c r="M20" s="43">
        <f t="shared" ca="1" si="14"/>
        <v>0.99085033445849879</v>
      </c>
      <c r="N20" s="64"/>
      <c r="O20" s="26">
        <f t="shared" ca="1" si="15"/>
        <v>44840</v>
      </c>
      <c r="P20" s="43">
        <f t="shared" ca="1" si="16"/>
        <v>0.99834383870463794</v>
      </c>
      <c r="Q20" s="64"/>
      <c r="R20" s="26">
        <f t="shared" ca="1" si="17"/>
        <v>44840</v>
      </c>
      <c r="S20" s="43">
        <f t="shared" ca="1" si="18"/>
        <v>1.0058940140785289</v>
      </c>
      <c r="U20" s="26">
        <f t="shared" ca="1" si="0"/>
        <v>44840</v>
      </c>
      <c r="V20" s="43">
        <f t="shared" ca="1" si="1"/>
        <v>1.0060577587538593</v>
      </c>
      <c r="X20" s="26">
        <f t="shared" ca="1" si="2"/>
        <v>44840</v>
      </c>
      <c r="Y20" s="43">
        <f t="shared" ca="1" si="3"/>
        <v>0.99099965192294359</v>
      </c>
      <c r="AA20" s="26">
        <f t="shared" ca="1" si="4"/>
        <v>44840</v>
      </c>
      <c r="AB20" s="43">
        <f t="shared" ca="1" si="5"/>
        <v>0.99849428541233465</v>
      </c>
      <c r="AD20" s="26">
        <f t="shared" ca="1" si="6"/>
        <v>44840</v>
      </c>
      <c r="AE20" s="43">
        <f t="shared" ca="1" si="7"/>
        <v>1.006045598569606</v>
      </c>
    </row>
    <row r="21" spans="1:31" x14ac:dyDescent="0.3">
      <c r="A21" s="4">
        <f t="shared" ca="1" si="19"/>
        <v>13</v>
      </c>
      <c r="B21" s="26">
        <f t="shared" ca="1" si="8"/>
        <v>44890</v>
      </c>
      <c r="C21" s="67">
        <f t="shared" ca="1" si="9"/>
        <v>1.6438356164383561</v>
      </c>
      <c r="D21" s="30">
        <f t="shared" ca="1" si="20"/>
        <v>-3.7999999999999978E-3</v>
      </c>
      <c r="E21" s="30">
        <f t="shared" ca="1" si="10"/>
        <v>6.2000000000000024E-3</v>
      </c>
      <c r="F21" s="30">
        <f t="shared" ca="1" si="10"/>
        <v>1.2000000000000023E-3</v>
      </c>
      <c r="G21" s="39">
        <f t="shared" ca="1" si="10"/>
        <v>-3.7999999999999978E-3</v>
      </c>
      <c r="H21" s="4"/>
      <c r="I21" s="26">
        <f t="shared" ca="1" si="11"/>
        <v>44890</v>
      </c>
      <c r="J21" s="43">
        <f t="shared" ca="1" si="12"/>
        <v>1.0062661258809917</v>
      </c>
      <c r="L21" s="26">
        <f t="shared" ca="1" si="13"/>
        <v>44890</v>
      </c>
      <c r="M21" s="43">
        <f t="shared" ca="1" si="14"/>
        <v>0.98985997938410708</v>
      </c>
      <c r="N21" s="64"/>
      <c r="O21" s="26">
        <f t="shared" ca="1" si="15"/>
        <v>44890</v>
      </c>
      <c r="P21" s="43">
        <f t="shared" ca="1" si="16"/>
        <v>0.99802934156240297</v>
      </c>
      <c r="Q21" s="64"/>
      <c r="R21" s="26">
        <f t="shared" ca="1" si="17"/>
        <v>44890</v>
      </c>
      <c r="S21" s="43">
        <f t="shared" ca="1" si="18"/>
        <v>1.0062661258809917</v>
      </c>
      <c r="U21" s="26">
        <f t="shared" ca="1" si="0"/>
        <v>44890</v>
      </c>
      <c r="V21" s="43">
        <f t="shared" ca="1" si="1"/>
        <v>1.0064441677478462</v>
      </c>
      <c r="X21" s="26">
        <f t="shared" ca="1" si="2"/>
        <v>44890</v>
      </c>
      <c r="Y21" s="43">
        <f t="shared" ca="1" si="3"/>
        <v>0.99002270946775583</v>
      </c>
      <c r="AA21" s="26">
        <f t="shared" ca="1" si="4"/>
        <v>44890</v>
      </c>
      <c r="AB21" s="43">
        <f t="shared" ca="1" si="5"/>
        <v>0.99819341466528511</v>
      </c>
      <c r="AD21" s="26">
        <f t="shared" ca="1" si="6"/>
        <v>44890</v>
      </c>
      <c r="AE21" s="43">
        <f t="shared" ca="1" si="7"/>
        <v>1.0064315530871097</v>
      </c>
    </row>
    <row r="22" spans="1:31" x14ac:dyDescent="0.3">
      <c r="A22" s="4">
        <f t="shared" ca="1" si="19"/>
        <v>14</v>
      </c>
      <c r="B22" s="26">
        <f t="shared" ca="1" si="8"/>
        <v>44940</v>
      </c>
      <c r="C22" s="67">
        <f t="shared" ca="1" si="9"/>
        <v>1.7808219178082192</v>
      </c>
      <c r="D22" s="30">
        <f t="shared" ca="1" si="20"/>
        <v>-3.699999999999998E-3</v>
      </c>
      <c r="E22" s="30">
        <f t="shared" ca="1" si="10"/>
        <v>6.3000000000000018E-3</v>
      </c>
      <c r="F22" s="30">
        <f t="shared" ca="1" si="10"/>
        <v>1.3000000000000021E-3</v>
      </c>
      <c r="G22" s="39">
        <f t="shared" ca="1" si="10"/>
        <v>-3.699999999999998E-3</v>
      </c>
      <c r="H22" s="4"/>
      <c r="I22" s="26">
        <f t="shared" ca="1" si="11"/>
        <v>44940</v>
      </c>
      <c r="J22" s="43">
        <f t="shared" ca="1" si="12"/>
        <v>1.0066107965835245</v>
      </c>
      <c r="L22" s="26">
        <f t="shared" ca="1" si="13"/>
        <v>44940</v>
      </c>
      <c r="M22" s="43">
        <f t="shared" ca="1" si="14"/>
        <v>0.98884352219530813</v>
      </c>
      <c r="N22" s="64"/>
      <c r="O22" s="26">
        <f t="shared" ca="1" si="15"/>
        <v>44940</v>
      </c>
      <c r="P22" s="43">
        <f t="shared" ca="1" si="16"/>
        <v>0.9976876092111584</v>
      </c>
      <c r="Q22" s="64"/>
      <c r="R22" s="26">
        <f t="shared" ca="1" si="17"/>
        <v>44940</v>
      </c>
      <c r="S22" s="43">
        <f t="shared" ca="1" si="18"/>
        <v>1.0066107965835245</v>
      </c>
      <c r="U22" s="26">
        <f t="shared" ca="1" si="0"/>
        <v>44940</v>
      </c>
      <c r="V22" s="43">
        <f t="shared" ca="1" si="1"/>
        <v>1.0068030498116651</v>
      </c>
      <c r="X22" s="26">
        <f t="shared" ca="1" si="2"/>
        <v>44940</v>
      </c>
      <c r="Y22" s="43">
        <f t="shared" ca="1" si="3"/>
        <v>0.98901963329772913</v>
      </c>
      <c r="AA22" s="26">
        <f t="shared" ca="1" si="4"/>
        <v>44940</v>
      </c>
      <c r="AB22" s="43">
        <f t="shared" ca="1" si="5"/>
        <v>0.99786529542822522</v>
      </c>
      <c r="AD22" s="26">
        <f t="shared" ca="1" si="6"/>
        <v>44940</v>
      </c>
      <c r="AE22" s="43">
        <f t="shared" ca="1" si="7"/>
        <v>1.0067900720028564</v>
      </c>
    </row>
    <row r="23" spans="1:31" x14ac:dyDescent="0.3">
      <c r="A23" s="4">
        <f t="shared" ca="1" si="19"/>
        <v>15</v>
      </c>
      <c r="B23" s="26">
        <f t="shared" ca="1" si="8"/>
        <v>44990</v>
      </c>
      <c r="C23" s="67">
        <f t="shared" ca="1" si="9"/>
        <v>1.9178082191780821</v>
      </c>
      <c r="D23" s="30">
        <f t="shared" ca="1" si="20"/>
        <v>-3.5999999999999982E-3</v>
      </c>
      <c r="E23" s="30">
        <f t="shared" ca="1" si="10"/>
        <v>6.400000000000002E-3</v>
      </c>
      <c r="F23" s="30">
        <f t="shared" ca="1" si="10"/>
        <v>1.4000000000000019E-3</v>
      </c>
      <c r="G23" s="39">
        <f t="shared" ca="1" si="10"/>
        <v>-3.5999999999999982E-3</v>
      </c>
      <c r="H23" s="4"/>
      <c r="I23" s="26">
        <f t="shared" ca="1" si="11"/>
        <v>44990</v>
      </c>
      <c r="J23" s="43">
        <f t="shared" ca="1" si="12"/>
        <v>1.0069279978978394</v>
      </c>
      <c r="L23" s="26">
        <f t="shared" ca="1" si="13"/>
        <v>44990</v>
      </c>
      <c r="M23" s="43">
        <f t="shared" ca="1" si="14"/>
        <v>0.98780104536249691</v>
      </c>
      <c r="N23" s="64"/>
      <c r="O23" s="26">
        <f t="shared" ca="1" si="15"/>
        <v>44990</v>
      </c>
      <c r="P23" s="43">
        <f t="shared" ca="1" si="16"/>
        <v>0.99731866969803173</v>
      </c>
      <c r="Q23" s="64"/>
      <c r="R23" s="26">
        <f t="shared" ca="1" si="17"/>
        <v>44990</v>
      </c>
      <c r="S23" s="43">
        <f t="shared" ca="1" si="18"/>
        <v>1.0069279978978394</v>
      </c>
      <c r="U23" s="26">
        <f t="shared" ca="1" si="0"/>
        <v>44990</v>
      </c>
      <c r="V23" s="43">
        <f t="shared" ca="1" si="1"/>
        <v>1.0071343795640038</v>
      </c>
      <c r="X23" s="26">
        <f t="shared" ca="1" si="2"/>
        <v>44990</v>
      </c>
      <c r="Y23" s="43">
        <f t="shared" ca="1" si="3"/>
        <v>0.98799050482563289</v>
      </c>
      <c r="AA23" s="26">
        <f t="shared" ca="1" si="4"/>
        <v>44990</v>
      </c>
      <c r="AB23" s="43">
        <f t="shared" ca="1" si="5"/>
        <v>0.99750995463402525</v>
      </c>
      <c r="AD23" s="26">
        <f t="shared" ca="1" si="6"/>
        <v>44990</v>
      </c>
      <c r="AE23" s="43">
        <f t="shared" ca="1" si="7"/>
        <v>1.0071211258954194</v>
      </c>
    </row>
    <row r="24" spans="1:31" x14ac:dyDescent="0.3">
      <c r="A24" s="4">
        <f t="shared" ca="1" si="19"/>
        <v>16</v>
      </c>
      <c r="B24" s="26">
        <f t="shared" ca="1" si="8"/>
        <v>45040</v>
      </c>
      <c r="C24" s="67">
        <f t="shared" ca="1" si="9"/>
        <v>2.0547945205479454</v>
      </c>
      <c r="D24" s="30">
        <f t="shared" ca="1" si="20"/>
        <v>-3.4999999999999983E-3</v>
      </c>
      <c r="E24" s="30">
        <f t="shared" ca="1" si="10"/>
        <v>6.5000000000000023E-3</v>
      </c>
      <c r="F24" s="30">
        <f t="shared" ca="1" si="10"/>
        <v>1.5000000000000018E-3</v>
      </c>
      <c r="G24" s="39">
        <f t="shared" ca="1" si="10"/>
        <v>-3.4999999999999983E-3</v>
      </c>
      <c r="H24" s="4"/>
      <c r="I24" s="26">
        <f t="shared" ca="1" si="11"/>
        <v>45040</v>
      </c>
      <c r="J24" s="43">
        <f t="shared" ca="1" si="12"/>
        <v>1.0072177037844396</v>
      </c>
      <c r="L24" s="26">
        <f t="shared" ca="1" si="13"/>
        <v>45040</v>
      </c>
      <c r="M24" s="43">
        <f t="shared" ca="1" si="14"/>
        <v>0.98673263340770789</v>
      </c>
      <c r="N24" s="64"/>
      <c r="O24" s="26">
        <f t="shared" ca="1" si="15"/>
        <v>45040</v>
      </c>
      <c r="P24" s="43">
        <f t="shared" ca="1" si="16"/>
        <v>0.99692255329593416</v>
      </c>
      <c r="Q24" s="64"/>
      <c r="R24" s="26">
        <f t="shared" ca="1" si="17"/>
        <v>45040</v>
      </c>
      <c r="S24" s="43">
        <f t="shared" ca="1" si="18"/>
        <v>1.0072177037844396</v>
      </c>
      <c r="U24" s="26">
        <f t="shared" ca="1" si="0"/>
        <v>45040</v>
      </c>
      <c r="V24" s="43">
        <f t="shared" ca="1" si="1"/>
        <v>1.0074381338900982</v>
      </c>
      <c r="X24" s="26">
        <f t="shared" ca="1" si="2"/>
        <v>45040</v>
      </c>
      <c r="Y24" s="43">
        <f t="shared" ca="1" si="3"/>
        <v>0.98693540752078845</v>
      </c>
      <c r="AA24" s="26">
        <f t="shared" ca="1" si="4"/>
        <v>45040</v>
      </c>
      <c r="AB24" s="43">
        <f t="shared" ca="1" si="5"/>
        <v>0.99712742144330302</v>
      </c>
      <c r="AD24" s="26">
        <f t="shared" ca="1" si="6"/>
        <v>45040</v>
      </c>
      <c r="AE24" s="43">
        <f t="shared" ca="1" si="7"/>
        <v>1.0074246875910444</v>
      </c>
    </row>
    <row r="25" spans="1:31" x14ac:dyDescent="0.3">
      <c r="A25" s="4">
        <f t="shared" ca="1" si="19"/>
        <v>17</v>
      </c>
      <c r="B25" s="26">
        <f t="shared" ca="1" si="8"/>
        <v>45090</v>
      </c>
      <c r="C25" s="67">
        <f t="shared" ca="1" si="9"/>
        <v>2.1917808219178081</v>
      </c>
      <c r="D25" s="30">
        <f t="shared" ca="1" si="20"/>
        <v>-3.3999999999999985E-3</v>
      </c>
      <c r="E25" s="30">
        <f t="shared" ca="1" si="10"/>
        <v>6.6000000000000017E-3</v>
      </c>
      <c r="F25" s="30">
        <f t="shared" ca="1" si="10"/>
        <v>1.6000000000000016E-3</v>
      </c>
      <c r="G25" s="39">
        <f t="shared" ca="1" si="10"/>
        <v>-3.3999999999999985E-3</v>
      </c>
      <c r="H25" s="4"/>
      <c r="I25" s="26">
        <f t="shared" ca="1" si="11"/>
        <v>45090</v>
      </c>
      <c r="J25" s="43">
        <f t="shared" ca="1" si="12"/>
        <v>1.0074798904561826</v>
      </c>
      <c r="L25" s="26">
        <f t="shared" ca="1" si="13"/>
        <v>45090</v>
      </c>
      <c r="M25" s="43">
        <f t="shared" ca="1" si="14"/>
        <v>0.98563837289319456</v>
      </c>
      <c r="N25" s="64"/>
      <c r="O25" s="26">
        <f t="shared" ca="1" si="15"/>
        <v>45090</v>
      </c>
      <c r="P25" s="43">
        <f t="shared" ca="1" si="16"/>
        <v>0.99649929249942049</v>
      </c>
      <c r="Q25" s="64"/>
      <c r="R25" s="26">
        <f t="shared" ca="1" si="17"/>
        <v>45090</v>
      </c>
      <c r="S25" s="43">
        <f t="shared" ca="1" si="18"/>
        <v>1.0074798904561826</v>
      </c>
      <c r="U25" s="26">
        <f t="shared" ca="1" si="0"/>
        <v>45090</v>
      </c>
      <c r="V25" s="43">
        <f t="shared" ca="1" si="1"/>
        <v>1.0077142919443356</v>
      </c>
      <c r="X25" s="26">
        <f t="shared" ca="1" si="2"/>
        <v>45090</v>
      </c>
      <c r="Y25" s="43">
        <f t="shared" ca="1" si="3"/>
        <v>0.98585442689778624</v>
      </c>
      <c r="AA25" s="26">
        <f t="shared" ca="1" si="4"/>
        <v>45090</v>
      </c>
      <c r="AB25" s="43">
        <f t="shared" ca="1" si="5"/>
        <v>0.99671772724043539</v>
      </c>
      <c r="AD25" s="26">
        <f t="shared" ca="1" si="6"/>
        <v>45090</v>
      </c>
      <c r="AE25" s="43">
        <f t="shared" ca="1" si="7"/>
        <v>1.0077007321673668</v>
      </c>
    </row>
    <row r="26" spans="1:31" x14ac:dyDescent="0.3">
      <c r="A26" s="4">
        <f t="shared" ca="1" si="19"/>
        <v>18</v>
      </c>
      <c r="B26" s="26">
        <f t="shared" ca="1" si="8"/>
        <v>45140</v>
      </c>
      <c r="C26" s="67">
        <f t="shared" ca="1" si="9"/>
        <v>2.3287671232876712</v>
      </c>
      <c r="D26" s="30">
        <f t="shared" ca="1" si="20"/>
        <v>-3.2999999999999987E-3</v>
      </c>
      <c r="E26" s="30">
        <f t="shared" ca="1" si="10"/>
        <v>6.7000000000000011E-3</v>
      </c>
      <c r="F26" s="30">
        <f t="shared" ca="1" si="10"/>
        <v>1.7000000000000014E-3</v>
      </c>
      <c r="G26" s="39">
        <f t="shared" ca="1" si="10"/>
        <v>-3.2999999999999987E-3</v>
      </c>
      <c r="H26" s="4"/>
      <c r="I26" s="26">
        <f t="shared" ca="1" si="11"/>
        <v>45140</v>
      </c>
      <c r="J26" s="43">
        <f t="shared" ca="1" si="12"/>
        <v>1.0077145363815347</v>
      </c>
      <c r="L26" s="26">
        <f t="shared" ca="1" si="13"/>
        <v>45140</v>
      </c>
      <c r="M26" s="43">
        <f t="shared" ca="1" si="14"/>
        <v>0.98451835240974173</v>
      </c>
      <c r="N26" s="64"/>
      <c r="O26" s="26">
        <f t="shared" ca="1" si="15"/>
        <v>45140</v>
      </c>
      <c r="P26" s="43">
        <f t="shared" ca="1" si="16"/>
        <v>0.99604892202024664</v>
      </c>
      <c r="Q26" s="64"/>
      <c r="R26" s="26">
        <f t="shared" ca="1" si="17"/>
        <v>45140</v>
      </c>
      <c r="S26" s="43">
        <f t="shared" ca="1" si="18"/>
        <v>1.0077145363815347</v>
      </c>
      <c r="U26" s="26">
        <f t="shared" ca="1" si="0"/>
        <v>45140</v>
      </c>
      <c r="V26" s="43">
        <f t="shared" ca="1" si="1"/>
        <v>1.0079628351525449</v>
      </c>
      <c r="X26" s="26">
        <f t="shared" ca="1" si="2"/>
        <v>45140</v>
      </c>
      <c r="Y26" s="43">
        <f t="shared" ca="1" si="3"/>
        <v>0.98474765050493529</v>
      </c>
      <c r="AA26" s="26">
        <f t="shared" ca="1" si="4"/>
        <v>45140</v>
      </c>
      <c r="AB26" s="43">
        <f t="shared" ca="1" si="5"/>
        <v>0.99628090562926697</v>
      </c>
      <c r="AD26" s="26">
        <f t="shared" ca="1" si="6"/>
        <v>45140</v>
      </c>
      <c r="AE26" s="43">
        <f t="shared" ca="1" si="7"/>
        <v>1.0079492369568217</v>
      </c>
    </row>
    <row r="27" spans="1:31" x14ac:dyDescent="0.3">
      <c r="A27" s="4">
        <f t="shared" ca="1" si="19"/>
        <v>19</v>
      </c>
      <c r="B27" s="26">
        <f t="shared" ca="1" si="8"/>
        <v>45190</v>
      </c>
      <c r="C27" s="67">
        <f t="shared" ca="1" si="9"/>
        <v>2.4657534246575343</v>
      </c>
      <c r="D27" s="30">
        <f t="shared" ca="1" si="20"/>
        <v>-3.1999999999999989E-3</v>
      </c>
      <c r="E27" s="30">
        <f t="shared" ca="1" si="10"/>
        <v>6.8000000000000014E-3</v>
      </c>
      <c r="F27" s="30">
        <f t="shared" ca="1" si="10"/>
        <v>1.8000000000000013E-3</v>
      </c>
      <c r="G27" s="39">
        <f t="shared" ca="1" si="10"/>
        <v>-3.1999999999999989E-3</v>
      </c>
      <c r="H27" s="4"/>
      <c r="I27" s="26">
        <f t="shared" ca="1" si="11"/>
        <v>45190</v>
      </c>
      <c r="J27" s="43">
        <f t="shared" ca="1" si="12"/>
        <v>1.0079216222875187</v>
      </c>
      <c r="L27" s="26">
        <f t="shared" ca="1" si="13"/>
        <v>45190</v>
      </c>
      <c r="M27" s="43">
        <f t="shared" ca="1" si="14"/>
        <v>0.98337266256471312</v>
      </c>
      <c r="N27" s="64"/>
      <c r="O27" s="26">
        <f t="shared" ca="1" si="15"/>
        <v>45190</v>
      </c>
      <c r="P27" s="43">
        <f t="shared" ca="1" si="16"/>
        <v>0.99557147878262475</v>
      </c>
      <c r="Q27" s="64"/>
      <c r="R27" s="26">
        <f t="shared" ca="1" si="17"/>
        <v>45190</v>
      </c>
      <c r="S27" s="43">
        <f t="shared" ca="1" si="18"/>
        <v>1.0079216222875187</v>
      </c>
      <c r="U27" s="26">
        <f t="shared" ca="1" si="0"/>
        <v>45190</v>
      </c>
      <c r="V27" s="43">
        <f t="shared" ca="1" si="1"/>
        <v>1.0081837472139739</v>
      </c>
      <c r="X27" s="26">
        <f t="shared" ca="1" si="2"/>
        <v>45190</v>
      </c>
      <c r="Y27" s="43">
        <f t="shared" ca="1" si="3"/>
        <v>0.98361516791244741</v>
      </c>
      <c r="AA27" s="26">
        <f t="shared" ca="1" si="4"/>
        <v>45190</v>
      </c>
      <c r="AB27" s="43">
        <f t="shared" ca="1" si="5"/>
        <v>0.99581699242851651</v>
      </c>
      <c r="AD27" s="26">
        <f t="shared" ca="1" si="6"/>
        <v>45190</v>
      </c>
      <c r="AE27" s="43">
        <f t="shared" ca="1" si="7"/>
        <v>1.0081701815497461</v>
      </c>
    </row>
    <row r="28" spans="1:31" x14ac:dyDescent="0.3">
      <c r="A28" s="4">
        <f t="shared" ca="1" si="19"/>
        <v>20</v>
      </c>
      <c r="B28" s="26">
        <f t="shared" ca="1" si="8"/>
        <v>45240</v>
      </c>
      <c r="C28" s="67">
        <f t="shared" ca="1" si="9"/>
        <v>2.6027397260273974</v>
      </c>
      <c r="D28" s="30">
        <f t="shared" ca="1" si="20"/>
        <v>-3.099999999999999E-3</v>
      </c>
      <c r="E28" s="30">
        <f t="shared" ca="1" si="10"/>
        <v>6.9000000000000016E-3</v>
      </c>
      <c r="F28" s="30">
        <f t="shared" ca="1" si="10"/>
        <v>1.9000000000000011E-3</v>
      </c>
      <c r="G28" s="39">
        <f t="shared" ca="1" si="10"/>
        <v>-3.099999999999999E-3</v>
      </c>
      <c r="H28" s="4"/>
      <c r="I28" s="26">
        <f t="shared" ca="1" si="11"/>
        <v>45240</v>
      </c>
      <c r="J28" s="43">
        <f t="shared" ca="1" si="12"/>
        <v>1.0081011311623516</v>
      </c>
      <c r="L28" s="26">
        <f t="shared" ca="1" si="13"/>
        <v>45240</v>
      </c>
      <c r="M28" s="43">
        <f t="shared" ca="1" si="14"/>
        <v>0.98220139596983602</v>
      </c>
      <c r="N28" s="64"/>
      <c r="O28" s="26">
        <f t="shared" ca="1" si="15"/>
        <v>45240</v>
      </c>
      <c r="P28" s="43">
        <f t="shared" ca="1" si="16"/>
        <v>0.99506700191817854</v>
      </c>
      <c r="Q28" s="64"/>
      <c r="R28" s="26">
        <f t="shared" ca="1" si="17"/>
        <v>45240</v>
      </c>
      <c r="S28" s="43">
        <f t="shared" ca="1" si="18"/>
        <v>1.0081011311623516</v>
      </c>
      <c r="U28" s="26">
        <f t="shared" ca="1" si="0"/>
        <v>45240</v>
      </c>
      <c r="V28" s="43">
        <f t="shared" ca="1" si="1"/>
        <v>1.0083770141029562</v>
      </c>
      <c r="X28" s="26">
        <f t="shared" ca="1" si="2"/>
        <v>45240</v>
      </c>
      <c r="Y28" s="43">
        <f t="shared" ca="1" si="3"/>
        <v>0.98245707070035659</v>
      </c>
      <c r="AA28" s="26">
        <f t="shared" ca="1" si="4"/>
        <v>45240</v>
      </c>
      <c r="AB28" s="43">
        <f t="shared" ca="1" si="5"/>
        <v>0.99532602566688144</v>
      </c>
      <c r="AD28" s="26">
        <f t="shared" ca="1" si="6"/>
        <v>45240</v>
      </c>
      <c r="AE28" s="43">
        <f t="shared" ca="1" si="7"/>
        <v>1.0083635477971731</v>
      </c>
    </row>
    <row r="29" spans="1:31" x14ac:dyDescent="0.3">
      <c r="A29" s="4">
        <f t="shared" ca="1" si="19"/>
        <v>21</v>
      </c>
      <c r="B29" s="26">
        <f t="shared" ca="1" si="8"/>
        <v>45290</v>
      </c>
      <c r="C29" s="67">
        <f t="shared" ca="1" si="9"/>
        <v>2.7397260273972601</v>
      </c>
      <c r="D29" s="30">
        <f t="shared" ca="1" si="20"/>
        <v>-2.9999999999999992E-3</v>
      </c>
      <c r="E29" s="30">
        <f t="shared" ca="1" si="10"/>
        <v>7.000000000000001E-3</v>
      </c>
      <c r="F29" s="30">
        <f t="shared" ca="1" si="10"/>
        <v>2.0000000000000009E-3</v>
      </c>
      <c r="G29" s="39">
        <f t="shared" ca="1" si="10"/>
        <v>-2.9999999999999992E-3</v>
      </c>
      <c r="H29" s="4"/>
      <c r="I29" s="26">
        <f t="shared" ca="1" si="11"/>
        <v>45290</v>
      </c>
      <c r="J29" s="43">
        <f t="shared" ca="1" si="12"/>
        <v>1.0082530482577738</v>
      </c>
      <c r="L29" s="26">
        <f t="shared" ca="1" si="13"/>
        <v>45290</v>
      </c>
      <c r="M29" s="43">
        <f t="shared" ca="1" si="14"/>
        <v>0.98100464722872571</v>
      </c>
      <c r="N29" s="64"/>
      <c r="O29" s="26">
        <f t="shared" ca="1" si="15"/>
        <v>45290</v>
      </c>
      <c r="P29" s="43">
        <f t="shared" ca="1" si="16"/>
        <v>0.99453553276059714</v>
      </c>
      <c r="Q29" s="64"/>
      <c r="R29" s="26">
        <f t="shared" ca="1" si="17"/>
        <v>45290</v>
      </c>
      <c r="S29" s="43">
        <f t="shared" ca="1" si="18"/>
        <v>1.0082530482577738</v>
      </c>
      <c r="U29" s="26">
        <f t="shared" ca="1" si="0"/>
        <v>45290</v>
      </c>
      <c r="V29" s="43">
        <f t="shared" ca="1" si="1"/>
        <v>1.0085426240702648</v>
      </c>
      <c r="X29" s="26">
        <f t="shared" ca="1" si="2"/>
        <v>45290</v>
      </c>
      <c r="Y29" s="43">
        <f t="shared" ca="1" si="3"/>
        <v>0.98127345244617792</v>
      </c>
      <c r="AA29" s="26">
        <f t="shared" ca="1" si="4"/>
        <v>45290</v>
      </c>
      <c r="AB29" s="43">
        <f t="shared" ca="1" si="5"/>
        <v>0.99480804557784297</v>
      </c>
      <c r="AD29" s="26">
        <f t="shared" ca="1" si="6"/>
        <v>45290</v>
      </c>
      <c r="AE29" s="43">
        <f t="shared" ca="1" si="7"/>
        <v>1.0085293198133156</v>
      </c>
    </row>
    <row r="30" spans="1:31" x14ac:dyDescent="0.3">
      <c r="A30" s="4">
        <f t="shared" ca="1" si="19"/>
        <v>22</v>
      </c>
      <c r="B30" s="26">
        <f t="shared" ca="1" si="8"/>
        <v>45340</v>
      </c>
      <c r="C30" s="67">
        <f t="shared" ca="1" si="9"/>
        <v>2.8767123287671232</v>
      </c>
      <c r="D30" s="30">
        <f t="shared" ca="1" si="20"/>
        <v>-2.8999999999999994E-3</v>
      </c>
      <c r="E30" s="30">
        <f t="shared" ca="1" si="10"/>
        <v>7.1000000000000004E-3</v>
      </c>
      <c r="F30" s="30">
        <f t="shared" ca="1" si="10"/>
        <v>2.1000000000000007E-3</v>
      </c>
      <c r="G30" s="39">
        <f t="shared" ca="1" si="10"/>
        <v>-2.8999999999999994E-3</v>
      </c>
      <c r="H30" s="4"/>
      <c r="I30" s="26">
        <f t="shared" ca="1" si="11"/>
        <v>45340</v>
      </c>
      <c r="J30" s="43">
        <f t="shared" ca="1" si="12"/>
        <v>1.0083773610910693</v>
      </c>
      <c r="L30" s="26">
        <f t="shared" ca="1" si="13"/>
        <v>45340</v>
      </c>
      <c r="M30" s="43">
        <f t="shared" ca="1" si="14"/>
        <v>0.97978251292415208</v>
      </c>
      <c r="N30" s="64"/>
      <c r="O30" s="26">
        <f t="shared" ca="1" si="15"/>
        <v>45340</v>
      </c>
      <c r="P30" s="43">
        <f t="shared" ca="1" si="16"/>
        <v>0.99397711483999118</v>
      </c>
      <c r="Q30" s="64"/>
      <c r="R30" s="26">
        <f t="shared" ca="1" si="17"/>
        <v>45340</v>
      </c>
      <c r="S30" s="43">
        <f t="shared" ca="1" si="18"/>
        <v>1.0083773610910693</v>
      </c>
      <c r="U30" s="26">
        <f t="shared" ca="1" si="0"/>
        <v>45340</v>
      </c>
      <c r="V30" s="43">
        <f t="shared" ca="1" si="1"/>
        <v>1.0086805676441537</v>
      </c>
      <c r="X30" s="26">
        <f t="shared" ca="1" si="2"/>
        <v>45340</v>
      </c>
      <c r="Y30" s="43">
        <f t="shared" ca="1" si="3"/>
        <v>0.98006440871230638</v>
      </c>
      <c r="AA30" s="26">
        <f t="shared" ca="1" si="4"/>
        <v>45340</v>
      </c>
      <c r="AB30" s="43">
        <f t="shared" ca="1" si="5"/>
        <v>0.99426309459417039</v>
      </c>
      <c r="AD30" s="26">
        <f t="shared" ca="1" si="6"/>
        <v>45340</v>
      </c>
      <c r="AE30" s="43">
        <f t="shared" ca="1" si="7"/>
        <v>1.0086674839777428</v>
      </c>
    </row>
    <row r="31" spans="1:31" x14ac:dyDescent="0.3">
      <c r="A31" s="4">
        <f t="shared" ca="1" si="19"/>
        <v>23</v>
      </c>
      <c r="B31" s="26">
        <f t="shared" ca="1" si="8"/>
        <v>45390</v>
      </c>
      <c r="C31" s="67">
        <f t="shared" ca="1" si="9"/>
        <v>3.0136986301369864</v>
      </c>
      <c r="D31" s="30">
        <f t="shared" ca="1" si="20"/>
        <v>-2.7999999999999995E-3</v>
      </c>
      <c r="E31" s="30">
        <f t="shared" ca="1" si="10"/>
        <v>7.2000000000000007E-3</v>
      </c>
      <c r="F31" s="30">
        <f t="shared" ca="1" si="10"/>
        <v>2.2000000000000006E-3</v>
      </c>
      <c r="G31" s="39">
        <f t="shared" ca="1" si="10"/>
        <v>-2.7999999999999995E-3</v>
      </c>
      <c r="H31" s="4"/>
      <c r="I31" s="26">
        <f t="shared" ca="1" si="11"/>
        <v>45390</v>
      </c>
      <c r="J31" s="43">
        <f t="shared" ca="1" si="12"/>
        <v>1.0084740594467745</v>
      </c>
      <c r="L31" s="26">
        <f t="shared" ca="1" si="13"/>
        <v>45390</v>
      </c>
      <c r="M31" s="43">
        <f t="shared" ca="1" si="14"/>
        <v>0.97853509160504992</v>
      </c>
      <c r="N31" s="64"/>
      <c r="O31" s="26">
        <f t="shared" ca="1" si="15"/>
        <v>45390</v>
      </c>
      <c r="P31" s="43">
        <f t="shared" ca="1" si="16"/>
        <v>0.99339179387695065</v>
      </c>
      <c r="Q31" s="64"/>
      <c r="R31" s="26">
        <f t="shared" ca="1" si="17"/>
        <v>45390</v>
      </c>
      <c r="S31" s="43">
        <f t="shared" ca="1" si="18"/>
        <v>1.0084740594467745</v>
      </c>
      <c r="U31" s="26">
        <f t="shared" ca="1" si="0"/>
        <v>45390</v>
      </c>
      <c r="V31" s="43">
        <f t="shared" ca="1" si="1"/>
        <v>1.0087908376310855</v>
      </c>
      <c r="X31" s="26">
        <f t="shared" ca="1" si="2"/>
        <v>45390</v>
      </c>
      <c r="Y31" s="43">
        <f t="shared" ca="1" si="3"/>
        <v>0.97883003703316029</v>
      </c>
      <c r="AA31" s="26">
        <f t="shared" ca="1" si="4"/>
        <v>45390</v>
      </c>
      <c r="AB31" s="43">
        <f t="shared" ca="1" si="5"/>
        <v>0.99369121734212829</v>
      </c>
      <c r="AD31" s="26">
        <f t="shared" ca="1" si="6"/>
        <v>45390</v>
      </c>
      <c r="AE31" s="43">
        <f t="shared" ca="1" si="7"/>
        <v>1.0087780289372439</v>
      </c>
    </row>
    <row r="32" spans="1:31" x14ac:dyDescent="0.3">
      <c r="A32" s="4">
        <f t="shared" ca="1" si="19"/>
        <v>24</v>
      </c>
      <c r="B32" s="26">
        <f t="shared" ca="1" si="8"/>
        <v>45440</v>
      </c>
      <c r="C32" s="67">
        <f t="shared" ca="1" si="9"/>
        <v>3.1506849315068495</v>
      </c>
      <c r="D32" s="30">
        <f t="shared" ca="1" si="20"/>
        <v>-2.6999999999999997E-3</v>
      </c>
      <c r="E32" s="30">
        <f t="shared" ca="1" si="10"/>
        <v>7.3000000000000009E-3</v>
      </c>
      <c r="F32" s="30">
        <f t="shared" ca="1" si="10"/>
        <v>2.3000000000000004E-3</v>
      </c>
      <c r="G32" s="39">
        <f t="shared" ca="1" si="10"/>
        <v>-2.6999999999999997E-3</v>
      </c>
      <c r="H32" s="4"/>
      <c r="I32" s="26">
        <f t="shared" ca="1" si="11"/>
        <v>45440</v>
      </c>
      <c r="J32" s="43">
        <f t="shared" ca="1" si="12"/>
        <v>1.0085431353780769</v>
      </c>
      <c r="L32" s="26">
        <f t="shared" ca="1" si="13"/>
        <v>45440</v>
      </c>
      <c r="M32" s="43">
        <f t="shared" ca="1" si="14"/>
        <v>0.97726248377327707</v>
      </c>
      <c r="N32" s="64"/>
      <c r="O32" s="26">
        <f t="shared" ca="1" si="15"/>
        <v>45440</v>
      </c>
      <c r="P32" s="43">
        <f t="shared" ca="1" si="16"/>
        <v>0.99277961777630586</v>
      </c>
      <c r="Q32" s="64"/>
      <c r="R32" s="26">
        <f t="shared" ca="1" si="17"/>
        <v>45440</v>
      </c>
      <c r="S32" s="43">
        <f t="shared" ca="1" si="18"/>
        <v>1.0085431353780769</v>
      </c>
      <c r="U32" s="26">
        <f t="shared" ca="1" si="0"/>
        <v>45440</v>
      </c>
      <c r="V32" s="43">
        <f t="shared" ca="1" si="1"/>
        <v>1.0088734291161479</v>
      </c>
      <c r="X32" s="26">
        <f t="shared" ca="1" si="2"/>
        <v>45440</v>
      </c>
      <c r="Y32" s="43">
        <f t="shared" ca="1" si="3"/>
        <v>0.9775704369020688</v>
      </c>
      <c r="AA32" s="26">
        <f t="shared" ca="1" si="4"/>
        <v>45440</v>
      </c>
      <c r="AB32" s="43">
        <f t="shared" ca="1" si="5"/>
        <v>0.99309246063538548</v>
      </c>
      <c r="AD32" s="26">
        <f t="shared" ca="1" si="6"/>
        <v>45440</v>
      </c>
      <c r="AE32" s="43">
        <f t="shared" ca="1" si="7"/>
        <v>1.008860945607384</v>
      </c>
    </row>
    <row r="33" spans="1:31" x14ac:dyDescent="0.3">
      <c r="A33" s="4">
        <f t="shared" ca="1" si="19"/>
        <v>25</v>
      </c>
      <c r="B33" s="26">
        <f t="shared" ca="1" si="8"/>
        <v>45490</v>
      </c>
      <c r="C33" s="67">
        <f t="shared" ca="1" si="9"/>
        <v>3.2876712328767121</v>
      </c>
      <c r="D33" s="30">
        <f t="shared" ca="1" si="20"/>
        <v>-2.5999999999999999E-3</v>
      </c>
      <c r="E33" s="30">
        <f t="shared" ca="1" si="10"/>
        <v>7.4000000000000003E-3</v>
      </c>
      <c r="F33" s="30">
        <f t="shared" ca="1" si="10"/>
        <v>2.4000000000000002E-3</v>
      </c>
      <c r="G33" s="39">
        <f t="shared" ca="1" si="10"/>
        <v>-2.5999999999999999E-3</v>
      </c>
      <c r="H33" s="4"/>
      <c r="I33" s="26">
        <f t="shared" ca="1" si="11"/>
        <v>45490</v>
      </c>
      <c r="J33" s="43">
        <f t="shared" ca="1" si="12"/>
        <v>1.0085845832079052</v>
      </c>
      <c r="L33" s="26">
        <f t="shared" ca="1" si="13"/>
        <v>45490</v>
      </c>
      <c r="M33" s="43">
        <f t="shared" ca="1" si="14"/>
        <v>0.97596479187012131</v>
      </c>
      <c r="N33" s="64"/>
      <c r="O33" s="26">
        <f t="shared" ca="1" si="15"/>
        <v>45490</v>
      </c>
      <c r="P33" s="43">
        <f t="shared" ca="1" si="16"/>
        <v>0.99214063662059337</v>
      </c>
      <c r="Q33" s="64"/>
      <c r="R33" s="26">
        <f t="shared" ca="1" si="17"/>
        <v>45490</v>
      </c>
      <c r="S33" s="43">
        <f t="shared" ca="1" si="18"/>
        <v>1.0085845832079052</v>
      </c>
      <c r="U33" s="26">
        <f t="shared" ca="1" si="0"/>
        <v>45490</v>
      </c>
      <c r="V33" s="43">
        <f t="shared" ca="1" si="1"/>
        <v>1.0089283394631572</v>
      </c>
      <c r="X33" s="26">
        <f t="shared" ca="1" si="2"/>
        <v>45490</v>
      </c>
      <c r="Y33" s="43">
        <f t="shared" ca="1" si="3"/>
        <v>0.97628570975790929</v>
      </c>
      <c r="AA33" s="26">
        <f t="shared" ca="1" si="4"/>
        <v>45490</v>
      </c>
      <c r="AB33" s="43">
        <f t="shared" ca="1" si="5"/>
        <v>0.99246687346862839</v>
      </c>
      <c r="AD33" s="26">
        <f t="shared" ca="1" si="6"/>
        <v>45490</v>
      </c>
      <c r="AE33" s="43">
        <f t="shared" ca="1" si="7"/>
        <v>1.0089162271737477</v>
      </c>
    </row>
    <row r="34" spans="1:31" x14ac:dyDescent="0.3">
      <c r="A34" s="4">
        <f t="shared" ca="1" si="19"/>
        <v>26</v>
      </c>
      <c r="B34" s="26">
        <f t="shared" ca="1" si="8"/>
        <v>45540</v>
      </c>
      <c r="C34" s="67">
        <f t="shared" ca="1" si="9"/>
        <v>3.4246575342465753</v>
      </c>
      <c r="D34" s="30">
        <f t="shared" ca="1" si="20"/>
        <v>-2.5000000000000001E-3</v>
      </c>
      <c r="E34" s="30">
        <f t="shared" ca="1" si="10"/>
        <v>7.4999999999999997E-3</v>
      </c>
      <c r="F34" s="30">
        <f t="shared" ca="1" si="10"/>
        <v>2.5000000000000001E-3</v>
      </c>
      <c r="G34" s="39">
        <f t="shared" ca="1" si="10"/>
        <v>-2.5000000000000001E-3</v>
      </c>
      <c r="H34" s="4"/>
      <c r="I34" s="26">
        <f t="shared" ca="1" si="11"/>
        <v>45540</v>
      </c>
      <c r="J34" s="43">
        <f t="shared" ca="1" si="12"/>
        <v>1.0085983995297045</v>
      </c>
      <c r="L34" s="26">
        <f t="shared" ca="1" si="13"/>
        <v>45540</v>
      </c>
      <c r="M34" s="43">
        <f t="shared" ca="1" si="14"/>
        <v>0.97464212026255903</v>
      </c>
      <c r="N34" s="64"/>
      <c r="O34" s="26">
        <f t="shared" ca="1" si="15"/>
        <v>45540</v>
      </c>
      <c r="P34" s="43">
        <f t="shared" ca="1" si="16"/>
        <v>0.99147490266322669</v>
      </c>
      <c r="Q34" s="64"/>
      <c r="R34" s="26">
        <f t="shared" ca="1" si="17"/>
        <v>45540</v>
      </c>
      <c r="S34" s="43">
        <f t="shared" ca="1" si="18"/>
        <v>1.0085983995297045</v>
      </c>
      <c r="U34" s="26">
        <f t="shared" ca="1" si="0"/>
        <v>45540</v>
      </c>
      <c r="V34" s="43">
        <f t="shared" ca="1" si="1"/>
        <v>1.0089555683144484</v>
      </c>
      <c r="X34" s="26">
        <f t="shared" ca="1" si="2"/>
        <v>45540</v>
      </c>
      <c r="Y34" s="43">
        <f t="shared" ca="1" si="3"/>
        <v>0.97497595897149392</v>
      </c>
      <c r="AA34" s="26">
        <f t="shared" ca="1" si="4"/>
        <v>45540</v>
      </c>
      <c r="AB34" s="43">
        <f t="shared" ca="1" si="5"/>
        <v>0.99181450701087914</v>
      </c>
      <c r="AD34" s="26">
        <f t="shared" ca="1" si="6"/>
        <v>45540</v>
      </c>
      <c r="AE34" s="43">
        <f t="shared" ca="1" si="7"/>
        <v>1.0089438690928729</v>
      </c>
    </row>
    <row r="35" spans="1:31" x14ac:dyDescent="0.3">
      <c r="A35" s="4">
        <f t="shared" ca="1" si="19"/>
        <v>27</v>
      </c>
      <c r="B35" s="26">
        <f t="shared" ca="1" si="8"/>
        <v>45590</v>
      </c>
      <c r="C35" s="67">
        <f t="shared" ca="1" si="9"/>
        <v>3.5616438356164384</v>
      </c>
      <c r="D35" s="30">
        <f t="shared" ca="1" si="20"/>
        <v>-2.4000000000000002E-3</v>
      </c>
      <c r="E35" s="30">
        <f t="shared" ca="1" si="10"/>
        <v>7.6E-3</v>
      </c>
      <c r="F35" s="30">
        <f t="shared" ca="1" si="10"/>
        <v>2.5999999999999999E-3</v>
      </c>
      <c r="G35" s="39">
        <f t="shared" ca="1" si="10"/>
        <v>-2.4000000000000002E-3</v>
      </c>
      <c r="H35" s="4"/>
      <c r="I35" s="26">
        <f t="shared" ca="1" si="11"/>
        <v>45590</v>
      </c>
      <c r="J35" s="43">
        <f t="shared" ca="1" si="12"/>
        <v>1.0085845832079052</v>
      </c>
      <c r="L35" s="26">
        <f t="shared" ca="1" si="13"/>
        <v>45590</v>
      </c>
      <c r="M35" s="43">
        <f t="shared" ca="1" si="14"/>
        <v>0.97329457522926854</v>
      </c>
      <c r="N35" s="64"/>
      <c r="O35" s="26">
        <f t="shared" ca="1" si="15"/>
        <v>45590</v>
      </c>
      <c r="P35" s="43">
        <f t="shared" ca="1" si="16"/>
        <v>0.99078247032137534</v>
      </c>
      <c r="Q35" s="64"/>
      <c r="R35" s="26">
        <f t="shared" ca="1" si="17"/>
        <v>45590</v>
      </c>
      <c r="S35" s="43">
        <f t="shared" ca="1" si="18"/>
        <v>1.0085845832079052</v>
      </c>
      <c r="U35" s="26">
        <f t="shared" ca="1" si="0"/>
        <v>45590</v>
      </c>
      <c r="V35" s="43">
        <f t="shared" ca="1" si="1"/>
        <v>1.0089551175903526</v>
      </c>
      <c r="X35" s="26">
        <f t="shared" ca="1" si="2"/>
        <v>45590</v>
      </c>
      <c r="Y35" s="43">
        <f t="shared" ca="1" si="3"/>
        <v>0.97364128983171017</v>
      </c>
      <c r="AA35" s="26">
        <f t="shared" ca="1" si="4"/>
        <v>45590</v>
      </c>
      <c r="AB35" s="43">
        <f t="shared" ca="1" si="5"/>
        <v>0.99113541459852039</v>
      </c>
      <c r="AD35" s="26">
        <f t="shared" ca="1" si="6"/>
        <v>45590</v>
      </c>
      <c r="AE35" s="43">
        <f t="shared" ca="1" si="7"/>
        <v>1.0089438690928729</v>
      </c>
    </row>
    <row r="36" spans="1:31" x14ac:dyDescent="0.3">
      <c r="A36" s="4">
        <f t="shared" ca="1" si="19"/>
        <v>28</v>
      </c>
      <c r="B36" s="26">
        <f t="shared" ca="1" si="8"/>
        <v>45640</v>
      </c>
      <c r="C36" s="67">
        <f t="shared" ca="1" si="9"/>
        <v>3.6986301369863015</v>
      </c>
      <c r="D36" s="30">
        <f t="shared" ca="1" si="20"/>
        <v>-2.3000000000000004E-3</v>
      </c>
      <c r="E36" s="30">
        <f t="shared" ca="1" si="10"/>
        <v>7.7000000000000002E-3</v>
      </c>
      <c r="F36" s="30">
        <f t="shared" ca="1" si="10"/>
        <v>2.6999999999999997E-3</v>
      </c>
      <c r="G36" s="39">
        <f t="shared" ca="1" si="10"/>
        <v>-2.3000000000000004E-3</v>
      </c>
      <c r="H36" s="4"/>
      <c r="I36" s="26">
        <f t="shared" ca="1" si="11"/>
        <v>45640</v>
      </c>
      <c r="J36" s="43">
        <f t="shared" ca="1" si="12"/>
        <v>1.0085431353780769</v>
      </c>
      <c r="L36" s="26">
        <f t="shared" ca="1" si="13"/>
        <v>45640</v>
      </c>
      <c r="M36" s="43">
        <f t="shared" ca="1" si="14"/>
        <v>0.97192226494640055</v>
      </c>
      <c r="N36" s="64"/>
      <c r="O36" s="26">
        <f t="shared" ca="1" si="15"/>
        <v>45640</v>
      </c>
      <c r="P36" s="43">
        <f t="shared" ca="1" si="16"/>
        <v>0.99006339616855088</v>
      </c>
      <c r="Q36" s="64"/>
      <c r="R36" s="26">
        <f t="shared" ca="1" si="17"/>
        <v>45640</v>
      </c>
      <c r="S36" s="43">
        <f t="shared" ca="1" si="18"/>
        <v>1.0085431353780769</v>
      </c>
      <c r="U36" s="26">
        <f t="shared" ca="1" si="0"/>
        <v>45640</v>
      </c>
      <c r="V36" s="43">
        <f t="shared" ca="1" si="1"/>
        <v>1.0089269914883658</v>
      </c>
      <c r="X36" s="26">
        <f t="shared" ca="1" si="2"/>
        <v>45640</v>
      </c>
      <c r="Y36" s="43">
        <f t="shared" ca="1" si="3"/>
        <v>0.97228180953141752</v>
      </c>
      <c r="AA36" s="26">
        <f t="shared" ca="1" si="4"/>
        <v>45640</v>
      </c>
      <c r="AB36" s="43">
        <f t="shared" ca="1" si="5"/>
        <v>0.99042965172802766</v>
      </c>
      <c r="AD36" s="26">
        <f t="shared" ca="1" si="6"/>
        <v>45640</v>
      </c>
      <c r="AE36" s="43">
        <f t="shared" ca="1" si="7"/>
        <v>1.0089162271737477</v>
      </c>
    </row>
    <row r="37" spans="1:31" x14ac:dyDescent="0.3">
      <c r="A37" s="4">
        <f t="shared" ca="1" si="19"/>
        <v>29</v>
      </c>
      <c r="B37" s="26">
        <f t="shared" ca="1" si="8"/>
        <v>45690</v>
      </c>
      <c r="C37" s="67">
        <f t="shared" ca="1" si="9"/>
        <v>3.8356164383561642</v>
      </c>
      <c r="D37" s="30">
        <f t="shared" ca="1" si="20"/>
        <v>-2.2000000000000006E-3</v>
      </c>
      <c r="E37" s="30">
        <f t="shared" ca="1" si="10"/>
        <v>7.7999999999999996E-3</v>
      </c>
      <c r="F37" s="30">
        <f t="shared" ca="1" si="10"/>
        <v>2.7999999999999995E-3</v>
      </c>
      <c r="G37" s="39">
        <f t="shared" ca="1" si="10"/>
        <v>-2.2000000000000006E-3</v>
      </c>
      <c r="H37" s="4"/>
      <c r="I37" s="26">
        <f t="shared" ca="1" si="11"/>
        <v>45690</v>
      </c>
      <c r="J37" s="43">
        <f t="shared" ca="1" si="12"/>
        <v>1.0084740594467745</v>
      </c>
      <c r="L37" s="26">
        <f t="shared" ca="1" si="13"/>
        <v>45690</v>
      </c>
      <c r="M37" s="43">
        <f t="shared" ca="1" si="14"/>
        <v>0.97052529947310795</v>
      </c>
      <c r="N37" s="64"/>
      <c r="O37" s="26">
        <f t="shared" ca="1" si="15"/>
        <v>45690</v>
      </c>
      <c r="P37" s="43">
        <f t="shared" ca="1" si="16"/>
        <v>0.98931773892690389</v>
      </c>
      <c r="Q37" s="64"/>
      <c r="R37" s="26">
        <f t="shared" ca="1" si="17"/>
        <v>45690</v>
      </c>
      <c r="S37" s="43">
        <f t="shared" ca="1" si="18"/>
        <v>1.0084740594467745</v>
      </c>
      <c r="U37" s="26">
        <f t="shared" ca="1" si="0"/>
        <v>45690</v>
      </c>
      <c r="V37" s="43">
        <f t="shared" ca="1" si="1"/>
        <v>1.0088711964819999</v>
      </c>
      <c r="X37" s="26">
        <f t="shared" ca="1" si="2"/>
        <v>45690</v>
      </c>
      <c r="Y37" s="43">
        <f t="shared" ca="1" si="3"/>
        <v>0.97089762715310168</v>
      </c>
      <c r="AA37" s="26">
        <f t="shared" ca="1" si="4"/>
        <v>45690</v>
      </c>
      <c r="AB37" s="43">
        <f t="shared" ca="1" si="5"/>
        <v>0.98969727604841051</v>
      </c>
      <c r="AD37" s="26">
        <f t="shared" ca="1" si="6"/>
        <v>45690</v>
      </c>
      <c r="AE37" s="43">
        <f t="shared" ca="1" si="7"/>
        <v>1.008860945607384</v>
      </c>
    </row>
    <row r="38" spans="1:31" x14ac:dyDescent="0.3">
      <c r="A38" s="4">
        <f t="shared" ca="1" si="19"/>
        <v>30</v>
      </c>
      <c r="B38" s="26">
        <f t="shared" ca="1" si="8"/>
        <v>45740</v>
      </c>
      <c r="C38" s="67">
        <f t="shared" ca="1" si="9"/>
        <v>3.9726027397260273</v>
      </c>
      <c r="D38" s="30">
        <f t="shared" ca="1" si="20"/>
        <v>-2.1000000000000007E-3</v>
      </c>
      <c r="E38" s="30">
        <f t="shared" ca="1" si="10"/>
        <v>7.899999999999999E-3</v>
      </c>
      <c r="F38" s="30">
        <f t="shared" ca="1" si="10"/>
        <v>2.8999999999999994E-3</v>
      </c>
      <c r="G38" s="39">
        <f t="shared" ca="1" si="10"/>
        <v>-2.1000000000000007E-3</v>
      </c>
      <c r="H38" s="4"/>
      <c r="I38" s="26">
        <f t="shared" ca="1" si="11"/>
        <v>45740</v>
      </c>
      <c r="J38" s="43">
        <f t="shared" ca="1" si="12"/>
        <v>1.0083773610910693</v>
      </c>
      <c r="L38" s="26">
        <f t="shared" ca="1" si="13"/>
        <v>45740</v>
      </c>
      <c r="M38" s="43">
        <f t="shared" ca="1" si="14"/>
        <v>0.96910379073683905</v>
      </c>
      <c r="N38" s="64"/>
      <c r="O38" s="26">
        <f t="shared" ca="1" si="15"/>
        <v>45740</v>
      </c>
      <c r="P38" s="43">
        <f t="shared" ca="1" si="16"/>
        <v>0.98854555945923184</v>
      </c>
      <c r="Q38" s="64"/>
      <c r="R38" s="26">
        <f t="shared" ca="1" si="17"/>
        <v>45740</v>
      </c>
      <c r="S38" s="43">
        <f t="shared" ca="1" si="18"/>
        <v>1.0083773610910693</v>
      </c>
      <c r="U38" s="26">
        <f t="shared" ca="1" si="0"/>
        <v>45740</v>
      </c>
      <c r="V38" s="43">
        <f t="shared" ca="1" si="1"/>
        <v>1.0087877413193265</v>
      </c>
      <c r="X38" s="26">
        <f t="shared" ca="1" si="2"/>
        <v>45740</v>
      </c>
      <c r="Y38" s="43">
        <f t="shared" ca="1" si="3"/>
        <v>0.96948885365429105</v>
      </c>
      <c r="AA38" s="26">
        <f t="shared" ca="1" si="4"/>
        <v>45740</v>
      </c>
      <c r="AB38" s="43">
        <f t="shared" ca="1" si="5"/>
        <v>0.9889383473533645</v>
      </c>
      <c r="AD38" s="26">
        <f t="shared" ca="1" si="6"/>
        <v>45740</v>
      </c>
      <c r="AE38" s="43">
        <f t="shared" ca="1" si="7"/>
        <v>1.0087780289372439</v>
      </c>
    </row>
    <row r="39" spans="1:31" x14ac:dyDescent="0.3">
      <c r="A39" s="4">
        <f t="shared" ca="1" si="19"/>
        <v>31</v>
      </c>
      <c r="B39" s="26">
        <f t="shared" ca="1" si="8"/>
        <v>45790</v>
      </c>
      <c r="C39" s="67">
        <f t="shared" ca="1" si="9"/>
        <v>4.1095890410958908</v>
      </c>
      <c r="D39" s="30">
        <f t="shared" ca="1" si="20"/>
        <v>-2.0000000000000009E-3</v>
      </c>
      <c r="E39" s="30">
        <f t="shared" ca="1" si="10"/>
        <v>8.0000000000000002E-3</v>
      </c>
      <c r="F39" s="30">
        <f t="shared" ca="1" si="10"/>
        <v>2.9999999999999992E-3</v>
      </c>
      <c r="G39" s="39">
        <f t="shared" ca="1" si="10"/>
        <v>-2.0000000000000009E-3</v>
      </c>
      <c r="H39" s="4"/>
      <c r="I39" s="26">
        <f t="shared" ca="1" si="11"/>
        <v>45790</v>
      </c>
      <c r="J39" s="43">
        <f t="shared" ca="1" si="12"/>
        <v>1.0082530482577738</v>
      </c>
      <c r="L39" s="26">
        <f t="shared" ca="1" si="13"/>
        <v>45790</v>
      </c>
      <c r="M39" s="43">
        <f t="shared" ca="1" si="14"/>
        <v>0.96765785251839442</v>
      </c>
      <c r="N39" s="64"/>
      <c r="O39" s="26">
        <f t="shared" ca="1" si="15"/>
        <v>45790</v>
      </c>
      <c r="P39" s="43">
        <f t="shared" ca="1" si="16"/>
        <v>0.98774692076069892</v>
      </c>
      <c r="Q39" s="64"/>
      <c r="R39" s="26">
        <f t="shared" ca="1" si="17"/>
        <v>45790</v>
      </c>
      <c r="S39" s="43">
        <f t="shared" ca="1" si="18"/>
        <v>1.0082530482577738</v>
      </c>
      <c r="U39" s="26">
        <f t="shared" ca="1" si="0"/>
        <v>45790</v>
      </c>
      <c r="V39" s="43">
        <f t="shared" ca="1" si="1"/>
        <v>1.0086766370212077</v>
      </c>
      <c r="X39" s="26">
        <f t="shared" ca="1" si="2"/>
        <v>45790</v>
      </c>
      <c r="Y39" s="43">
        <f t="shared" ca="1" si="3"/>
        <v>0.96805560185273576</v>
      </c>
      <c r="AA39" s="26">
        <f t="shared" ca="1" si="4"/>
        <v>45790</v>
      </c>
      <c r="AB39" s="43">
        <f t="shared" ca="1" si="5"/>
        <v>0.98815292757313555</v>
      </c>
      <c r="AD39" s="26">
        <f t="shared" ca="1" si="6"/>
        <v>45790</v>
      </c>
      <c r="AE39" s="43">
        <f t="shared" ca="1" si="7"/>
        <v>1.0086674839777428</v>
      </c>
    </row>
    <row r="40" spans="1:31" x14ac:dyDescent="0.3">
      <c r="A40" s="4">
        <f t="shared" ca="1" si="19"/>
        <v>32</v>
      </c>
      <c r="B40" s="26">
        <f t="shared" ca="1" si="8"/>
        <v>45840</v>
      </c>
      <c r="C40" s="67">
        <f t="shared" ca="1" si="9"/>
        <v>4.2465753424657535</v>
      </c>
      <c r="D40" s="30">
        <f t="shared" ca="1" si="20"/>
        <v>-1.9000000000000009E-3</v>
      </c>
      <c r="E40" s="30">
        <f t="shared" ca="1" si="10"/>
        <v>8.0999999999999996E-3</v>
      </c>
      <c r="F40" s="30">
        <f t="shared" ca="1" si="10"/>
        <v>3.0999999999999995E-3</v>
      </c>
      <c r="G40" s="39">
        <f t="shared" ca="1" si="10"/>
        <v>-1.9000000000000009E-3</v>
      </c>
      <c r="H40" s="4"/>
      <c r="I40" s="26">
        <f t="shared" ca="1" si="11"/>
        <v>45840</v>
      </c>
      <c r="J40" s="43">
        <f t="shared" ca="1" si="12"/>
        <v>1.0081011311623516</v>
      </c>
      <c r="L40" s="26">
        <f t="shared" ca="1" si="13"/>
        <v>45840</v>
      </c>
      <c r="M40" s="43">
        <f t="shared" ca="1" si="14"/>
        <v>0.96618760043675311</v>
      </c>
      <c r="N40" s="64"/>
      <c r="O40" s="26">
        <f t="shared" ca="1" si="15"/>
        <v>45840</v>
      </c>
      <c r="P40" s="43">
        <f t="shared" ca="1" si="16"/>
        <v>0.9869218879502718</v>
      </c>
      <c r="Q40" s="64"/>
      <c r="R40" s="26">
        <f t="shared" ca="1" si="17"/>
        <v>45840</v>
      </c>
      <c r="S40" s="43">
        <f t="shared" ca="1" si="18"/>
        <v>1.0081011311623516</v>
      </c>
      <c r="U40" s="26">
        <f t="shared" ca="1" si="0"/>
        <v>45840</v>
      </c>
      <c r="V40" s="43">
        <f t="shared" ca="1" si="1"/>
        <v>1.008537896879218</v>
      </c>
      <c r="X40" s="26">
        <f t="shared" ca="1" si="2"/>
        <v>45840</v>
      </c>
      <c r="Y40" s="43">
        <f t="shared" ca="1" si="3"/>
        <v>0.96659798641135497</v>
      </c>
      <c r="AA40" s="26">
        <f t="shared" ca="1" si="4"/>
        <v>45840</v>
      </c>
      <c r="AB40" s="43">
        <f t="shared" ca="1" si="5"/>
        <v>0.98734108076609695</v>
      </c>
      <c r="AD40" s="26">
        <f t="shared" ca="1" si="6"/>
        <v>45840</v>
      </c>
      <c r="AE40" s="43">
        <f t="shared" ca="1" si="7"/>
        <v>1.0085293198133156</v>
      </c>
    </row>
    <row r="41" spans="1:31" x14ac:dyDescent="0.3">
      <c r="A41" s="4">
        <f t="shared" ca="1" si="19"/>
        <v>33</v>
      </c>
      <c r="B41" s="26">
        <f t="shared" ca="1" si="8"/>
        <v>45890</v>
      </c>
      <c r="C41" s="67">
        <f t="shared" ca="1" si="9"/>
        <v>4.3835616438356162</v>
      </c>
      <c r="D41" s="30">
        <f t="shared" ca="1" si="20"/>
        <v>-1.8000000000000008E-3</v>
      </c>
      <c r="E41" s="30">
        <f t="shared" ca="1" si="10"/>
        <v>8.199999999999999E-3</v>
      </c>
      <c r="F41" s="30">
        <f t="shared" ca="1" si="10"/>
        <v>3.1999999999999993E-3</v>
      </c>
      <c r="G41" s="39">
        <f t="shared" ca="1" si="10"/>
        <v>-1.8000000000000008E-3</v>
      </c>
      <c r="H41" s="4"/>
      <c r="I41" s="26">
        <f t="shared" ca="1" si="11"/>
        <v>45890</v>
      </c>
      <c r="J41" s="43">
        <f t="shared" ca="1" si="12"/>
        <v>1.0079216222875187</v>
      </c>
      <c r="L41" s="26">
        <f t="shared" ca="1" si="13"/>
        <v>45890</v>
      </c>
      <c r="M41" s="43">
        <f t="shared" ca="1" si="14"/>
        <v>0.96469315193366922</v>
      </c>
      <c r="N41" s="64"/>
      <c r="O41" s="26">
        <f t="shared" ca="1" si="15"/>
        <v>45890</v>
      </c>
      <c r="P41" s="43">
        <f t="shared" ca="1" si="16"/>
        <v>0.98607052826187014</v>
      </c>
      <c r="Q41" s="64"/>
      <c r="R41" s="26">
        <f t="shared" ca="1" si="17"/>
        <v>45890</v>
      </c>
      <c r="S41" s="43">
        <f t="shared" ca="1" si="18"/>
        <v>1.0079216222875187</v>
      </c>
      <c r="U41" s="26">
        <f t="shared" ref="U41:U72" ca="1" si="21">I41</f>
        <v>45890</v>
      </c>
      <c r="V41" s="43">
        <f t="shared" ref="V41:V72" ca="1" si="22">1/(1+(D41+BumpSize*0.0001))^C41</f>
        <v>1.0083715364532526</v>
      </c>
      <c r="X41" s="26">
        <f t="shared" ref="X41:X72" ca="1" si="23">L41</f>
        <v>45890</v>
      </c>
      <c r="Y41" s="43">
        <f t="shared" ref="Y41:Y72" ca="1" si="24">EXP(-($E41+BumpSize*0.0001)*$C41)</f>
        <v>0.96511612382295231</v>
      </c>
      <c r="AA41" s="26">
        <f t="shared" ref="AA41:AA72" ca="1" si="25">O41</f>
        <v>45890</v>
      </c>
      <c r="AB41" s="43">
        <f t="shared" ref="AB41:AB72" ca="1" si="26">EXP(-($F41+BumpSize*0.0001)*$C41)</f>
        <v>0.98650287311004214</v>
      </c>
      <c r="AD41" s="26">
        <f t="shared" ref="AD41:AD72" ca="1" si="27">R41</f>
        <v>45890</v>
      </c>
      <c r="AE41" s="43">
        <f t="shared" ref="AE41:AE72" ca="1" si="28">EXP(-($G41+BumpSize*0.0001)*$C41)</f>
        <v>1.0083635477971731</v>
      </c>
    </row>
    <row r="42" spans="1:31" x14ac:dyDescent="0.3">
      <c r="A42" s="4">
        <f t="shared" ca="1" si="19"/>
        <v>34</v>
      </c>
      <c r="B42" s="26">
        <f t="shared" ca="1" si="8"/>
        <v>45940</v>
      </c>
      <c r="C42" s="67">
        <f t="shared" ref="C42:C73" ca="1" si="29">(B42-AsOfDate)/365</f>
        <v>4.5205479452054798</v>
      </c>
      <c r="D42" s="30">
        <f t="shared" ca="1" si="20"/>
        <v>-1.7000000000000008E-3</v>
      </c>
      <c r="E42" s="30">
        <f t="shared" ref="E42:G73" ca="1" si="30">$D42+E$7</f>
        <v>8.3000000000000001E-3</v>
      </c>
      <c r="F42" s="30">
        <f t="shared" ca="1" si="30"/>
        <v>3.2999999999999991E-3</v>
      </c>
      <c r="G42" s="39">
        <f t="shared" ca="1" si="30"/>
        <v>-1.7000000000000008E-3</v>
      </c>
      <c r="H42" s="4"/>
      <c r="I42" s="26">
        <f t="shared" ref="I42:I73" ca="1" si="31">I41+Periodicity</f>
        <v>45940</v>
      </c>
      <c r="J42" s="43">
        <f t="shared" ca="1" si="12"/>
        <v>1.0077145363815347</v>
      </c>
      <c r="L42" s="26">
        <f t="shared" ref="L42:L73" ca="1" si="32">L41+Periodicity</f>
        <v>45940</v>
      </c>
      <c r="M42" s="43">
        <f t="shared" ca="1" si="14"/>
        <v>0.96317462625804184</v>
      </c>
      <c r="N42" s="64"/>
      <c r="O42" s="26">
        <f t="shared" ref="O42:O73" ca="1" si="33">O41+Periodicity</f>
        <v>45940</v>
      </c>
      <c r="P42" s="43">
        <f t="shared" ca="1" si="16"/>
        <v>0.9851929110352351</v>
      </c>
      <c r="Q42" s="64"/>
      <c r="R42" s="26">
        <f t="shared" ref="R42:R73" ca="1" si="34">R41+Periodicity</f>
        <v>45940</v>
      </c>
      <c r="S42" s="43">
        <f t="shared" ca="1" si="18"/>
        <v>1.0077145363815347</v>
      </c>
      <c r="U42" s="26">
        <f t="shared" ca="1" si="21"/>
        <v>45940</v>
      </c>
      <c r="V42" s="43">
        <f t="shared" ca="1" si="22"/>
        <v>1.008177573568829</v>
      </c>
      <c r="X42" s="26">
        <f t="shared" ca="1" si="23"/>
        <v>45940</v>
      </c>
      <c r="Y42" s="43">
        <f t="shared" ca="1" si="24"/>
        <v>0.9636101323947045</v>
      </c>
      <c r="AA42" s="26">
        <f t="shared" ca="1" si="25"/>
        <v>45940</v>
      </c>
      <c r="AB42" s="43">
        <f t="shared" ca="1" si="26"/>
        <v>0.98563837289319456</v>
      </c>
      <c r="AD42" s="26">
        <f t="shared" ca="1" si="27"/>
        <v>45940</v>
      </c>
      <c r="AE42" s="43">
        <f t="shared" ca="1" si="28"/>
        <v>1.0081701815497461</v>
      </c>
    </row>
    <row r="43" spans="1:31" x14ac:dyDescent="0.3">
      <c r="A43" s="4">
        <f t="shared" ca="1" si="19"/>
        <v>35</v>
      </c>
      <c r="B43" s="26">
        <f t="shared" ca="1" si="8"/>
        <v>45990</v>
      </c>
      <c r="C43" s="67">
        <f t="shared" ca="1" si="29"/>
        <v>4.6575342465753424</v>
      </c>
      <c r="D43" s="30">
        <f t="shared" ca="1" si="20"/>
        <v>-1.6000000000000007E-3</v>
      </c>
      <c r="E43" s="30">
        <f t="shared" ca="1" si="30"/>
        <v>8.3999999999999995E-3</v>
      </c>
      <c r="F43" s="30">
        <f t="shared" ca="1" si="30"/>
        <v>3.3999999999999994E-3</v>
      </c>
      <c r="G43" s="39">
        <f t="shared" ca="1" si="30"/>
        <v>-1.6000000000000007E-3</v>
      </c>
      <c r="H43" s="4"/>
      <c r="I43" s="26">
        <f t="shared" ca="1" si="31"/>
        <v>45990</v>
      </c>
      <c r="J43" s="43">
        <f t="shared" ca="1" si="12"/>
        <v>1.0074798904561826</v>
      </c>
      <c r="L43" s="26">
        <f t="shared" ca="1" si="32"/>
        <v>45990</v>
      </c>
      <c r="M43" s="43">
        <f t="shared" ca="1" si="14"/>
        <v>0.96163214445006229</v>
      </c>
      <c r="N43" s="64"/>
      <c r="O43" s="26">
        <f t="shared" ca="1" si="33"/>
        <v>45990</v>
      </c>
      <c r="P43" s="43">
        <f t="shared" ca="1" si="16"/>
        <v>0.98428910770651767</v>
      </c>
      <c r="Q43" s="64"/>
      <c r="R43" s="26">
        <f t="shared" ca="1" si="34"/>
        <v>45990</v>
      </c>
      <c r="S43" s="43">
        <f t="shared" ca="1" si="18"/>
        <v>1.0074798904561826</v>
      </c>
      <c r="U43" s="26">
        <f t="shared" ca="1" si="21"/>
        <v>45990</v>
      </c>
      <c r="V43" s="43">
        <f t="shared" ca="1" si="22"/>
        <v>1.007956028314078</v>
      </c>
      <c r="X43" s="26">
        <f t="shared" ca="1" si="23"/>
        <v>45990</v>
      </c>
      <c r="Y43" s="43">
        <f t="shared" ca="1" si="24"/>
        <v>0.96208013223242428</v>
      </c>
      <c r="AA43" s="26">
        <f t="shared" ca="1" si="25"/>
        <v>45990</v>
      </c>
      <c r="AB43" s="43">
        <f t="shared" ca="1" si="26"/>
        <v>0.98474765050493529</v>
      </c>
      <c r="AD43" s="26">
        <f t="shared" ca="1" si="27"/>
        <v>45990</v>
      </c>
      <c r="AE43" s="43">
        <f t="shared" ca="1" si="28"/>
        <v>1.0079492369568217</v>
      </c>
    </row>
    <row r="44" spans="1:31" x14ac:dyDescent="0.3">
      <c r="A44" s="4">
        <f t="shared" ca="1" si="19"/>
        <v>36</v>
      </c>
      <c r="B44" s="26">
        <f t="shared" ca="1" si="8"/>
        <v>46040</v>
      </c>
      <c r="C44" s="67">
        <f t="shared" ca="1" si="29"/>
        <v>4.7945205479452051</v>
      </c>
      <c r="D44" s="30">
        <f t="shared" ca="1" si="20"/>
        <v>-1.5000000000000007E-3</v>
      </c>
      <c r="E44" s="30">
        <f t="shared" ca="1" si="30"/>
        <v>8.4999999999999989E-3</v>
      </c>
      <c r="F44" s="30">
        <f t="shared" ca="1" si="30"/>
        <v>3.4999999999999996E-3</v>
      </c>
      <c r="G44" s="39">
        <f t="shared" ca="1" si="30"/>
        <v>-1.5000000000000007E-3</v>
      </c>
      <c r="H44" s="4"/>
      <c r="I44" s="26">
        <f t="shared" ca="1" si="31"/>
        <v>46040</v>
      </c>
      <c r="J44" s="43">
        <f t="shared" ca="1" si="12"/>
        <v>1.0072177037844396</v>
      </c>
      <c r="L44" s="26">
        <f t="shared" ca="1" si="32"/>
        <v>46040</v>
      </c>
      <c r="M44" s="43">
        <f t="shared" ca="1" si="14"/>
        <v>0.96006582932514017</v>
      </c>
      <c r="N44" s="64"/>
      <c r="O44" s="26">
        <f t="shared" ca="1" si="33"/>
        <v>46040</v>
      </c>
      <c r="P44" s="43">
        <f t="shared" ca="1" si="16"/>
        <v>0.98335919179858755</v>
      </c>
      <c r="Q44" s="64"/>
      <c r="R44" s="26">
        <f t="shared" ca="1" si="34"/>
        <v>46040</v>
      </c>
      <c r="S44" s="43">
        <f t="shared" ca="1" si="18"/>
        <v>1.0072177037844396</v>
      </c>
      <c r="U44" s="26">
        <f t="shared" ca="1" si="21"/>
        <v>46040</v>
      </c>
      <c r="V44" s="43">
        <f t="shared" ca="1" si="22"/>
        <v>1.0077069230364277</v>
      </c>
      <c r="X44" s="26">
        <f t="shared" ca="1" si="23"/>
        <v>46040</v>
      </c>
      <c r="Y44" s="43">
        <f t="shared" ca="1" si="24"/>
        <v>0.96052624522460284</v>
      </c>
      <c r="AA44" s="26">
        <f t="shared" ca="1" si="25"/>
        <v>46040</v>
      </c>
      <c r="AB44" s="43">
        <f t="shared" ca="1" si="26"/>
        <v>0.98383077842625155</v>
      </c>
      <c r="AD44" s="26">
        <f t="shared" ca="1" si="27"/>
        <v>46040</v>
      </c>
      <c r="AE44" s="43">
        <f t="shared" ca="1" si="28"/>
        <v>1.0077007321673668</v>
      </c>
    </row>
    <row r="45" spans="1:31" x14ac:dyDescent="0.3">
      <c r="A45" s="4">
        <f t="shared" ca="1" si="19"/>
        <v>37</v>
      </c>
      <c r="B45" s="26">
        <f t="shared" ca="1" si="8"/>
        <v>46090</v>
      </c>
      <c r="C45" s="67">
        <f t="shared" ca="1" si="29"/>
        <v>4.9315068493150687</v>
      </c>
      <c r="D45" s="30">
        <f t="shared" ca="1" si="20"/>
        <v>-1.4000000000000006E-3</v>
      </c>
      <c r="E45" s="30">
        <f t="shared" ca="1" si="30"/>
        <v>8.6E-3</v>
      </c>
      <c r="F45" s="30">
        <f t="shared" ca="1" si="30"/>
        <v>3.5999999999999995E-3</v>
      </c>
      <c r="G45" s="39">
        <f t="shared" ca="1" si="30"/>
        <v>-1.4000000000000006E-3</v>
      </c>
      <c r="H45" s="4"/>
      <c r="I45" s="26">
        <f t="shared" ca="1" si="31"/>
        <v>46090</v>
      </c>
      <c r="J45" s="43">
        <f t="shared" ca="1" si="12"/>
        <v>1.0069279978978394</v>
      </c>
      <c r="L45" s="26">
        <f t="shared" ca="1" si="32"/>
        <v>46090</v>
      </c>
      <c r="M45" s="43">
        <f t="shared" ca="1" si="14"/>
        <v>0.95847580545761224</v>
      </c>
      <c r="N45" s="64"/>
      <c r="O45" s="26">
        <f t="shared" ca="1" si="33"/>
        <v>46090</v>
      </c>
      <c r="P45" s="43">
        <f t="shared" ca="1" si="16"/>
        <v>0.98240323891106562</v>
      </c>
      <c r="Q45" s="64"/>
      <c r="R45" s="26">
        <f t="shared" ca="1" si="34"/>
        <v>46090</v>
      </c>
      <c r="S45" s="43">
        <f t="shared" ca="1" si="18"/>
        <v>1.0069279978978394</v>
      </c>
      <c r="U45" s="26">
        <f t="shared" ca="1" si="21"/>
        <v>46090</v>
      </c>
      <c r="V45" s="43">
        <f t="shared" ca="1" si="22"/>
        <v>1.0074302823389769</v>
      </c>
      <c r="X45" s="26">
        <f t="shared" ca="1" si="23"/>
        <v>46090</v>
      </c>
      <c r="Y45" s="43">
        <f t="shared" ca="1" si="24"/>
        <v>0.95894859502623186</v>
      </c>
      <c r="AA45" s="26">
        <f t="shared" ca="1" si="25"/>
        <v>46090</v>
      </c>
      <c r="AB45" s="43">
        <f t="shared" ca="1" si="26"/>
        <v>0.98288783121990708</v>
      </c>
      <c r="AD45" s="26">
        <f t="shared" ca="1" si="27"/>
        <v>46090</v>
      </c>
      <c r="AE45" s="43">
        <f t="shared" ca="1" si="28"/>
        <v>1.0074246875910444</v>
      </c>
    </row>
    <row r="46" spans="1:31" x14ac:dyDescent="0.3">
      <c r="A46" s="4">
        <f t="shared" ca="1" si="19"/>
        <v>38</v>
      </c>
      <c r="B46" s="26">
        <f t="shared" ca="1" si="8"/>
        <v>46140</v>
      </c>
      <c r="C46" s="67">
        <f t="shared" ca="1" si="29"/>
        <v>5.0684931506849313</v>
      </c>
      <c r="D46" s="30">
        <f t="shared" ca="1" si="20"/>
        <v>-1.3000000000000006E-3</v>
      </c>
      <c r="E46" s="30">
        <f t="shared" ca="1" si="30"/>
        <v>8.6999999999999994E-3</v>
      </c>
      <c r="F46" s="30">
        <f t="shared" ca="1" si="30"/>
        <v>3.6999999999999993E-3</v>
      </c>
      <c r="G46" s="39">
        <f t="shared" ca="1" si="30"/>
        <v>-1.3000000000000006E-3</v>
      </c>
      <c r="H46" s="4"/>
      <c r="I46" s="26">
        <f t="shared" ca="1" si="31"/>
        <v>46140</v>
      </c>
      <c r="J46" s="43">
        <f t="shared" ca="1" si="12"/>
        <v>1.0066107965835245</v>
      </c>
      <c r="L46" s="26">
        <f t="shared" ca="1" si="32"/>
        <v>46140</v>
      </c>
      <c r="M46" s="43">
        <f t="shared" ca="1" si="14"/>
        <v>0.95686219916423709</v>
      </c>
      <c r="N46" s="64"/>
      <c r="O46" s="26">
        <f t="shared" ca="1" si="33"/>
        <v>46140</v>
      </c>
      <c r="P46" s="43">
        <f t="shared" ca="1" si="16"/>
        <v>0.98142132671008109</v>
      </c>
      <c r="Q46" s="64"/>
      <c r="R46" s="26">
        <f t="shared" ca="1" si="34"/>
        <v>46140</v>
      </c>
      <c r="S46" s="43">
        <f t="shared" ca="1" si="18"/>
        <v>1.0066107965835245</v>
      </c>
      <c r="U46" s="26">
        <f t="shared" ca="1" si="21"/>
        <v>46140</v>
      </c>
      <c r="V46" s="43">
        <f t="shared" ca="1" si="22"/>
        <v>1.0071261330765675</v>
      </c>
      <c r="X46" s="26">
        <f t="shared" ca="1" si="23"/>
        <v>46140</v>
      </c>
      <c r="Y46" s="43">
        <f t="shared" ca="1" si="24"/>
        <v>0.95734730704241111</v>
      </c>
      <c r="AA46" s="26">
        <f t="shared" ca="1" si="25"/>
        <v>46140</v>
      </c>
      <c r="AB46" s="43">
        <f t="shared" ca="1" si="26"/>
        <v>0.98191888552033701</v>
      </c>
      <c r="AD46" s="26">
        <f t="shared" ca="1" si="27"/>
        <v>46140</v>
      </c>
      <c r="AE46" s="43">
        <f t="shared" ca="1" si="28"/>
        <v>1.0071211258954194</v>
      </c>
    </row>
    <row r="47" spans="1:31" x14ac:dyDescent="0.3">
      <c r="A47" s="4">
        <f t="shared" ca="1" si="19"/>
        <v>39</v>
      </c>
      <c r="B47" s="26">
        <f t="shared" ca="1" si="8"/>
        <v>46190</v>
      </c>
      <c r="C47" s="67">
        <f t="shared" ca="1" si="29"/>
        <v>5.2054794520547949</v>
      </c>
      <c r="D47" s="30">
        <f t="shared" ca="1" si="20"/>
        <v>-1.2000000000000005E-3</v>
      </c>
      <c r="E47" s="30">
        <f t="shared" ca="1" si="30"/>
        <v>8.7999999999999988E-3</v>
      </c>
      <c r="F47" s="30">
        <f t="shared" ca="1" si="30"/>
        <v>3.7999999999999996E-3</v>
      </c>
      <c r="G47" s="39">
        <f t="shared" ca="1" si="30"/>
        <v>-1.2000000000000005E-3</v>
      </c>
      <c r="H47" s="4"/>
      <c r="I47" s="26">
        <f t="shared" ca="1" si="31"/>
        <v>46190</v>
      </c>
      <c r="J47" s="43">
        <f t="shared" ca="1" si="12"/>
        <v>1.0062661258809917</v>
      </c>
      <c r="L47" s="26">
        <f t="shared" ca="1" si="32"/>
        <v>46190</v>
      </c>
      <c r="M47" s="43">
        <f t="shared" ca="1" si="14"/>
        <v>0.95522513848747848</v>
      </c>
      <c r="N47" s="64"/>
      <c r="O47" s="26">
        <f t="shared" ca="1" si="33"/>
        <v>46190</v>
      </c>
      <c r="P47" s="43">
        <f t="shared" ca="1" si="16"/>
        <v>0.9804135349177554</v>
      </c>
      <c r="Q47" s="64"/>
      <c r="R47" s="26">
        <f t="shared" ca="1" si="34"/>
        <v>46190</v>
      </c>
      <c r="S47" s="43">
        <f t="shared" ca="1" si="18"/>
        <v>1.0062661258809917</v>
      </c>
      <c r="U47" s="26">
        <f t="shared" ca="1" si="21"/>
        <v>46190</v>
      </c>
      <c r="V47" s="43">
        <f t="shared" ca="1" si="22"/>
        <v>1.0067945043515418</v>
      </c>
      <c r="X47" s="26">
        <f t="shared" ca="1" si="23"/>
        <v>46190</v>
      </c>
      <c r="Y47" s="43">
        <f t="shared" ca="1" si="24"/>
        <v>0.95572250841174178</v>
      </c>
      <c r="AA47" s="26">
        <f t="shared" ca="1" si="25"/>
        <v>46190</v>
      </c>
      <c r="AB47" s="43">
        <f t="shared" ca="1" si="26"/>
        <v>0.98092402002326762</v>
      </c>
      <c r="AD47" s="26">
        <f t="shared" ca="1" si="27"/>
        <v>46190</v>
      </c>
      <c r="AE47" s="43">
        <f t="shared" ca="1" si="28"/>
        <v>1.0067900720028564</v>
      </c>
    </row>
    <row r="48" spans="1:31" x14ac:dyDescent="0.3">
      <c r="A48" s="4">
        <f t="shared" ca="1" si="19"/>
        <v>40</v>
      </c>
      <c r="B48" s="26">
        <f t="shared" ca="1" si="8"/>
        <v>46240</v>
      </c>
      <c r="C48" s="67">
        <f t="shared" ca="1" si="29"/>
        <v>5.3424657534246576</v>
      </c>
      <c r="D48" s="30">
        <f t="shared" ca="1" si="20"/>
        <v>-1.1000000000000005E-3</v>
      </c>
      <c r="E48" s="30">
        <f t="shared" ca="1" si="30"/>
        <v>8.8999999999999999E-3</v>
      </c>
      <c r="F48" s="30">
        <f t="shared" ca="1" si="30"/>
        <v>3.8999999999999998E-3</v>
      </c>
      <c r="G48" s="39">
        <f t="shared" ca="1" si="30"/>
        <v>-1.1000000000000005E-3</v>
      </c>
      <c r="H48" s="4"/>
      <c r="I48" s="26">
        <f t="shared" ca="1" si="31"/>
        <v>46240</v>
      </c>
      <c r="J48" s="43">
        <f t="shared" ca="1" si="12"/>
        <v>1.0058940140785289</v>
      </c>
      <c r="L48" s="26">
        <f t="shared" ca="1" si="32"/>
        <v>46240</v>
      </c>
      <c r="M48" s="43">
        <f t="shared" ca="1" si="14"/>
        <v>0.95356475317857969</v>
      </c>
      <c r="N48" s="64"/>
      <c r="O48" s="26">
        <f t="shared" ca="1" si="33"/>
        <v>46240</v>
      </c>
      <c r="P48" s="43">
        <f t="shared" ca="1" si="16"/>
        <v>0.97937994530141526</v>
      </c>
      <c r="Q48" s="64"/>
      <c r="R48" s="26">
        <f t="shared" ca="1" si="34"/>
        <v>46240</v>
      </c>
      <c r="S48" s="43">
        <f t="shared" ca="1" si="18"/>
        <v>1.0058940140785289</v>
      </c>
      <c r="U48" s="26">
        <f t="shared" ca="1" si="21"/>
        <v>46240</v>
      </c>
      <c r="V48" s="43">
        <f t="shared" ca="1" si="22"/>
        <v>1.0064354275092051</v>
      </c>
      <c r="X48" s="26">
        <f t="shared" ca="1" si="23"/>
        <v>46240</v>
      </c>
      <c r="Y48" s="43">
        <f t="shared" ca="1" si="24"/>
        <v>0.9540743279895112</v>
      </c>
      <c r="AA48" s="26">
        <f t="shared" ca="1" si="25"/>
        <v>46240</v>
      </c>
      <c r="AB48" s="43">
        <f t="shared" ca="1" si="26"/>
        <v>0.97990331547506471</v>
      </c>
      <c r="AD48" s="26">
        <f t="shared" ca="1" si="27"/>
        <v>46240</v>
      </c>
      <c r="AE48" s="43">
        <f t="shared" ca="1" si="28"/>
        <v>1.0064315530871097</v>
      </c>
    </row>
    <row r="49" spans="1:31" x14ac:dyDescent="0.3">
      <c r="A49" s="4">
        <f t="shared" ca="1" si="19"/>
        <v>41</v>
      </c>
      <c r="B49" s="26">
        <f t="shared" ca="1" si="8"/>
        <v>46290</v>
      </c>
      <c r="C49" s="67">
        <f t="shared" ca="1" si="29"/>
        <v>5.4794520547945202</v>
      </c>
      <c r="D49" s="30">
        <f t="shared" ca="1" si="20"/>
        <v>-1.0000000000000005E-3</v>
      </c>
      <c r="E49" s="30">
        <f t="shared" ca="1" si="30"/>
        <v>8.9999999999999993E-3</v>
      </c>
      <c r="F49" s="30">
        <f t="shared" ca="1" si="30"/>
        <v>4.0000000000000001E-3</v>
      </c>
      <c r="G49" s="39">
        <f t="shared" ca="1" si="30"/>
        <v>-1.0000000000000005E-3</v>
      </c>
      <c r="H49" s="4"/>
      <c r="I49" s="26">
        <f t="shared" ca="1" si="31"/>
        <v>46290</v>
      </c>
      <c r="J49" s="43">
        <f t="shared" ca="1" si="12"/>
        <v>1.0054944917093458</v>
      </c>
      <c r="L49" s="26">
        <f t="shared" ca="1" si="32"/>
        <v>46290</v>
      </c>
      <c r="M49" s="43">
        <f t="shared" ca="1" si="14"/>
        <v>0.95188117468043332</v>
      </c>
      <c r="N49" s="64"/>
      <c r="O49" s="26">
        <f t="shared" ca="1" si="33"/>
        <v>46290</v>
      </c>
      <c r="P49" s="43">
        <f t="shared" ca="1" si="16"/>
        <v>0.97832064166253663</v>
      </c>
      <c r="Q49" s="64"/>
      <c r="R49" s="26">
        <f t="shared" ca="1" si="34"/>
        <v>46290</v>
      </c>
      <c r="S49" s="43">
        <f t="shared" ca="1" si="18"/>
        <v>1.0054944917093458</v>
      </c>
      <c r="U49" s="26">
        <f t="shared" ca="1" si="21"/>
        <v>46290</v>
      </c>
      <c r="V49" s="43">
        <f t="shared" ca="1" si="22"/>
        <v>1.0060489361329754</v>
      </c>
      <c r="X49" s="26">
        <f t="shared" ca="1" si="23"/>
        <v>46290</v>
      </c>
      <c r="Y49" s="43">
        <f t="shared" ca="1" si="24"/>
        <v>0.95240289633067043</v>
      </c>
      <c r="AA49" s="26">
        <f t="shared" ca="1" si="25"/>
        <v>46290</v>
      </c>
      <c r="AB49" s="43">
        <f t="shared" ca="1" si="26"/>
        <v>0.97885685466181194</v>
      </c>
      <c r="AD49" s="26">
        <f t="shared" ca="1" si="27"/>
        <v>46290</v>
      </c>
      <c r="AE49" s="43">
        <f t="shared" ca="1" si="28"/>
        <v>1.006045598569606</v>
      </c>
    </row>
    <row r="50" spans="1:31" x14ac:dyDescent="0.3">
      <c r="A50" s="4">
        <f t="shared" ca="1" si="19"/>
        <v>42</v>
      </c>
      <c r="B50" s="26">
        <f t="shared" ca="1" si="8"/>
        <v>46340</v>
      </c>
      <c r="C50" s="67">
        <f t="shared" ca="1" si="29"/>
        <v>5.6164383561643838</v>
      </c>
      <c r="D50" s="30">
        <f t="shared" ca="1" si="20"/>
        <v>-9.0000000000000041E-4</v>
      </c>
      <c r="E50" s="30">
        <f t="shared" ca="1" si="30"/>
        <v>9.1000000000000004E-3</v>
      </c>
      <c r="F50" s="30">
        <f t="shared" ca="1" si="30"/>
        <v>4.0999999999999995E-3</v>
      </c>
      <c r="G50" s="39">
        <f t="shared" ca="1" si="30"/>
        <v>-9.0000000000000041E-4</v>
      </c>
      <c r="H50" s="4"/>
      <c r="I50" s="26">
        <f t="shared" ca="1" si="31"/>
        <v>46340</v>
      </c>
      <c r="J50" s="43">
        <f t="shared" ca="1" si="12"/>
        <v>1.0050675915473983</v>
      </c>
      <c r="L50" s="26">
        <f t="shared" ca="1" si="32"/>
        <v>46340</v>
      </c>
      <c r="M50" s="43">
        <f t="shared" ca="1" si="14"/>
        <v>0.95017453611024938</v>
      </c>
      <c r="N50" s="64"/>
      <c r="O50" s="26">
        <f t="shared" ca="1" si="33"/>
        <v>46340</v>
      </c>
      <c r="P50" s="43">
        <f t="shared" ca="1" si="16"/>
        <v>0.97723570982542118</v>
      </c>
      <c r="Q50" s="64"/>
      <c r="R50" s="26">
        <f t="shared" ca="1" si="34"/>
        <v>46340</v>
      </c>
      <c r="S50" s="43">
        <f t="shared" ca="1" si="18"/>
        <v>1.0050675915473983</v>
      </c>
      <c r="U50" s="26">
        <f t="shared" ca="1" si="21"/>
        <v>46340</v>
      </c>
      <c r="V50" s="43">
        <f t="shared" ca="1" si="22"/>
        <v>1.0056350660392368</v>
      </c>
      <c r="X50" s="26">
        <f t="shared" ca="1" si="23"/>
        <v>46340</v>
      </c>
      <c r="Y50" s="43">
        <f t="shared" ca="1" si="24"/>
        <v>0.9507083456726082</v>
      </c>
      <c r="AA50" s="26">
        <f t="shared" ca="1" si="25"/>
        <v>46340</v>
      </c>
      <c r="AB50" s="43">
        <f t="shared" ca="1" si="26"/>
        <v>0.97778472239812064</v>
      </c>
      <c r="AD50" s="26">
        <f t="shared" ca="1" si="27"/>
        <v>46340</v>
      </c>
      <c r="AE50" s="43">
        <f t="shared" ca="1" si="28"/>
        <v>1.0056322401154199</v>
      </c>
    </row>
    <row r="51" spans="1:31" x14ac:dyDescent="0.3">
      <c r="A51" s="4">
        <f t="shared" ca="1" si="19"/>
        <v>43</v>
      </c>
      <c r="B51" s="26">
        <f t="shared" ca="1" si="8"/>
        <v>46390</v>
      </c>
      <c r="C51" s="67">
        <f t="shared" ca="1" si="29"/>
        <v>5.7534246575342465</v>
      </c>
      <c r="D51" s="30">
        <f t="shared" ca="1" si="20"/>
        <v>-8.0000000000000036E-4</v>
      </c>
      <c r="E51" s="30">
        <f t="shared" ca="1" si="30"/>
        <v>9.1999999999999998E-3</v>
      </c>
      <c r="F51" s="30">
        <f t="shared" ca="1" si="30"/>
        <v>4.1999999999999997E-3</v>
      </c>
      <c r="G51" s="39">
        <f t="shared" ca="1" si="30"/>
        <v>-8.0000000000000036E-4</v>
      </c>
      <c r="H51" s="4"/>
      <c r="I51" s="26">
        <f t="shared" ca="1" si="31"/>
        <v>46390</v>
      </c>
      <c r="J51" s="43">
        <f t="shared" ca="1" si="12"/>
        <v>1.0046133486029083</v>
      </c>
      <c r="L51" s="26">
        <f t="shared" ca="1" si="32"/>
        <v>46390</v>
      </c>
      <c r="M51" s="43">
        <f t="shared" ca="1" si="14"/>
        <v>0.94844497224202362</v>
      </c>
      <c r="N51" s="64"/>
      <c r="O51" s="26">
        <f t="shared" ca="1" si="33"/>
        <v>46390</v>
      </c>
      <c r="P51" s="43">
        <f t="shared" ca="1" si="16"/>
        <v>0.97612523762560899</v>
      </c>
      <c r="Q51" s="64"/>
      <c r="R51" s="26">
        <f t="shared" ca="1" si="34"/>
        <v>46390</v>
      </c>
      <c r="S51" s="43">
        <f t="shared" ca="1" si="18"/>
        <v>1.0046133486029083</v>
      </c>
      <c r="U51" s="26">
        <f t="shared" ca="1" si="21"/>
        <v>46390</v>
      </c>
      <c r="V51" s="43">
        <f t="shared" ca="1" si="22"/>
        <v>1.0051938552718855</v>
      </c>
      <c r="X51" s="26">
        <f t="shared" ca="1" si="23"/>
        <v>46390</v>
      </c>
      <c r="Y51" s="43">
        <f t="shared" ca="1" si="24"/>
        <v>0.948990809917725</v>
      </c>
      <c r="AA51" s="26">
        <f t="shared" ca="1" si="25"/>
        <v>46390</v>
      </c>
      <c r="AB51" s="43">
        <f t="shared" ca="1" si="26"/>
        <v>0.97668700551567389</v>
      </c>
      <c r="AD51" s="26">
        <f t="shared" ca="1" si="27"/>
        <v>46390</v>
      </c>
      <c r="AE51" s="43">
        <f t="shared" ca="1" si="28"/>
        <v>1.005191511628944</v>
      </c>
    </row>
    <row r="52" spans="1:31" x14ac:dyDescent="0.3">
      <c r="A52" s="4">
        <f t="shared" ca="1" si="19"/>
        <v>44</v>
      </c>
      <c r="B52" s="26">
        <f t="shared" ca="1" si="8"/>
        <v>46440</v>
      </c>
      <c r="C52" s="67">
        <f t="shared" ca="1" si="29"/>
        <v>5.8904109589041092</v>
      </c>
      <c r="D52" s="30">
        <f t="shared" ca="1" si="20"/>
        <v>-7.0000000000000032E-4</v>
      </c>
      <c r="E52" s="30">
        <f t="shared" ca="1" si="30"/>
        <v>9.2999999999999992E-3</v>
      </c>
      <c r="F52" s="30">
        <f t="shared" ca="1" si="30"/>
        <v>4.3E-3</v>
      </c>
      <c r="G52" s="39">
        <f t="shared" ca="1" si="30"/>
        <v>-7.0000000000000032E-4</v>
      </c>
      <c r="H52" s="4"/>
      <c r="I52" s="26">
        <f t="shared" ca="1" si="31"/>
        <v>46440</v>
      </c>
      <c r="J52" s="43">
        <f t="shared" ca="1" si="12"/>
        <v>1.0041318001175765</v>
      </c>
      <c r="L52" s="26">
        <f t="shared" ca="1" si="32"/>
        <v>46440</v>
      </c>
      <c r="M52" s="43">
        <f t="shared" ca="1" si="14"/>
        <v>0.94669261948881134</v>
      </c>
      <c r="N52" s="64"/>
      <c r="O52" s="26">
        <f t="shared" ca="1" si="33"/>
        <v>46440</v>
      </c>
      <c r="P52" s="43">
        <f t="shared" ca="1" si="16"/>
        <v>0.97498931489802698</v>
      </c>
      <c r="Q52" s="64"/>
      <c r="R52" s="26">
        <f t="shared" ca="1" si="34"/>
        <v>46440</v>
      </c>
      <c r="S52" s="43">
        <f t="shared" ca="1" si="18"/>
        <v>1.0041318001175765</v>
      </c>
      <c r="U52" s="26">
        <f t="shared" ca="1" si="21"/>
        <v>46440</v>
      </c>
      <c r="V52" s="43">
        <f t="shared" ca="1" si="22"/>
        <v>1.0047253440965793</v>
      </c>
      <c r="X52" s="26">
        <f t="shared" ca="1" si="23"/>
        <v>46440</v>
      </c>
      <c r="Y52" s="43">
        <f t="shared" ca="1" si="24"/>
        <v>0.94725042461580966</v>
      </c>
      <c r="AA52" s="26">
        <f t="shared" ca="1" si="25"/>
        <v>46440</v>
      </c>
      <c r="AB52" s="43">
        <f t="shared" ca="1" si="26"/>
        <v>0.97556379285150707</v>
      </c>
      <c r="AD52" s="26">
        <f t="shared" ca="1" si="27"/>
        <v>46440</v>
      </c>
      <c r="AE52" s="43">
        <f t="shared" ca="1" si="28"/>
        <v>1.0047234492492556</v>
      </c>
    </row>
    <row r="53" spans="1:31" x14ac:dyDescent="0.3">
      <c r="A53" s="4">
        <f t="shared" ca="1" si="19"/>
        <v>45</v>
      </c>
      <c r="B53" s="26">
        <f t="shared" ca="1" si="8"/>
        <v>46490</v>
      </c>
      <c r="C53" s="67">
        <f t="shared" ca="1" si="29"/>
        <v>6.0273972602739727</v>
      </c>
      <c r="D53" s="30">
        <f t="shared" ca="1" si="20"/>
        <v>-6.0000000000000027E-4</v>
      </c>
      <c r="E53" s="30">
        <f t="shared" ca="1" si="30"/>
        <v>9.4000000000000004E-3</v>
      </c>
      <c r="F53" s="30">
        <f t="shared" ca="1" si="30"/>
        <v>4.3999999999999994E-3</v>
      </c>
      <c r="G53" s="39">
        <f t="shared" ca="1" si="30"/>
        <v>-6.0000000000000027E-4</v>
      </c>
      <c r="H53" s="4"/>
      <c r="I53" s="26">
        <f t="shared" ca="1" si="31"/>
        <v>46490</v>
      </c>
      <c r="J53" s="43">
        <f t="shared" ca="1" si="12"/>
        <v>1.0036229855594963</v>
      </c>
      <c r="L53" s="26">
        <f t="shared" ca="1" si="32"/>
        <v>46490</v>
      </c>
      <c r="M53" s="43">
        <f t="shared" ca="1" si="14"/>
        <v>0.94491761588480827</v>
      </c>
      <c r="N53" s="64"/>
      <c r="O53" s="26">
        <f t="shared" ca="1" si="33"/>
        <v>46490</v>
      </c>
      <c r="P53" s="43">
        <f t="shared" ca="1" si="16"/>
        <v>0.97382803346487856</v>
      </c>
      <c r="Q53" s="64"/>
      <c r="R53" s="26">
        <f t="shared" ca="1" si="34"/>
        <v>46490</v>
      </c>
      <c r="S53" s="43">
        <f t="shared" ca="1" si="18"/>
        <v>1.0036229855594963</v>
      </c>
      <c r="U53" s="26">
        <f t="shared" ca="1" si="21"/>
        <v>46490</v>
      </c>
      <c r="V53" s="43">
        <f t="shared" ca="1" si="22"/>
        <v>1.0042295749946848</v>
      </c>
      <c r="X53" s="26">
        <f t="shared" ca="1" si="23"/>
        <v>46490</v>
      </c>
      <c r="Y53" s="43">
        <f t="shared" ca="1" si="24"/>
        <v>0.94548732694622195</v>
      </c>
      <c r="AA53" s="26">
        <f t="shared" ca="1" si="25"/>
        <v>46490</v>
      </c>
      <c r="AB53" s="43">
        <f t="shared" ca="1" si="26"/>
        <v>0.97441517523602661</v>
      </c>
      <c r="AD53" s="26">
        <f t="shared" ca="1" si="27"/>
        <v>46490</v>
      </c>
      <c r="AE53" s="43">
        <f t="shared" ca="1" si="28"/>
        <v>1.0042280913451755</v>
      </c>
    </row>
    <row r="54" spans="1:31" x14ac:dyDescent="0.3">
      <c r="A54" s="4">
        <f t="shared" ca="1" si="19"/>
        <v>46</v>
      </c>
      <c r="B54" s="26">
        <f t="shared" ca="1" si="8"/>
        <v>46540</v>
      </c>
      <c r="C54" s="67">
        <f t="shared" ca="1" si="29"/>
        <v>6.1643835616438354</v>
      </c>
      <c r="D54" s="30">
        <f t="shared" ca="1" si="20"/>
        <v>-5.0000000000000023E-4</v>
      </c>
      <c r="E54" s="30">
        <f t="shared" ca="1" si="30"/>
        <v>9.4999999999999998E-3</v>
      </c>
      <c r="F54" s="30">
        <f t="shared" ca="1" si="30"/>
        <v>4.4999999999999997E-3</v>
      </c>
      <c r="G54" s="39">
        <f t="shared" ca="1" si="30"/>
        <v>-5.0000000000000023E-4</v>
      </c>
      <c r="H54" s="4"/>
      <c r="I54" s="26">
        <f t="shared" ca="1" si="31"/>
        <v>46540</v>
      </c>
      <c r="J54" s="43">
        <f t="shared" ca="1" si="12"/>
        <v>1.0030869466177603</v>
      </c>
      <c r="L54" s="26">
        <f t="shared" ca="1" si="32"/>
        <v>46540</v>
      </c>
      <c r="M54" s="43">
        <f t="shared" ca="1" si="14"/>
        <v>0.94312010106724253</v>
      </c>
      <c r="N54" s="64"/>
      <c r="O54" s="26">
        <f t="shared" ca="1" si="33"/>
        <v>46540</v>
      </c>
      <c r="P54" s="43">
        <f t="shared" ca="1" si="16"/>
        <v>0.97264148712327392</v>
      </c>
      <c r="Q54" s="64"/>
      <c r="R54" s="26">
        <f t="shared" ca="1" si="34"/>
        <v>46540</v>
      </c>
      <c r="S54" s="43">
        <f t="shared" ca="1" si="18"/>
        <v>1.0030869466177603</v>
      </c>
      <c r="U54" s="26">
        <f t="shared" ca="1" si="21"/>
        <v>46540</v>
      </c>
      <c r="V54" s="43">
        <f t="shared" ca="1" si="22"/>
        <v>1.0037065926569269</v>
      </c>
      <c r="X54" s="26">
        <f t="shared" ca="1" si="23"/>
        <v>46540</v>
      </c>
      <c r="Y54" s="43">
        <f t="shared" ca="1" si="24"/>
        <v>0.94370165569988518</v>
      </c>
      <c r="AA54" s="26">
        <f t="shared" ca="1" si="25"/>
        <v>46540</v>
      </c>
      <c r="AB54" s="43">
        <f t="shared" ca="1" si="26"/>
        <v>0.97324124548076929</v>
      </c>
      <c r="AD54" s="26">
        <f t="shared" ca="1" si="27"/>
        <v>46540</v>
      </c>
      <c r="AE54" s="43">
        <f t="shared" ca="1" si="28"/>
        <v>1.0037054785100281</v>
      </c>
    </row>
    <row r="55" spans="1:31" x14ac:dyDescent="0.3">
      <c r="A55" s="4">
        <f t="shared" ca="1" si="19"/>
        <v>47</v>
      </c>
      <c r="B55" s="26">
        <f t="shared" ca="1" si="8"/>
        <v>46590</v>
      </c>
      <c r="C55" s="67">
        <f t="shared" ca="1" si="29"/>
        <v>6.3013698630136989</v>
      </c>
      <c r="D55" s="30">
        <f t="shared" ca="1" si="20"/>
        <v>-4.0000000000000024E-4</v>
      </c>
      <c r="E55" s="30">
        <f t="shared" ca="1" si="30"/>
        <v>9.5999999999999992E-3</v>
      </c>
      <c r="F55" s="30">
        <f t="shared" ca="1" si="30"/>
        <v>4.5999999999999999E-3</v>
      </c>
      <c r="G55" s="39">
        <f t="shared" ca="1" si="30"/>
        <v>-4.0000000000000024E-4</v>
      </c>
      <c r="H55" s="4"/>
      <c r="I55" s="26">
        <f t="shared" ca="1" si="31"/>
        <v>46590</v>
      </c>
      <c r="J55" s="43">
        <f t="shared" ca="1" si="12"/>
        <v>1.0025237271967684</v>
      </c>
      <c r="L55" s="26">
        <f t="shared" ca="1" si="32"/>
        <v>46590</v>
      </c>
      <c r="M55" s="43">
        <f t="shared" ca="1" si="14"/>
        <v>0.94130021625808125</v>
      </c>
      <c r="N55" s="64"/>
      <c r="O55" s="26">
        <f t="shared" ca="1" si="33"/>
        <v>46590</v>
      </c>
      <c r="P55" s="43">
        <f t="shared" ca="1" si="16"/>
        <v>0.97142977163260524</v>
      </c>
      <c r="Q55" s="64"/>
      <c r="R55" s="26">
        <f t="shared" ca="1" si="34"/>
        <v>46590</v>
      </c>
      <c r="S55" s="43">
        <f t="shared" ca="1" si="18"/>
        <v>1.0025237271967684</v>
      </c>
      <c r="U55" s="26">
        <f t="shared" ca="1" si="21"/>
        <v>46590</v>
      </c>
      <c r="V55" s="43">
        <f t="shared" ca="1" si="22"/>
        <v>1.0031564439767413</v>
      </c>
      <c r="X55" s="26">
        <f t="shared" ca="1" si="23"/>
        <v>46590</v>
      </c>
      <c r="Y55" s="43">
        <f t="shared" ca="1" si="24"/>
        <v>0.9418935512610912</v>
      </c>
      <c r="AA55" s="26">
        <f t="shared" ca="1" si="25"/>
        <v>46590</v>
      </c>
      <c r="AB55" s="43">
        <f t="shared" ca="1" si="26"/>
        <v>0.97204209836590494</v>
      </c>
      <c r="AD55" s="26">
        <f t="shared" ca="1" si="27"/>
        <v>46590</v>
      </c>
      <c r="AE55" s="43">
        <f t="shared" ca="1" si="28"/>
        <v>1.0031556535560955</v>
      </c>
    </row>
    <row r="56" spans="1:31" x14ac:dyDescent="0.3">
      <c r="A56" s="4">
        <f t="shared" ca="1" si="19"/>
        <v>48</v>
      </c>
      <c r="B56" s="26">
        <f t="shared" ca="1" si="8"/>
        <v>46640</v>
      </c>
      <c r="C56" s="67">
        <f t="shared" ca="1" si="29"/>
        <v>6.4383561643835616</v>
      </c>
      <c r="D56" s="30">
        <f t="shared" ca="1" si="20"/>
        <v>-3.0000000000000024E-4</v>
      </c>
      <c r="E56" s="30">
        <f t="shared" ca="1" si="30"/>
        <v>9.7000000000000003E-3</v>
      </c>
      <c r="F56" s="30">
        <f t="shared" ca="1" si="30"/>
        <v>4.7000000000000002E-3</v>
      </c>
      <c r="G56" s="39">
        <f t="shared" ca="1" si="30"/>
        <v>-3.0000000000000024E-4</v>
      </c>
      <c r="H56" s="4"/>
      <c r="I56" s="26">
        <f t="shared" ca="1" si="31"/>
        <v>46640</v>
      </c>
      <c r="J56" s="43">
        <f t="shared" ca="1" si="12"/>
        <v>1.0019333734102345</v>
      </c>
      <c r="L56" s="26">
        <f t="shared" ca="1" si="32"/>
        <v>46640</v>
      </c>
      <c r="M56" s="43">
        <f t="shared" ca="1" si="14"/>
        <v>0.9394581042455542</v>
      </c>
      <c r="N56" s="64"/>
      <c r="O56" s="26">
        <f t="shared" ca="1" si="33"/>
        <v>46640</v>
      </c>
      <c r="P56" s="43">
        <f t="shared" ca="1" si="16"/>
        <v>0.97019298470166848</v>
      </c>
      <c r="Q56" s="64"/>
      <c r="R56" s="26">
        <f t="shared" ca="1" si="34"/>
        <v>46640</v>
      </c>
      <c r="S56" s="43">
        <f t="shared" ca="1" si="18"/>
        <v>1.0019333734102345</v>
      </c>
      <c r="U56" s="26">
        <f t="shared" ca="1" si="21"/>
        <v>46640</v>
      </c>
      <c r="V56" s="43">
        <f t="shared" ca="1" si="22"/>
        <v>1.0025791780433344</v>
      </c>
      <c r="X56" s="26">
        <f t="shared" ca="1" si="23"/>
        <v>46640</v>
      </c>
      <c r="Y56" s="43">
        <f t="shared" ca="1" si="24"/>
        <v>0.94006315558912079</v>
      </c>
      <c r="AA56" s="26">
        <f t="shared" ca="1" si="25"/>
        <v>46640</v>
      </c>
      <c r="AB56" s="43">
        <f t="shared" ca="1" si="26"/>
        <v>0.97081783062748439</v>
      </c>
      <c r="AD56" s="26">
        <f t="shared" ca="1" si="27"/>
        <v>46640</v>
      </c>
      <c r="AE56" s="43">
        <f t="shared" ca="1" si="28"/>
        <v>1.0025786615087739</v>
      </c>
    </row>
    <row r="57" spans="1:31" x14ac:dyDescent="0.3">
      <c r="A57" s="4">
        <f t="shared" ref="A57:A80" ca="1" si="35">A56+1</f>
        <v>49</v>
      </c>
      <c r="B57" s="26">
        <f t="shared" ca="1" si="8"/>
        <v>46690</v>
      </c>
      <c r="C57" s="67">
        <f t="shared" ca="1" si="29"/>
        <v>6.5753424657534243</v>
      </c>
      <c r="D57" s="30">
        <f t="shared" ca="1" si="20"/>
        <v>-2.0000000000000025E-4</v>
      </c>
      <c r="E57" s="30">
        <f t="shared" ca="1" si="30"/>
        <v>9.7999999999999997E-3</v>
      </c>
      <c r="F57" s="30">
        <f t="shared" ca="1" si="30"/>
        <v>4.7999999999999996E-3</v>
      </c>
      <c r="G57" s="39">
        <f t="shared" ca="1" si="30"/>
        <v>-2.0000000000000025E-4</v>
      </c>
      <c r="H57" s="4"/>
      <c r="I57" s="26">
        <f t="shared" ca="1" si="31"/>
        <v>46690</v>
      </c>
      <c r="J57" s="43">
        <f t="shared" ca="1" si="12"/>
        <v>1.0013159335748938</v>
      </c>
      <c r="L57" s="26">
        <f t="shared" ca="1" si="32"/>
        <v>46690</v>
      </c>
      <c r="M57" s="43">
        <f t="shared" ca="1" si="14"/>
        <v>0.93759390936549947</v>
      </c>
      <c r="N57" s="64"/>
      <c r="O57" s="26">
        <f t="shared" ca="1" si="33"/>
        <v>46690</v>
      </c>
      <c r="P57" s="43">
        <f t="shared" ca="1" si="16"/>
        <v>0.96893122597553305</v>
      </c>
      <c r="Q57" s="64"/>
      <c r="R57" s="26">
        <f t="shared" ca="1" si="34"/>
        <v>46690</v>
      </c>
      <c r="S57" s="43">
        <f t="shared" ca="1" si="18"/>
        <v>1.0013159335748938</v>
      </c>
      <c r="U57" s="26">
        <f t="shared" ca="1" si="21"/>
        <v>46690</v>
      </c>
      <c r="V57" s="43">
        <f t="shared" ca="1" si="22"/>
        <v>1.0019748461344407</v>
      </c>
      <c r="X57" s="26">
        <f t="shared" ca="1" si="23"/>
        <v>46690</v>
      </c>
      <c r="Y57" s="43">
        <f t="shared" ca="1" si="24"/>
        <v>0.93821061219968505</v>
      </c>
      <c r="AA57" s="26">
        <f t="shared" ca="1" si="25"/>
        <v>46690</v>
      </c>
      <c r="AB57" s="43">
        <f t="shared" ca="1" si="26"/>
        <v>0.96956854094443512</v>
      </c>
      <c r="AD57" s="26">
        <f t="shared" ca="1" si="27"/>
        <v>46690</v>
      </c>
      <c r="AE57" s="43">
        <f t="shared" ca="1" si="28"/>
        <v>1.0019745496004275</v>
      </c>
    </row>
    <row r="58" spans="1:31" x14ac:dyDescent="0.3">
      <c r="A58" s="4">
        <f t="shared" ca="1" si="35"/>
        <v>50</v>
      </c>
      <c r="B58" s="26">
        <f t="shared" ca="1" si="8"/>
        <v>46740</v>
      </c>
      <c r="C58" s="67">
        <f t="shared" ca="1" si="29"/>
        <v>6.7123287671232879</v>
      </c>
      <c r="D58" s="30">
        <f t="shared" ca="1" si="20"/>
        <v>-1.0000000000000025E-4</v>
      </c>
      <c r="E58" s="30">
        <f t="shared" ca="1" si="30"/>
        <v>9.9000000000000008E-3</v>
      </c>
      <c r="F58" s="30">
        <f t="shared" ca="1" si="30"/>
        <v>4.8999999999999998E-3</v>
      </c>
      <c r="G58" s="39">
        <f t="shared" ca="1" si="30"/>
        <v>-1.0000000000000025E-4</v>
      </c>
      <c r="H58" s="4"/>
      <c r="I58" s="26">
        <f t="shared" ca="1" si="31"/>
        <v>46740</v>
      </c>
      <c r="J58" s="43">
        <f t="shared" ca="1" si="12"/>
        <v>1.0006714582039127</v>
      </c>
      <c r="L58" s="26">
        <f t="shared" ca="1" si="32"/>
        <v>46740</v>
      </c>
      <c r="M58" s="43">
        <f t="shared" ca="1" si="14"/>
        <v>0.93570777748253231</v>
      </c>
      <c r="N58" s="64"/>
      <c r="O58" s="26">
        <f t="shared" ca="1" si="33"/>
        <v>46740</v>
      </c>
      <c r="P58" s="43">
        <f t="shared" ca="1" si="16"/>
        <v>0.96764459702216488</v>
      </c>
      <c r="Q58" s="64"/>
      <c r="R58" s="26">
        <f t="shared" ca="1" si="34"/>
        <v>46740</v>
      </c>
      <c r="S58" s="43">
        <f t="shared" ca="1" si="18"/>
        <v>1.0006714582039127</v>
      </c>
      <c r="U58" s="26">
        <f t="shared" ca="1" si="21"/>
        <v>46740</v>
      </c>
      <c r="V58" s="43">
        <f t="shared" ca="1" si="22"/>
        <v>1.0013435017087977</v>
      </c>
      <c r="X58" s="26">
        <f t="shared" ca="1" si="23"/>
        <v>46740</v>
      </c>
      <c r="Y58" s="43">
        <f t="shared" ca="1" si="24"/>
        <v>0.93633606614618781</v>
      </c>
      <c r="AA58" s="26">
        <f t="shared" ca="1" si="25"/>
        <v>46740</v>
      </c>
      <c r="AB58" s="43">
        <f t="shared" ca="1" si="26"/>
        <v>0.96829432992530706</v>
      </c>
      <c r="AD58" s="26">
        <f t="shared" ca="1" si="27"/>
        <v>46740</v>
      </c>
      <c r="AE58" s="43">
        <f t="shared" ca="1" si="28"/>
        <v>1.0013433672639447</v>
      </c>
    </row>
    <row r="59" spans="1:31" x14ac:dyDescent="0.3">
      <c r="A59" s="4">
        <f t="shared" ca="1" si="35"/>
        <v>51</v>
      </c>
      <c r="B59" s="26">
        <f t="shared" ca="1" si="8"/>
        <v>46790</v>
      </c>
      <c r="C59" s="67">
        <f t="shared" ca="1" si="29"/>
        <v>6.8493150684931505</v>
      </c>
      <c r="D59" s="30">
        <f t="shared" ca="1" si="20"/>
        <v>-2.439454888092385E-19</v>
      </c>
      <c r="E59" s="30">
        <f t="shared" ca="1" si="30"/>
        <v>0.01</v>
      </c>
      <c r="F59" s="30">
        <f t="shared" ca="1" si="30"/>
        <v>5.0000000000000001E-3</v>
      </c>
      <c r="G59" s="39">
        <f t="shared" ca="1" si="30"/>
        <v>-2.439454888092385E-19</v>
      </c>
      <c r="H59" s="4"/>
      <c r="I59" s="26">
        <f t="shared" ca="1" si="31"/>
        <v>46790</v>
      </c>
      <c r="J59" s="43">
        <f t="shared" ca="1" si="12"/>
        <v>1</v>
      </c>
      <c r="L59" s="26">
        <f t="shared" ca="1" si="32"/>
        <v>46790</v>
      </c>
      <c r="M59" s="43">
        <f t="shared" ca="1" si="14"/>
        <v>0.93379985597104354</v>
      </c>
      <c r="N59" s="64"/>
      <c r="O59" s="26">
        <f t="shared" ca="1" si="33"/>
        <v>46790</v>
      </c>
      <c r="P59" s="43">
        <f t="shared" ca="1" si="16"/>
        <v>0.96633320131880163</v>
      </c>
      <c r="Q59" s="64"/>
      <c r="R59" s="26">
        <f t="shared" ca="1" si="34"/>
        <v>46790</v>
      </c>
      <c r="S59" s="43">
        <f t="shared" ca="1" si="18"/>
        <v>1</v>
      </c>
      <c r="U59" s="26">
        <f t="shared" ca="1" si="21"/>
        <v>46790</v>
      </c>
      <c r="V59" s="43">
        <f t="shared" ca="1" si="22"/>
        <v>1.0006852003983222</v>
      </c>
      <c r="X59" s="26">
        <f t="shared" ca="1" si="23"/>
        <v>46790</v>
      </c>
      <c r="Y59" s="43">
        <f t="shared" ca="1" si="24"/>
        <v>0.93443966400081568</v>
      </c>
      <c r="AA59" s="26">
        <f t="shared" ca="1" si="25"/>
        <v>46790</v>
      </c>
      <c r="AB59" s="43">
        <f t="shared" ca="1" si="26"/>
        <v>0.9669953000947713</v>
      </c>
      <c r="AD59" s="26">
        <f t="shared" ca="1" si="27"/>
        <v>46790</v>
      </c>
      <c r="AE59" s="43">
        <f t="shared" ca="1" si="28"/>
        <v>1.0006851661259968</v>
      </c>
    </row>
    <row r="60" spans="1:31" x14ac:dyDescent="0.3">
      <c r="A60" s="4">
        <f t="shared" ca="1" si="35"/>
        <v>52</v>
      </c>
      <c r="B60" s="26">
        <f t="shared" ca="1" si="8"/>
        <v>46840</v>
      </c>
      <c r="C60" s="67">
        <f t="shared" ca="1" si="29"/>
        <v>6.9863013698630141</v>
      </c>
      <c r="D60" s="30">
        <f t="shared" ca="1" si="20"/>
        <v>9.9999999999999761E-5</v>
      </c>
      <c r="E60" s="30">
        <f t="shared" ca="1" si="30"/>
        <v>1.01E-2</v>
      </c>
      <c r="F60" s="30">
        <f t="shared" ca="1" si="30"/>
        <v>5.0999999999999995E-3</v>
      </c>
      <c r="G60" s="39">
        <f t="shared" ca="1" si="30"/>
        <v>9.9999999999999761E-5</v>
      </c>
      <c r="H60" s="4"/>
      <c r="I60" s="26">
        <f t="shared" ca="1" si="31"/>
        <v>46840</v>
      </c>
      <c r="J60" s="43">
        <f t="shared" ca="1" si="12"/>
        <v>0.99930161384822602</v>
      </c>
      <c r="L60" s="26">
        <f t="shared" ca="1" si="32"/>
        <v>46840</v>
      </c>
      <c r="M60" s="43">
        <f t="shared" ca="1" si="14"/>
        <v>0.93187029369602736</v>
      </c>
      <c r="N60" s="64"/>
      <c r="O60" s="26">
        <f t="shared" ca="1" si="33"/>
        <v>46840</v>
      </c>
      <c r="P60" s="43">
        <f t="shared" ca="1" si="16"/>
        <v>0.96499714423808558</v>
      </c>
      <c r="Q60" s="64"/>
      <c r="R60" s="26">
        <f t="shared" ca="1" si="34"/>
        <v>46840</v>
      </c>
      <c r="S60" s="43">
        <f t="shared" ca="1" si="18"/>
        <v>0.99930161384822602</v>
      </c>
      <c r="U60" s="26">
        <f t="shared" ca="1" si="21"/>
        <v>46840</v>
      </c>
      <c r="V60" s="43">
        <f t="shared" ca="1" si="22"/>
        <v>1</v>
      </c>
      <c r="X60" s="26">
        <f t="shared" ca="1" si="23"/>
        <v>46840</v>
      </c>
      <c r="Y60" s="43">
        <f t="shared" ca="1" si="24"/>
        <v>0.93252155383545676</v>
      </c>
      <c r="AA60" s="26">
        <f t="shared" ca="1" si="25"/>
        <v>46840</v>
      </c>
      <c r="AB60" s="43">
        <f t="shared" ca="1" si="26"/>
        <v>0.96567155587987408</v>
      </c>
      <c r="AD60" s="26">
        <f t="shared" ca="1" si="27"/>
        <v>46840</v>
      </c>
      <c r="AE60" s="43">
        <f t="shared" ca="1" si="28"/>
        <v>1</v>
      </c>
    </row>
    <row r="61" spans="1:31" x14ac:dyDescent="0.3">
      <c r="A61" s="4">
        <f t="shared" ca="1" si="35"/>
        <v>53</v>
      </c>
      <c r="B61" s="26">
        <f t="shared" ca="1" si="8"/>
        <v>46890</v>
      </c>
      <c r="C61" s="67">
        <f t="shared" ca="1" si="29"/>
        <v>7.1232876712328768</v>
      </c>
      <c r="D61" s="30">
        <f t="shared" ca="1" si="20"/>
        <v>1.9999999999999977E-4</v>
      </c>
      <c r="E61" s="30">
        <f t="shared" ca="1" si="30"/>
        <v>1.0200000000000001E-2</v>
      </c>
      <c r="F61" s="30">
        <f t="shared" ca="1" si="30"/>
        <v>5.1999999999999998E-3</v>
      </c>
      <c r="G61" s="39">
        <f t="shared" ca="1" si="30"/>
        <v>1.9999999999999977E-4</v>
      </c>
      <c r="H61" s="4"/>
      <c r="I61" s="26">
        <f t="shared" ca="1" si="31"/>
        <v>46890</v>
      </c>
      <c r="J61" s="43">
        <f t="shared" ca="1" si="12"/>
        <v>0.99857635680854417</v>
      </c>
      <c r="L61" s="26">
        <f t="shared" ca="1" si="32"/>
        <v>46890</v>
      </c>
      <c r="M61" s="43">
        <f t="shared" ca="1" si="14"/>
        <v>0.92991924099374568</v>
      </c>
      <c r="N61" s="64"/>
      <c r="O61" s="26">
        <f t="shared" ca="1" si="33"/>
        <v>46890</v>
      </c>
      <c r="P61" s="43">
        <f t="shared" ca="1" si="16"/>
        <v>0.96363653303395524</v>
      </c>
      <c r="Q61" s="64"/>
      <c r="R61" s="26">
        <f t="shared" ca="1" si="34"/>
        <v>46890</v>
      </c>
      <c r="S61" s="43">
        <f t="shared" ca="1" si="18"/>
        <v>0.99857635680854417</v>
      </c>
      <c r="U61" s="26">
        <f t="shared" ca="1" si="21"/>
        <v>46890</v>
      </c>
      <c r="V61" s="43">
        <f t="shared" ca="1" si="22"/>
        <v>0.99928796046748791</v>
      </c>
      <c r="X61" s="26">
        <f t="shared" ca="1" si="23"/>
        <v>46890</v>
      </c>
      <c r="Y61" s="43">
        <f t="shared" ca="1" si="24"/>
        <v>0.93058188520245366</v>
      </c>
      <c r="AA61" s="26">
        <f t="shared" ca="1" si="25"/>
        <v>46890</v>
      </c>
      <c r="AB61" s="43">
        <f t="shared" ca="1" si="26"/>
        <v>0.96432320359604828</v>
      </c>
      <c r="AD61" s="26">
        <f t="shared" ca="1" si="27"/>
        <v>46890</v>
      </c>
      <c r="AE61" s="43">
        <f t="shared" ca="1" si="28"/>
        <v>0.99928792487878293</v>
      </c>
    </row>
    <row r="62" spans="1:31" x14ac:dyDescent="0.3">
      <c r="A62" s="4">
        <f t="shared" ca="1" si="35"/>
        <v>54</v>
      </c>
      <c r="B62" s="26">
        <f t="shared" ca="1" si="8"/>
        <v>46940</v>
      </c>
      <c r="C62" s="67">
        <f t="shared" ca="1" si="29"/>
        <v>7.2602739726027394</v>
      </c>
      <c r="D62" s="30">
        <f t="shared" ca="1" si="20"/>
        <v>2.9999999999999976E-4</v>
      </c>
      <c r="E62" s="30">
        <f t="shared" ca="1" si="30"/>
        <v>1.03E-2</v>
      </c>
      <c r="F62" s="30">
        <f t="shared" ca="1" si="30"/>
        <v>5.3E-3</v>
      </c>
      <c r="G62" s="39">
        <f t="shared" ca="1" si="30"/>
        <v>2.9999999999999976E-4</v>
      </c>
      <c r="H62" s="4"/>
      <c r="I62" s="26">
        <f t="shared" ca="1" si="31"/>
        <v>46940</v>
      </c>
      <c r="J62" s="43">
        <f t="shared" ca="1" si="12"/>
        <v>0.99782428810802137</v>
      </c>
      <c r="L62" s="26">
        <f t="shared" ca="1" si="32"/>
        <v>46940</v>
      </c>
      <c r="M62" s="43">
        <f t="shared" ca="1" si="14"/>
        <v>0.92794684965222984</v>
      </c>
      <c r="N62" s="64"/>
      <c r="O62" s="26">
        <f t="shared" ca="1" si="33"/>
        <v>46940</v>
      </c>
      <c r="P62" s="43">
        <f t="shared" ca="1" si="16"/>
        <v>0.96225147682729872</v>
      </c>
      <c r="Q62" s="64"/>
      <c r="R62" s="26">
        <f t="shared" ca="1" si="34"/>
        <v>46940</v>
      </c>
      <c r="S62" s="43">
        <f t="shared" ca="1" si="18"/>
        <v>0.99782428810802137</v>
      </c>
      <c r="U62" s="26">
        <f t="shared" ca="1" si="21"/>
        <v>46940</v>
      </c>
      <c r="V62" s="43">
        <f t="shared" ca="1" si="22"/>
        <v>0.99854914390242744</v>
      </c>
      <c r="X62" s="26">
        <f t="shared" ca="1" si="23"/>
        <v>46940</v>
      </c>
      <c r="Y62" s="43">
        <f t="shared" ca="1" si="24"/>
        <v>0.92862080911519151</v>
      </c>
      <c r="AA62" s="26">
        <f t="shared" ca="1" si="25"/>
        <v>46940</v>
      </c>
      <c r="AB62" s="43">
        <f t="shared" ca="1" si="26"/>
        <v>0.96295035143288599</v>
      </c>
      <c r="AD62" s="26">
        <f t="shared" ca="1" si="27"/>
        <v>46940</v>
      </c>
      <c r="AE62" s="43">
        <f t="shared" ca="1" si="28"/>
        <v>0.99854899892696047</v>
      </c>
    </row>
    <row r="63" spans="1:31" x14ac:dyDescent="0.3">
      <c r="A63" s="4">
        <f t="shared" ca="1" si="35"/>
        <v>55</v>
      </c>
      <c r="B63" s="26">
        <f t="shared" ca="1" si="8"/>
        <v>46990</v>
      </c>
      <c r="C63" s="67">
        <f t="shared" ca="1" si="29"/>
        <v>7.397260273972603</v>
      </c>
      <c r="D63" s="30">
        <f t="shared" ca="1" si="20"/>
        <v>3.9999999999999975E-4</v>
      </c>
      <c r="E63" s="30">
        <f t="shared" ca="1" si="30"/>
        <v>1.04E-2</v>
      </c>
      <c r="F63" s="30">
        <f t="shared" ca="1" si="30"/>
        <v>5.4000000000000003E-3</v>
      </c>
      <c r="G63" s="39">
        <f t="shared" ca="1" si="30"/>
        <v>3.9999999999999975E-4</v>
      </c>
      <c r="H63" s="4"/>
      <c r="I63" s="26">
        <f t="shared" ca="1" si="31"/>
        <v>46990</v>
      </c>
      <c r="J63" s="43">
        <f t="shared" ca="1" si="12"/>
        <v>0.99704546913277758</v>
      </c>
      <c r="L63" s="26">
        <f t="shared" ca="1" si="32"/>
        <v>46990</v>
      </c>
      <c r="M63" s="43">
        <f t="shared" ca="1" si="14"/>
        <v>0.92595327289162466</v>
      </c>
      <c r="N63" s="64"/>
      <c r="O63" s="26">
        <f t="shared" ca="1" si="33"/>
        <v>46990</v>
      </c>
      <c r="P63" s="43">
        <f t="shared" ca="1" si="16"/>
        <v>0.96084208659137149</v>
      </c>
      <c r="Q63" s="64"/>
      <c r="R63" s="26">
        <f t="shared" ca="1" si="34"/>
        <v>46990</v>
      </c>
      <c r="S63" s="43">
        <f t="shared" ca="1" si="18"/>
        <v>0.99704546913277758</v>
      </c>
      <c r="U63" s="26">
        <f t="shared" ca="1" si="21"/>
        <v>46990</v>
      </c>
      <c r="V63" s="43">
        <f t="shared" ca="1" si="22"/>
        <v>0.99778361454547648</v>
      </c>
      <c r="X63" s="26">
        <f t="shared" ca="1" si="23"/>
        <v>46990</v>
      </c>
      <c r="Y63" s="43">
        <f t="shared" ca="1" si="24"/>
        <v>0.92663847802852817</v>
      </c>
      <c r="AA63" s="26">
        <f t="shared" ca="1" si="25"/>
        <v>46990</v>
      </c>
      <c r="AB63" s="43">
        <f t="shared" ca="1" si="26"/>
        <v>0.96155310943967298</v>
      </c>
      <c r="AD63" s="26">
        <f t="shared" ca="1" si="27"/>
        <v>46990</v>
      </c>
      <c r="AE63" s="43">
        <f t="shared" ca="1" si="28"/>
        <v>0.99778328247301518</v>
      </c>
    </row>
    <row r="64" spans="1:31" x14ac:dyDescent="0.3">
      <c r="A64" s="4">
        <f t="shared" ca="1" si="35"/>
        <v>56</v>
      </c>
      <c r="B64" s="26">
        <f t="shared" ca="1" si="8"/>
        <v>47040</v>
      </c>
      <c r="C64" s="67">
        <f t="shared" ca="1" si="29"/>
        <v>7.5342465753424657</v>
      </c>
      <c r="D64" s="30">
        <f t="shared" ca="1" si="20"/>
        <v>4.9999999999999979E-4</v>
      </c>
      <c r="E64" s="30">
        <f t="shared" ca="1" si="30"/>
        <v>1.0500000000000001E-2</v>
      </c>
      <c r="F64" s="30">
        <f t="shared" ca="1" si="30"/>
        <v>5.4999999999999997E-3</v>
      </c>
      <c r="G64" s="39">
        <f t="shared" ca="1" si="30"/>
        <v>4.9999999999999979E-4</v>
      </c>
      <c r="H64" s="4"/>
      <c r="I64" s="26">
        <f t="shared" ca="1" si="31"/>
        <v>47040</v>
      </c>
      <c r="J64" s="43">
        <f t="shared" ca="1" si="12"/>
        <v>0.99623996341963472</v>
      </c>
      <c r="L64" s="26">
        <f t="shared" ca="1" si="32"/>
        <v>47040</v>
      </c>
      <c r="M64" s="43">
        <f t="shared" ca="1" si="14"/>
        <v>0.92393866534437774</v>
      </c>
      <c r="N64" s="64"/>
      <c r="O64" s="26">
        <f t="shared" ca="1" si="33"/>
        <v>47040</v>
      </c>
      <c r="P64" s="43">
        <f t="shared" ca="1" si="16"/>
        <v>0.95940847513698202</v>
      </c>
      <c r="Q64" s="64"/>
      <c r="R64" s="26">
        <f t="shared" ca="1" si="34"/>
        <v>47040</v>
      </c>
      <c r="S64" s="43">
        <f t="shared" ca="1" si="18"/>
        <v>0.99623996341963472</v>
      </c>
      <c r="U64" s="26">
        <f t="shared" ca="1" si="21"/>
        <v>47040</v>
      </c>
      <c r="V64" s="43">
        <f t="shared" ca="1" si="22"/>
        <v>0.99699143876705587</v>
      </c>
      <c r="X64" s="26">
        <f t="shared" ca="1" si="23"/>
        <v>47040</v>
      </c>
      <c r="Y64" s="43">
        <f t="shared" ca="1" si="24"/>
        <v>0.92463504581906619</v>
      </c>
      <c r="AA64" s="26">
        <f t="shared" ca="1" si="25"/>
        <v>47040</v>
      </c>
      <c r="AB64" s="43">
        <f t="shared" ca="1" si="26"/>
        <v>0.960131589510691</v>
      </c>
      <c r="AD64" s="26">
        <f t="shared" ca="1" si="27"/>
        <v>47040</v>
      </c>
      <c r="AE64" s="43">
        <f t="shared" ca="1" si="28"/>
        <v>0.9969908380010889</v>
      </c>
    </row>
    <row r="65" spans="1:31" x14ac:dyDescent="0.3">
      <c r="A65" s="4">
        <f t="shared" ca="1" si="35"/>
        <v>57</v>
      </c>
      <c r="B65" s="26">
        <f t="shared" ca="1" si="8"/>
        <v>47090</v>
      </c>
      <c r="C65" s="67">
        <f t="shared" ca="1" si="29"/>
        <v>7.6712328767123283</v>
      </c>
      <c r="D65" s="30">
        <f t="shared" ca="1" si="20"/>
        <v>5.9999999999999984E-4</v>
      </c>
      <c r="E65" s="30">
        <f t="shared" ca="1" si="30"/>
        <v>1.06E-2</v>
      </c>
      <c r="F65" s="30">
        <f t="shared" ca="1" si="30"/>
        <v>5.5999999999999999E-3</v>
      </c>
      <c r="G65" s="39">
        <f t="shared" ca="1" si="30"/>
        <v>5.9999999999999984E-4</v>
      </c>
      <c r="H65" s="4"/>
      <c r="I65" s="26">
        <f t="shared" ca="1" si="31"/>
        <v>47090</v>
      </c>
      <c r="J65" s="43">
        <f t="shared" ca="1" si="12"/>
        <v>0.99540783664747845</v>
      </c>
      <c r="L65" s="26">
        <f t="shared" ca="1" si="32"/>
        <v>47090</v>
      </c>
      <c r="M65" s="43">
        <f t="shared" ca="1" si="14"/>
        <v>0.92190318303527818</v>
      </c>
      <c r="N65" s="64"/>
      <c r="O65" s="26">
        <f t="shared" ca="1" si="33"/>
        <v>47090</v>
      </c>
      <c r="P65" s="43">
        <f t="shared" ca="1" si="16"/>
        <v>0.95795075709744637</v>
      </c>
      <c r="Q65" s="64"/>
      <c r="R65" s="26">
        <f t="shared" ca="1" si="34"/>
        <v>47090</v>
      </c>
      <c r="S65" s="43">
        <f t="shared" ca="1" si="18"/>
        <v>0.99540783664747845</v>
      </c>
      <c r="U65" s="26">
        <f t="shared" ca="1" si="21"/>
        <v>47090</v>
      </c>
      <c r="V65" s="43">
        <f t="shared" ca="1" si="22"/>
        <v>0.99617268505781686</v>
      </c>
      <c r="X65" s="26">
        <f t="shared" ca="1" si="23"/>
        <v>47090</v>
      </c>
      <c r="Y65" s="43">
        <f t="shared" ca="1" si="24"/>
        <v>0.92261066776527378</v>
      </c>
      <c r="AA65" s="26">
        <f t="shared" ca="1" si="25"/>
        <v>47090</v>
      </c>
      <c r="AB65" s="43">
        <f t="shared" ca="1" si="26"/>
        <v>0.95868590537028653</v>
      </c>
      <c r="AD65" s="26">
        <f t="shared" ca="1" si="27"/>
        <v>47090</v>
      </c>
      <c r="AE65" s="43">
        <f t="shared" ca="1" si="28"/>
        <v>0.99617173014248461</v>
      </c>
    </row>
    <row r="66" spans="1:31" x14ac:dyDescent="0.3">
      <c r="A66" s="4">
        <f t="shared" ca="1" si="35"/>
        <v>58</v>
      </c>
      <c r="B66" s="26">
        <f t="shared" ca="1" si="8"/>
        <v>47140</v>
      </c>
      <c r="C66" s="67">
        <f t="shared" ca="1" si="29"/>
        <v>7.8082191780821919</v>
      </c>
      <c r="D66" s="30">
        <f t="shared" ca="1" si="20"/>
        <v>6.9999999999999988E-4</v>
      </c>
      <c r="E66" s="30">
        <f t="shared" ca="1" si="30"/>
        <v>1.0699999999999999E-2</v>
      </c>
      <c r="F66" s="30">
        <f t="shared" ca="1" si="30"/>
        <v>5.7000000000000002E-3</v>
      </c>
      <c r="G66" s="39">
        <f t="shared" ca="1" si="30"/>
        <v>6.9999999999999988E-4</v>
      </c>
      <c r="H66" s="4"/>
      <c r="I66" s="26">
        <f t="shared" ca="1" si="31"/>
        <v>47140</v>
      </c>
      <c r="J66" s="43">
        <f t="shared" ca="1" si="12"/>
        <v>0.99454915662833243</v>
      </c>
      <c r="L66" s="26">
        <f t="shared" ca="1" si="32"/>
        <v>47140</v>
      </c>
      <c r="M66" s="43">
        <f t="shared" ca="1" si="14"/>
        <v>0.91984698336134685</v>
      </c>
      <c r="N66" s="64"/>
      <c r="O66" s="26">
        <f t="shared" ca="1" si="33"/>
        <v>47140</v>
      </c>
      <c r="P66" s="43">
        <f t="shared" ca="1" si="16"/>
        <v>0.95646904891331597</v>
      </c>
      <c r="Q66" s="64"/>
      <c r="R66" s="26">
        <f t="shared" ca="1" si="34"/>
        <v>47140</v>
      </c>
      <c r="S66" s="43">
        <f t="shared" ca="1" si="18"/>
        <v>0.99454915662833243</v>
      </c>
      <c r="U66" s="26">
        <f t="shared" ca="1" si="21"/>
        <v>47140</v>
      </c>
      <c r="V66" s="43">
        <f t="shared" ca="1" si="22"/>
        <v>0.99532742401882901</v>
      </c>
      <c r="X66" s="26">
        <f t="shared" ca="1" si="23"/>
        <v>47140</v>
      </c>
      <c r="Y66" s="43">
        <f t="shared" ca="1" si="24"/>
        <v>0.92056550052745534</v>
      </c>
      <c r="AA66" s="26">
        <f t="shared" ca="1" si="25"/>
        <v>47140</v>
      </c>
      <c r="AB66" s="43">
        <f t="shared" ca="1" si="26"/>
        <v>0.95721617255771207</v>
      </c>
      <c r="AD66" s="26">
        <f t="shared" ca="1" si="27"/>
        <v>47140</v>
      </c>
      <c r="AE66" s="43">
        <f t="shared" ca="1" si="28"/>
        <v>0.99532602566688144</v>
      </c>
    </row>
    <row r="67" spans="1:31" x14ac:dyDescent="0.3">
      <c r="A67" s="4">
        <f t="shared" ca="1" si="35"/>
        <v>59</v>
      </c>
      <c r="B67" s="26">
        <f t="shared" ca="1" si="8"/>
        <v>47190</v>
      </c>
      <c r="C67" s="67">
        <f t="shared" ca="1" si="29"/>
        <v>7.9452054794520546</v>
      </c>
      <c r="D67" s="30">
        <f t="shared" ca="1" si="20"/>
        <v>7.9999999999999993E-4</v>
      </c>
      <c r="E67" s="30">
        <f t="shared" ca="1" si="30"/>
        <v>1.0800000000000001E-2</v>
      </c>
      <c r="F67" s="30">
        <f t="shared" ca="1" si="30"/>
        <v>5.7999999999999996E-3</v>
      </c>
      <c r="G67" s="39">
        <f t="shared" ca="1" si="30"/>
        <v>7.9999999999999993E-4</v>
      </c>
      <c r="H67" s="4"/>
      <c r="I67" s="26">
        <f t="shared" ca="1" si="31"/>
        <v>47190</v>
      </c>
      <c r="J67" s="43">
        <f t="shared" ca="1" si="12"/>
        <v>0.9936639932981487</v>
      </c>
      <c r="L67" s="26">
        <f t="shared" ca="1" si="32"/>
        <v>47190</v>
      </c>
      <c r="M67" s="43">
        <f t="shared" ca="1" si="14"/>
        <v>0.91777022507158479</v>
      </c>
      <c r="N67" s="64"/>
      <c r="O67" s="26">
        <f t="shared" ca="1" si="33"/>
        <v>47190</v>
      </c>
      <c r="P67" s="43">
        <f t="shared" ca="1" si="16"/>
        <v>0.95496346881688177</v>
      </c>
      <c r="Q67" s="64"/>
      <c r="R67" s="26">
        <f t="shared" ca="1" si="34"/>
        <v>47190</v>
      </c>
      <c r="S67" s="43">
        <f t="shared" ca="1" si="18"/>
        <v>0.9936639932981487</v>
      </c>
      <c r="U67" s="26">
        <f t="shared" ca="1" si="21"/>
        <v>47190</v>
      </c>
      <c r="V67" s="43">
        <f t="shared" ca="1" si="22"/>
        <v>0.99445572835149054</v>
      </c>
      <c r="X67" s="26">
        <f t="shared" ca="1" si="23"/>
        <v>47190</v>
      </c>
      <c r="Y67" s="43">
        <f t="shared" ca="1" si="24"/>
        <v>0.91849970212757726</v>
      </c>
      <c r="AA67" s="26">
        <f t="shared" ca="1" si="25"/>
        <v>47190</v>
      </c>
      <c r="AB67" s="43">
        <f t="shared" ca="1" si="26"/>
        <v>0.95572250841174178</v>
      </c>
      <c r="AD67" s="26">
        <f t="shared" ca="1" si="27"/>
        <v>47190</v>
      </c>
      <c r="AE67" s="43">
        <f t="shared" ca="1" si="28"/>
        <v>0.99445379347326368</v>
      </c>
    </row>
    <row r="68" spans="1:31" x14ac:dyDescent="0.3">
      <c r="A68" s="4">
        <f t="shared" ca="1" si="35"/>
        <v>60</v>
      </c>
      <c r="B68" s="26">
        <f t="shared" ca="1" si="8"/>
        <v>47240</v>
      </c>
      <c r="C68" s="67">
        <f t="shared" ca="1" si="29"/>
        <v>8.0821917808219172</v>
      </c>
      <c r="D68" s="30">
        <f t="shared" ca="1" si="20"/>
        <v>8.9999999999999998E-4</v>
      </c>
      <c r="E68" s="30">
        <f t="shared" ca="1" si="30"/>
        <v>1.09E-2</v>
      </c>
      <c r="F68" s="30">
        <f t="shared" ca="1" si="30"/>
        <v>5.8999999999999999E-3</v>
      </c>
      <c r="G68" s="39">
        <f t="shared" ca="1" si="30"/>
        <v>8.9999999999999998E-4</v>
      </c>
      <c r="H68" s="4"/>
      <c r="I68" s="26">
        <f t="shared" ca="1" si="31"/>
        <v>47240</v>
      </c>
      <c r="J68" s="43">
        <f t="shared" ca="1" si="12"/>
        <v>0.99275241870731468</v>
      </c>
      <c r="L68" s="26">
        <f t="shared" ca="1" si="32"/>
        <v>47240</v>
      </c>
      <c r="M68" s="43">
        <f t="shared" ca="1" si="14"/>
        <v>0.91567306824657924</v>
      </c>
      <c r="N68" s="64"/>
      <c r="O68" s="26">
        <f t="shared" ca="1" si="33"/>
        <v>47240</v>
      </c>
      <c r="P68" s="43">
        <f t="shared" ca="1" si="16"/>
        <v>0.9534341368164555</v>
      </c>
      <c r="Q68" s="64"/>
      <c r="R68" s="26">
        <f t="shared" ca="1" si="34"/>
        <v>47240</v>
      </c>
      <c r="S68" s="43">
        <f t="shared" ca="1" si="18"/>
        <v>0.99275241870731468</v>
      </c>
      <c r="U68" s="26">
        <f t="shared" ca="1" si="21"/>
        <v>47240</v>
      </c>
      <c r="V68" s="43">
        <f t="shared" ca="1" si="22"/>
        <v>0.99355767284716467</v>
      </c>
      <c r="X68" s="26">
        <f t="shared" ca="1" si="23"/>
        <v>47240</v>
      </c>
      <c r="Y68" s="43">
        <f t="shared" ca="1" si="24"/>
        <v>0.91641343192895142</v>
      </c>
      <c r="AA68" s="26">
        <f t="shared" ca="1" si="25"/>
        <v>47240</v>
      </c>
      <c r="AB68" s="43">
        <f t="shared" ca="1" si="26"/>
        <v>0.95420503205506335</v>
      </c>
      <c r="AD68" s="26">
        <f t="shared" ca="1" si="27"/>
        <v>47240</v>
      </c>
      <c r="AE68" s="43">
        <f t="shared" ca="1" si="28"/>
        <v>0.99355510458056562</v>
      </c>
    </row>
    <row r="69" spans="1:31" x14ac:dyDescent="0.3">
      <c r="A69" s="4">
        <f t="shared" ca="1" si="35"/>
        <v>61</v>
      </c>
      <c r="B69" s="26">
        <f t="shared" ca="1" si="8"/>
        <v>47290</v>
      </c>
      <c r="C69" s="67">
        <f t="shared" ca="1" si="29"/>
        <v>8.2191780821917817</v>
      </c>
      <c r="D69" s="30">
        <f t="shared" ca="1" si="20"/>
        <v>1E-3</v>
      </c>
      <c r="E69" s="30">
        <f t="shared" ca="1" si="30"/>
        <v>1.0999999999999999E-2</v>
      </c>
      <c r="F69" s="30">
        <f t="shared" ca="1" si="30"/>
        <v>6.0000000000000001E-3</v>
      </c>
      <c r="G69" s="39">
        <f t="shared" ca="1" si="30"/>
        <v>1E-3</v>
      </c>
      <c r="H69" s="4"/>
      <c r="I69" s="26">
        <f t="shared" ca="1" si="31"/>
        <v>47290</v>
      </c>
      <c r="J69" s="43">
        <f t="shared" ca="1" si="12"/>
        <v>0.99181450701087914</v>
      </c>
      <c r="L69" s="26">
        <f t="shared" ca="1" si="32"/>
        <v>47290</v>
      </c>
      <c r="M69" s="43">
        <f t="shared" ca="1" si="14"/>
        <v>0.91355567427797557</v>
      </c>
      <c r="N69" s="64"/>
      <c r="O69" s="26">
        <f t="shared" ca="1" si="33"/>
        <v>47290</v>
      </c>
      <c r="P69" s="43">
        <f t="shared" ca="1" si="16"/>
        <v>0.95188117468043332</v>
      </c>
      <c r="Q69" s="64"/>
      <c r="R69" s="26">
        <f t="shared" ca="1" si="34"/>
        <v>47290</v>
      </c>
      <c r="S69" s="43">
        <f t="shared" ca="1" si="18"/>
        <v>0.99181450701087914</v>
      </c>
      <c r="U69" s="26">
        <f t="shared" ca="1" si="21"/>
        <v>47290</v>
      </c>
      <c r="V69" s="43">
        <f t="shared" ca="1" si="22"/>
        <v>0.99263333437654222</v>
      </c>
      <c r="X69" s="26">
        <f t="shared" ca="1" si="23"/>
        <v>47290</v>
      </c>
      <c r="Y69" s="43">
        <f t="shared" ca="1" si="24"/>
        <v>0.91430685061578088</v>
      </c>
      <c r="AA69" s="26">
        <f t="shared" ca="1" si="25"/>
        <v>47290</v>
      </c>
      <c r="AB69" s="43">
        <f t="shared" ca="1" si="26"/>
        <v>0.95266386437845019</v>
      </c>
      <c r="AD69" s="26">
        <f t="shared" ca="1" si="27"/>
        <v>47290</v>
      </c>
      <c r="AE69" s="43">
        <f t="shared" ca="1" si="28"/>
        <v>0.99263003211803524</v>
      </c>
    </row>
    <row r="70" spans="1:31" x14ac:dyDescent="0.3">
      <c r="A70" s="4">
        <f t="shared" ca="1" si="35"/>
        <v>62</v>
      </c>
      <c r="B70" s="26">
        <f t="shared" ca="1" si="8"/>
        <v>47340</v>
      </c>
      <c r="C70" s="67">
        <f t="shared" ca="1" si="29"/>
        <v>8.3561643835616444</v>
      </c>
      <c r="D70" s="30">
        <f t="shared" ca="1" si="20"/>
        <v>1.1000000000000001E-3</v>
      </c>
      <c r="E70" s="30">
        <f t="shared" ca="1" si="30"/>
        <v>1.11E-2</v>
      </c>
      <c r="F70" s="30">
        <f t="shared" ca="1" si="30"/>
        <v>6.1000000000000004E-3</v>
      </c>
      <c r="G70" s="39">
        <f t="shared" ca="1" si="30"/>
        <v>1.1000000000000001E-3</v>
      </c>
      <c r="H70" s="4"/>
      <c r="I70" s="26">
        <f t="shared" ca="1" si="31"/>
        <v>47340</v>
      </c>
      <c r="J70" s="43">
        <f t="shared" ca="1" si="12"/>
        <v>0.99085033445849879</v>
      </c>
      <c r="L70" s="26">
        <f t="shared" ca="1" si="32"/>
        <v>47340</v>
      </c>
      <c r="M70" s="43">
        <f t="shared" ca="1" si="14"/>
        <v>0.9114182058478143</v>
      </c>
      <c r="N70" s="64"/>
      <c r="O70" s="26">
        <f t="shared" ca="1" si="33"/>
        <v>47340</v>
      </c>
      <c r="P70" s="43">
        <f t="shared" ca="1" si="16"/>
        <v>0.9503047059211438</v>
      </c>
      <c r="Q70" s="64"/>
      <c r="R70" s="26">
        <f t="shared" ca="1" si="34"/>
        <v>47340</v>
      </c>
      <c r="S70" s="43">
        <f t="shared" ca="1" si="18"/>
        <v>0.99085033445849879</v>
      </c>
      <c r="U70" s="26">
        <f t="shared" ca="1" si="21"/>
        <v>47340</v>
      </c>
      <c r="V70" s="43">
        <f t="shared" ca="1" si="22"/>
        <v>0.99168279187873376</v>
      </c>
      <c r="X70" s="26">
        <f t="shared" ca="1" si="23"/>
        <v>47340</v>
      </c>
      <c r="Y70" s="43">
        <f t="shared" ca="1" si="24"/>
        <v>0.91218012017257077</v>
      </c>
      <c r="AA70" s="26">
        <f t="shared" ca="1" si="25"/>
        <v>47340</v>
      </c>
      <c r="AB70" s="43">
        <f t="shared" ca="1" si="26"/>
        <v>0.95109912802471741</v>
      </c>
      <c r="AD70" s="26">
        <f t="shared" ca="1" si="27"/>
        <v>47340</v>
      </c>
      <c r="AE70" s="43">
        <f t="shared" ca="1" si="28"/>
        <v>0.99167865131531585</v>
      </c>
    </row>
    <row r="71" spans="1:31" x14ac:dyDescent="0.3">
      <c r="A71" s="4">
        <f t="shared" ca="1" si="35"/>
        <v>63</v>
      </c>
      <c r="B71" s="26">
        <f t="shared" ca="1" si="8"/>
        <v>47390</v>
      </c>
      <c r="C71" s="67">
        <f t="shared" ca="1" si="29"/>
        <v>8.493150684931507</v>
      </c>
      <c r="D71" s="30">
        <f t="shared" ca="1" si="20"/>
        <v>1.2000000000000001E-3</v>
      </c>
      <c r="E71" s="30">
        <f t="shared" ca="1" si="30"/>
        <v>1.12E-2</v>
      </c>
      <c r="F71" s="30">
        <f t="shared" ca="1" si="30"/>
        <v>6.2000000000000006E-3</v>
      </c>
      <c r="G71" s="39">
        <f t="shared" ca="1" si="30"/>
        <v>1.2000000000000001E-3</v>
      </c>
      <c r="H71" s="4"/>
      <c r="I71" s="26">
        <f t="shared" ca="1" si="31"/>
        <v>47390</v>
      </c>
      <c r="J71" s="43">
        <f t="shared" ca="1" si="12"/>
        <v>0.98985997938410708</v>
      </c>
      <c r="L71" s="26">
        <f t="shared" ca="1" si="32"/>
        <v>47390</v>
      </c>
      <c r="M71" s="43">
        <f t="shared" ca="1" si="14"/>
        <v>0.90926082690774068</v>
      </c>
      <c r="N71" s="64"/>
      <c r="O71" s="26">
        <f t="shared" ca="1" si="33"/>
        <v>47390</v>
      </c>
      <c r="P71" s="43">
        <f t="shared" ca="1" si="16"/>
        <v>0.94870485577848307</v>
      </c>
      <c r="Q71" s="64"/>
      <c r="R71" s="26">
        <f t="shared" ca="1" si="34"/>
        <v>47390</v>
      </c>
      <c r="S71" s="43">
        <f t="shared" ca="1" si="18"/>
        <v>0.98985997938410708</v>
      </c>
      <c r="U71" s="26">
        <f t="shared" ca="1" si="21"/>
        <v>47390</v>
      </c>
      <c r="V71" s="43">
        <f t="shared" ca="1" si="22"/>
        <v>0.99070612635009159</v>
      </c>
      <c r="X71" s="26">
        <f t="shared" ca="1" si="23"/>
        <v>47390</v>
      </c>
      <c r="Y71" s="43">
        <f t="shared" ca="1" si="24"/>
        <v>0.91003340386340836</v>
      </c>
      <c r="AA71" s="26">
        <f t="shared" ca="1" si="25"/>
        <v>47390</v>
      </c>
      <c r="AB71" s="43">
        <f t="shared" ca="1" si="26"/>
        <v>0.94951094737246178</v>
      </c>
      <c r="AD71" s="26">
        <f t="shared" ca="1" si="27"/>
        <v>47390</v>
      </c>
      <c r="AE71" s="43">
        <f t="shared" ca="1" si="28"/>
        <v>0.99070103949225075</v>
      </c>
    </row>
    <row r="72" spans="1:31" x14ac:dyDescent="0.3">
      <c r="A72" s="4">
        <f t="shared" ca="1" si="35"/>
        <v>64</v>
      </c>
      <c r="B72" s="26">
        <f t="shared" ca="1" si="8"/>
        <v>47440</v>
      </c>
      <c r="C72" s="67">
        <f t="shared" ca="1" si="29"/>
        <v>8.6301369863013697</v>
      </c>
      <c r="D72" s="30">
        <f t="shared" ca="1" si="20"/>
        <v>1.3000000000000002E-3</v>
      </c>
      <c r="E72" s="30">
        <f t="shared" ca="1" si="30"/>
        <v>1.1300000000000001E-2</v>
      </c>
      <c r="F72" s="30">
        <f t="shared" ca="1" si="30"/>
        <v>6.3E-3</v>
      </c>
      <c r="G72" s="39">
        <f t="shared" ca="1" si="30"/>
        <v>1.3000000000000002E-3</v>
      </c>
      <c r="H72" s="4"/>
      <c r="I72" s="26">
        <f t="shared" ca="1" si="31"/>
        <v>47440</v>
      </c>
      <c r="J72" s="43">
        <f t="shared" ca="1" si="12"/>
        <v>0.98884352219530813</v>
      </c>
      <c r="L72" s="26">
        <f t="shared" ca="1" si="32"/>
        <v>47440</v>
      </c>
      <c r="M72" s="43">
        <f t="shared" ca="1" si="14"/>
        <v>0.90708370265808791</v>
      </c>
      <c r="N72" s="64"/>
      <c r="O72" s="26">
        <f t="shared" ca="1" si="33"/>
        <v>47440</v>
      </c>
      <c r="P72" s="43">
        <f t="shared" ca="1" si="16"/>
        <v>0.94708175120334004</v>
      </c>
      <c r="Q72" s="64"/>
      <c r="R72" s="26">
        <f t="shared" ca="1" si="34"/>
        <v>47440</v>
      </c>
      <c r="S72" s="43">
        <f t="shared" ca="1" si="18"/>
        <v>0.98884352219530813</v>
      </c>
      <c r="U72" s="26">
        <f t="shared" ca="1" si="21"/>
        <v>47440</v>
      </c>
      <c r="V72" s="43">
        <f t="shared" ca="1" si="22"/>
        <v>0.98970342083277296</v>
      </c>
      <c r="X72" s="26">
        <f t="shared" ca="1" si="23"/>
        <v>47440</v>
      </c>
      <c r="Y72" s="43">
        <f t="shared" ca="1" si="24"/>
        <v>0.90786686621111534</v>
      </c>
      <c r="AA72" s="26">
        <f t="shared" ca="1" si="25"/>
        <v>47440</v>
      </c>
      <c r="AB72" s="43">
        <f t="shared" ca="1" si="26"/>
        <v>0.94789944851959251</v>
      </c>
      <c r="AD72" s="26">
        <f t="shared" ca="1" si="27"/>
        <v>47440</v>
      </c>
      <c r="AE72" s="43">
        <f t="shared" ca="1" si="28"/>
        <v>0.98969727604841051</v>
      </c>
    </row>
    <row r="73" spans="1:31" x14ac:dyDescent="0.3">
      <c r="A73" s="4">
        <f t="shared" ca="1" si="35"/>
        <v>65</v>
      </c>
      <c r="B73" s="26">
        <f t="shared" ca="1" si="8"/>
        <v>47490</v>
      </c>
      <c r="C73" s="67">
        <f t="shared" ca="1" si="29"/>
        <v>8.7671232876712324</v>
      </c>
      <c r="D73" s="30">
        <f t="shared" ca="1" si="20"/>
        <v>1.4000000000000002E-3</v>
      </c>
      <c r="E73" s="30">
        <f t="shared" ca="1" si="30"/>
        <v>1.14E-2</v>
      </c>
      <c r="F73" s="30">
        <f t="shared" ca="1" si="30"/>
        <v>6.4000000000000003E-3</v>
      </c>
      <c r="G73" s="39">
        <f t="shared" ca="1" si="30"/>
        <v>1.4000000000000002E-3</v>
      </c>
      <c r="H73" s="4"/>
      <c r="I73" s="26">
        <f t="shared" ca="1" si="31"/>
        <v>47490</v>
      </c>
      <c r="J73" s="43">
        <f t="shared" ca="1" si="12"/>
        <v>0.98780104536249691</v>
      </c>
      <c r="L73" s="26">
        <f t="shared" ca="1" si="32"/>
        <v>47490</v>
      </c>
      <c r="M73" s="43">
        <f t="shared" ca="1" si="14"/>
        <v>0.90488699952683926</v>
      </c>
      <c r="N73" s="64"/>
      <c r="O73" s="26">
        <f t="shared" ca="1" si="33"/>
        <v>47490</v>
      </c>
      <c r="P73" s="43">
        <f t="shared" ca="1" si="16"/>
        <v>0.94543552084081606</v>
      </c>
      <c r="Q73" s="64"/>
      <c r="R73" s="26">
        <f t="shared" ca="1" si="34"/>
        <v>47490</v>
      </c>
      <c r="S73" s="43">
        <f t="shared" ca="1" si="18"/>
        <v>0.98780104536249691</v>
      </c>
      <c r="U73" s="26">
        <f t="shared" ref="U73:U108" ca="1" si="36">I73</f>
        <v>47490</v>
      </c>
      <c r="V73" s="43">
        <f t="shared" ref="V73:V108" ca="1" si="37">1/(1+(D73+BumpSize*0.0001))^C73</f>
        <v>0.98867476040302227</v>
      </c>
      <c r="X73" s="26">
        <f t="shared" ref="X73:X108" ca="1" si="38">L73</f>
        <v>47490</v>
      </c>
      <c r="Y73" s="43">
        <f t="shared" ref="Y73:Y108" ca="1" si="39">EXP(-($E73+BumpSize*0.0001)*$C73)</f>
        <v>0.90568067297627819</v>
      </c>
      <c r="AA73" s="26">
        <f t="shared" ref="AA73:AA108" ca="1" si="40">O73</f>
        <v>47490</v>
      </c>
      <c r="AB73" s="43">
        <f t="shared" ref="AB73:AB108" ca="1" si="41">EXP(-($F73+BumpSize*0.0001)*$C73)</f>
        <v>0.94626475926665288</v>
      </c>
      <c r="AD73" s="26">
        <f t="shared" ref="AD73:AD108" ca="1" si="42">R73</f>
        <v>47490</v>
      </c>
      <c r="AE73" s="43">
        <f t="shared" ref="AE73:AE108" ca="1" si="43">EXP(-($G73+BumpSize*0.0001)*$C73)</f>
        <v>0.98866744245234595</v>
      </c>
    </row>
    <row r="74" spans="1:31" x14ac:dyDescent="0.3">
      <c r="A74" s="4">
        <f t="shared" ca="1" si="35"/>
        <v>66</v>
      </c>
      <c r="B74" s="26">
        <f t="shared" ref="B74:B108" ca="1" si="44">B73+Periodicity</f>
        <v>47540</v>
      </c>
      <c r="C74" s="67">
        <f t="shared" ref="C74:C105" ca="1" si="45">(B74-AsOfDate)/365</f>
        <v>8.9041095890410951</v>
      </c>
      <c r="D74" s="30">
        <f t="shared" ca="1" si="20"/>
        <v>1.5000000000000002E-3</v>
      </c>
      <c r="E74" s="30">
        <f t="shared" ref="E74:G108" ca="1" si="46">$D74+E$7</f>
        <v>1.15E-2</v>
      </c>
      <c r="F74" s="30">
        <f t="shared" ca="1" si="46"/>
        <v>6.5000000000000006E-3</v>
      </c>
      <c r="G74" s="39">
        <f t="shared" ca="1" si="46"/>
        <v>1.5000000000000002E-3</v>
      </c>
      <c r="H74" s="4"/>
      <c r="I74" s="26">
        <f t="shared" ref="I74:I108" ca="1" si="47">I73+Periodicity</f>
        <v>47540</v>
      </c>
      <c r="J74" s="43">
        <f t="shared" ref="J74:J108" ca="1" si="48">EXP(-$D74*$C74)</f>
        <v>0.98673263340770789</v>
      </c>
      <c r="L74" s="26">
        <f t="shared" ref="L74:L108" ca="1" si="49">L73+Periodicity</f>
        <v>47540</v>
      </c>
      <c r="M74" s="43">
        <f t="shared" ref="M74:M108" ca="1" si="50">EXP(-$E74*$C74)</f>
        <v>0.90267088514847249</v>
      </c>
      <c r="N74" s="64"/>
      <c r="O74" s="26">
        <f t="shared" ref="O74:O108" ca="1" si="51">O73+Periodicity</f>
        <v>47540</v>
      </c>
      <c r="P74" s="43">
        <f t="shared" ref="P74:P108" ca="1" si="52">EXP(-$F74*$C74)</f>
        <v>0.9437662950132405</v>
      </c>
      <c r="Q74" s="64"/>
      <c r="R74" s="26">
        <f t="shared" ref="R74:R108" ca="1" si="53">R73+Periodicity</f>
        <v>47540</v>
      </c>
      <c r="S74" s="43">
        <f t="shared" ref="S74:S108" ca="1" si="54">EXP(-$G74*$C74)</f>
        <v>0.98673263340770789</v>
      </c>
      <c r="U74" s="26">
        <f t="shared" ca="1" si="36"/>
        <v>47540</v>
      </c>
      <c r="V74" s="43">
        <f t="shared" ca="1" si="37"/>
        <v>0.98762023215921002</v>
      </c>
      <c r="X74" s="26">
        <f t="shared" ca="1" si="38"/>
        <v>47540</v>
      </c>
      <c r="Y74" s="43">
        <f t="shared" ca="1" si="39"/>
        <v>0.90347499113615748</v>
      </c>
      <c r="AA74" s="26">
        <f t="shared" ca="1" si="40"/>
        <v>47540</v>
      </c>
      <c r="AB74" s="43">
        <f t="shared" ca="1" si="41"/>
        <v>0.94460700909993733</v>
      </c>
      <c r="AD74" s="26">
        <f t="shared" ca="1" si="42"/>
        <v>47540</v>
      </c>
      <c r="AE74" s="43">
        <f t="shared" ca="1" si="43"/>
        <v>0.98761162223056864</v>
      </c>
    </row>
    <row r="75" spans="1:31" x14ac:dyDescent="0.3">
      <c r="A75" s="4">
        <f t="shared" ca="1" si="35"/>
        <v>67</v>
      </c>
      <c r="B75" s="26">
        <f t="shared" ca="1" si="44"/>
        <v>47590</v>
      </c>
      <c r="C75" s="67">
        <f t="shared" ca="1" si="45"/>
        <v>9.0410958904109595</v>
      </c>
      <c r="D75" s="30">
        <f t="shared" ref="D75:D108" ca="1" si="55">D74+0.0001</f>
        <v>1.6000000000000003E-3</v>
      </c>
      <c r="E75" s="30">
        <f t="shared" ca="1" si="46"/>
        <v>1.1600000000000001E-2</v>
      </c>
      <c r="F75" s="30">
        <f t="shared" ca="1" si="46"/>
        <v>6.6E-3</v>
      </c>
      <c r="G75" s="39">
        <f t="shared" ca="1" si="46"/>
        <v>1.6000000000000003E-3</v>
      </c>
      <c r="H75" s="4"/>
      <c r="I75" s="26">
        <f t="shared" ca="1" si="47"/>
        <v>47590</v>
      </c>
      <c r="J75" s="43">
        <f t="shared" ca="1" si="48"/>
        <v>0.98563837289319456</v>
      </c>
      <c r="L75" s="26">
        <f t="shared" ca="1" si="49"/>
        <v>47590</v>
      </c>
      <c r="M75" s="43">
        <f t="shared" ca="1" si="50"/>
        <v>0.90043552834268914</v>
      </c>
      <c r="N75" s="64"/>
      <c r="O75" s="26">
        <f t="shared" ca="1" si="51"/>
        <v>47590</v>
      </c>
      <c r="P75" s="43">
        <f t="shared" ca="1" si="52"/>
        <v>0.94207420570298606</v>
      </c>
      <c r="Q75" s="64"/>
      <c r="R75" s="26">
        <f t="shared" ca="1" si="53"/>
        <v>47590</v>
      </c>
      <c r="S75" s="43">
        <f t="shared" ca="1" si="54"/>
        <v>0.98563837289319456</v>
      </c>
      <c r="U75" s="26">
        <f t="shared" ca="1" si="36"/>
        <v>47590</v>
      </c>
      <c r="V75" s="43">
        <f t="shared" ca="1" si="37"/>
        <v>0.98653992520960065</v>
      </c>
      <c r="X75" s="26">
        <f t="shared" ca="1" si="38"/>
        <v>47590</v>
      </c>
      <c r="Y75" s="43">
        <f t="shared" ca="1" si="39"/>
        <v>0.90124998886348107</v>
      </c>
      <c r="AA75" s="26">
        <f t="shared" ca="1" si="40"/>
        <v>47590</v>
      </c>
      <c r="AB75" s="43">
        <f t="shared" ca="1" si="41"/>
        <v>0.94292632917440633</v>
      </c>
      <c r="AD75" s="26">
        <f t="shared" ca="1" si="42"/>
        <v>47590</v>
      </c>
      <c r="AE75" s="43">
        <f t="shared" ca="1" si="43"/>
        <v>0.98652990095626059</v>
      </c>
    </row>
    <row r="76" spans="1:31" x14ac:dyDescent="0.3">
      <c r="A76" s="4">
        <f t="shared" ca="1" si="35"/>
        <v>68</v>
      </c>
      <c r="B76" s="26">
        <f t="shared" ca="1" si="44"/>
        <v>47640</v>
      </c>
      <c r="C76" s="67">
        <f t="shared" ca="1" si="45"/>
        <v>9.1780821917808222</v>
      </c>
      <c r="D76" s="30">
        <f t="shared" ca="1" si="55"/>
        <v>1.7000000000000003E-3</v>
      </c>
      <c r="E76" s="30">
        <f t="shared" ca="1" si="46"/>
        <v>1.17E-2</v>
      </c>
      <c r="F76" s="30">
        <f t="shared" ca="1" si="46"/>
        <v>6.7000000000000002E-3</v>
      </c>
      <c r="G76" s="39">
        <f t="shared" ca="1" si="46"/>
        <v>1.7000000000000003E-3</v>
      </c>
      <c r="H76" s="4"/>
      <c r="I76" s="26">
        <f t="shared" ca="1" si="47"/>
        <v>47640</v>
      </c>
      <c r="J76" s="43">
        <f t="shared" ca="1" si="48"/>
        <v>0.98451835240974173</v>
      </c>
      <c r="L76" s="26">
        <f t="shared" ca="1" si="49"/>
        <v>47640</v>
      </c>
      <c r="M76" s="43">
        <f t="shared" ca="1" si="50"/>
        <v>0.89818109909303456</v>
      </c>
      <c r="N76" s="64"/>
      <c r="O76" s="26">
        <f t="shared" ca="1" si="51"/>
        <v>47640</v>
      </c>
      <c r="P76" s="43">
        <f t="shared" ca="1" si="52"/>
        <v>0.94035938653508711</v>
      </c>
      <c r="Q76" s="64"/>
      <c r="R76" s="26">
        <f t="shared" ca="1" si="53"/>
        <v>47640</v>
      </c>
      <c r="S76" s="43">
        <f t="shared" ca="1" si="54"/>
        <v>0.98451835240974173</v>
      </c>
      <c r="U76" s="26">
        <f t="shared" ca="1" si="36"/>
        <v>47640</v>
      </c>
      <c r="V76" s="43">
        <f t="shared" ca="1" si="37"/>
        <v>0.98543393065986717</v>
      </c>
      <c r="X76" s="26">
        <f t="shared" ca="1" si="38"/>
        <v>47640</v>
      </c>
      <c r="Y76" s="43">
        <f t="shared" ca="1" si="39"/>
        <v>0.8990058355051268</v>
      </c>
      <c r="AA76" s="26">
        <f t="shared" ca="1" si="40"/>
        <v>47640</v>
      </c>
      <c r="AB76" s="43">
        <f t="shared" ca="1" si="41"/>
        <v>0.94122285229640335</v>
      </c>
      <c r="AD76" s="26">
        <f t="shared" ca="1" si="42"/>
        <v>47640</v>
      </c>
      <c r="AE76" s="43">
        <f t="shared" ca="1" si="43"/>
        <v>0.98542236623771617</v>
      </c>
    </row>
    <row r="77" spans="1:31" x14ac:dyDescent="0.3">
      <c r="A77" s="4">
        <f t="shared" ca="1" si="35"/>
        <v>69</v>
      </c>
      <c r="B77" s="26">
        <f t="shared" ca="1" si="44"/>
        <v>47690</v>
      </c>
      <c r="C77" s="67">
        <f t="shared" ca="1" si="45"/>
        <v>9.3150684931506849</v>
      </c>
      <c r="D77" s="30">
        <f t="shared" ca="1" si="55"/>
        <v>1.8000000000000004E-3</v>
      </c>
      <c r="E77" s="30">
        <f t="shared" ca="1" si="46"/>
        <v>1.1800000000000001E-2</v>
      </c>
      <c r="F77" s="30">
        <f t="shared" ca="1" si="46"/>
        <v>6.8000000000000005E-3</v>
      </c>
      <c r="G77" s="39">
        <f t="shared" ca="1" si="46"/>
        <v>1.8000000000000004E-3</v>
      </c>
      <c r="H77" s="4"/>
      <c r="I77" s="26">
        <f t="shared" ca="1" si="47"/>
        <v>47690</v>
      </c>
      <c r="J77" s="43">
        <f t="shared" ca="1" si="48"/>
        <v>0.98337266256471312</v>
      </c>
      <c r="L77" s="26">
        <f t="shared" ca="1" si="49"/>
        <v>47690</v>
      </c>
      <c r="M77" s="43">
        <f t="shared" ca="1" si="50"/>
        <v>0.89590776852541099</v>
      </c>
      <c r="N77" s="64"/>
      <c r="O77" s="26">
        <f t="shared" ca="1" si="51"/>
        <v>47690</v>
      </c>
      <c r="P77" s="43">
        <f t="shared" ca="1" si="52"/>
        <v>0.9386219727596643</v>
      </c>
      <c r="Q77" s="64"/>
      <c r="R77" s="26">
        <f t="shared" ca="1" si="53"/>
        <v>47690</v>
      </c>
      <c r="S77" s="43">
        <f t="shared" ca="1" si="54"/>
        <v>0.98337266256471312</v>
      </c>
      <c r="U77" s="26">
        <f t="shared" ca="1" si="36"/>
        <v>47690</v>
      </c>
      <c r="V77" s="43">
        <f t="shared" ca="1" si="37"/>
        <v>0.98430234160035091</v>
      </c>
      <c r="X77" s="26">
        <f t="shared" ca="1" si="38"/>
        <v>47690</v>
      </c>
      <c r="Y77" s="43">
        <f t="shared" ca="1" si="39"/>
        <v>0.89674270156069458</v>
      </c>
      <c r="AA77" s="26">
        <f t="shared" ca="1" si="40"/>
        <v>47690</v>
      </c>
      <c r="AB77" s="43">
        <f t="shared" ca="1" si="41"/>
        <v>0.9394967129061752</v>
      </c>
      <c r="AD77" s="26">
        <f t="shared" ca="1" si="42"/>
        <v>47690</v>
      </c>
      <c r="AE77" s="43">
        <f t="shared" ca="1" si="43"/>
        <v>0.98428910770651767</v>
      </c>
    </row>
    <row r="78" spans="1:31" x14ac:dyDescent="0.3">
      <c r="A78" s="4">
        <f t="shared" ca="1" si="35"/>
        <v>70</v>
      </c>
      <c r="B78" s="26">
        <f t="shared" ca="1" si="44"/>
        <v>47740</v>
      </c>
      <c r="C78" s="67">
        <f t="shared" ca="1" si="45"/>
        <v>9.4520547945205475</v>
      </c>
      <c r="D78" s="30">
        <f t="shared" ca="1" si="55"/>
        <v>1.9000000000000004E-3</v>
      </c>
      <c r="E78" s="30">
        <f t="shared" ca="1" si="46"/>
        <v>1.1900000000000001E-2</v>
      </c>
      <c r="F78" s="30">
        <f t="shared" ca="1" si="46"/>
        <v>6.9000000000000008E-3</v>
      </c>
      <c r="G78" s="39">
        <f t="shared" ca="1" si="46"/>
        <v>1.9000000000000004E-3</v>
      </c>
      <c r="H78" s="4"/>
      <c r="I78" s="26">
        <f t="shared" ca="1" si="47"/>
        <v>47740</v>
      </c>
      <c r="J78" s="43">
        <f t="shared" ca="1" si="48"/>
        <v>0.98220139596983602</v>
      </c>
      <c r="L78" s="26">
        <f t="shared" ca="1" si="49"/>
        <v>47740</v>
      </c>
      <c r="M78" s="43">
        <f t="shared" ca="1" si="50"/>
        <v>0.89361570888648756</v>
      </c>
      <c r="N78" s="64"/>
      <c r="O78" s="26">
        <f t="shared" ca="1" si="51"/>
        <v>47740</v>
      </c>
      <c r="P78" s="43">
        <f t="shared" ca="1" si="52"/>
        <v>0.93686210123415847</v>
      </c>
      <c r="Q78" s="64"/>
      <c r="R78" s="26">
        <f t="shared" ca="1" si="53"/>
        <v>47740</v>
      </c>
      <c r="S78" s="43">
        <f t="shared" ca="1" si="54"/>
        <v>0.98220139596983602</v>
      </c>
      <c r="U78" s="26">
        <f t="shared" ca="1" si="36"/>
        <v>47740</v>
      </c>
      <c r="V78" s="43">
        <f t="shared" ca="1" si="37"/>
        <v>0.98314525309306733</v>
      </c>
      <c r="X78" s="26">
        <f t="shared" ca="1" si="38"/>
        <v>47740</v>
      </c>
      <c r="Y78" s="43">
        <f t="shared" ca="1" si="39"/>
        <v>0.8944607586609753</v>
      </c>
      <c r="AA78" s="26">
        <f t="shared" ca="1" si="40"/>
        <v>47740</v>
      </c>
      <c r="AB78" s="43">
        <f t="shared" ca="1" si="41"/>
        <v>0.93774804706020098</v>
      </c>
      <c r="AD78" s="26">
        <f t="shared" ca="1" si="42"/>
        <v>47740</v>
      </c>
      <c r="AE78" s="43">
        <f t="shared" ca="1" si="43"/>
        <v>0.98313021700544656</v>
      </c>
    </row>
    <row r="79" spans="1:31" x14ac:dyDescent="0.3">
      <c r="A79" s="4">
        <f t="shared" ca="1" si="35"/>
        <v>71</v>
      </c>
      <c r="B79" s="26">
        <f t="shared" ca="1" si="44"/>
        <v>47790</v>
      </c>
      <c r="C79" s="67">
        <f t="shared" ca="1" si="45"/>
        <v>9.5890410958904102</v>
      </c>
      <c r="D79" s="30">
        <f t="shared" ca="1" si="55"/>
        <v>2.0000000000000005E-3</v>
      </c>
      <c r="E79" s="30">
        <f t="shared" ca="1" si="46"/>
        <v>1.2E-2</v>
      </c>
      <c r="F79" s="30">
        <f t="shared" ca="1" si="46"/>
        <v>7.000000000000001E-3</v>
      </c>
      <c r="G79" s="39">
        <f t="shared" ca="1" si="46"/>
        <v>2.0000000000000005E-3</v>
      </c>
      <c r="H79" s="4"/>
      <c r="I79" s="26">
        <f t="shared" ca="1" si="47"/>
        <v>47790</v>
      </c>
      <c r="J79" s="43">
        <f t="shared" ca="1" si="48"/>
        <v>0.98100464722872571</v>
      </c>
      <c r="L79" s="26">
        <f t="shared" ca="1" si="49"/>
        <v>47790</v>
      </c>
      <c r="M79" s="43">
        <f t="shared" ca="1" si="50"/>
        <v>0.89130509352201182</v>
      </c>
      <c r="N79" s="64"/>
      <c r="O79" s="26">
        <f t="shared" ca="1" si="51"/>
        <v>47790</v>
      </c>
      <c r="P79" s="43">
        <f t="shared" ca="1" si="52"/>
        <v>0.93507991040537686</v>
      </c>
      <c r="Q79" s="64"/>
      <c r="R79" s="26">
        <f t="shared" ca="1" si="53"/>
        <v>47790</v>
      </c>
      <c r="S79" s="43">
        <f t="shared" ca="1" si="54"/>
        <v>0.98100464722872571</v>
      </c>
      <c r="U79" s="26">
        <f t="shared" ca="1" si="36"/>
        <v>47790</v>
      </c>
      <c r="V79" s="43">
        <f t="shared" ca="1" si="37"/>
        <v>0.9819627621584639</v>
      </c>
      <c r="X79" s="26">
        <f t="shared" ca="1" si="38"/>
        <v>47790</v>
      </c>
      <c r="Y79" s="43">
        <f t="shared" ca="1" si="39"/>
        <v>0.89216017954631832</v>
      </c>
      <c r="AA79" s="26">
        <f t="shared" ca="1" si="40"/>
        <v>47790</v>
      </c>
      <c r="AB79" s="43">
        <f t="shared" ca="1" si="41"/>
        <v>0.9359769924133321</v>
      </c>
      <c r="AD79" s="26">
        <f t="shared" ca="1" si="42"/>
        <v>47790</v>
      </c>
      <c r="AE79" s="43">
        <f t="shared" ca="1" si="43"/>
        <v>0.98194578777613395</v>
      </c>
    </row>
    <row r="80" spans="1:31" x14ac:dyDescent="0.3">
      <c r="A80" s="4">
        <f t="shared" ca="1" si="35"/>
        <v>72</v>
      </c>
      <c r="B80" s="26">
        <f t="shared" ca="1" si="44"/>
        <v>47840</v>
      </c>
      <c r="C80" s="67">
        <f t="shared" ca="1" si="45"/>
        <v>9.7260273972602747</v>
      </c>
      <c r="D80" s="30">
        <f t="shared" ca="1" si="55"/>
        <v>2.1000000000000003E-3</v>
      </c>
      <c r="E80" s="30">
        <f t="shared" ca="1" si="46"/>
        <v>1.21E-2</v>
      </c>
      <c r="F80" s="30">
        <f t="shared" ca="1" si="46"/>
        <v>7.1000000000000004E-3</v>
      </c>
      <c r="G80" s="39">
        <f t="shared" ca="1" si="46"/>
        <v>2.1000000000000003E-3</v>
      </c>
      <c r="H80" s="4"/>
      <c r="I80" s="26">
        <f t="shared" ca="1" si="47"/>
        <v>47840</v>
      </c>
      <c r="J80" s="43">
        <f t="shared" ca="1" si="48"/>
        <v>0.97978251292415208</v>
      </c>
      <c r="L80" s="26">
        <f t="shared" ca="1" si="49"/>
        <v>47840</v>
      </c>
      <c r="M80" s="43">
        <f t="shared" ca="1" si="50"/>
        <v>0.88897609685502543</v>
      </c>
      <c r="N80" s="64"/>
      <c r="O80" s="26">
        <f t="shared" ca="1" si="51"/>
        <v>47840</v>
      </c>
      <c r="P80" s="43">
        <f t="shared" ca="1" si="52"/>
        <v>0.93327554029135529</v>
      </c>
      <c r="Q80" s="64"/>
      <c r="R80" s="26">
        <f t="shared" ca="1" si="53"/>
        <v>47840</v>
      </c>
      <c r="S80" s="43">
        <f t="shared" ca="1" si="54"/>
        <v>0.97978251292415208</v>
      </c>
      <c r="U80" s="26">
        <f t="shared" ca="1" si="36"/>
        <v>47840</v>
      </c>
      <c r="V80" s="43">
        <f t="shared" ca="1" si="37"/>
        <v>0.98075496776193061</v>
      </c>
      <c r="X80" s="26">
        <f t="shared" ca="1" si="38"/>
        <v>47840</v>
      </c>
      <c r="Y80" s="43">
        <f t="shared" ca="1" si="39"/>
        <v>0.88984113804490228</v>
      </c>
      <c r="AA80" s="26">
        <f t="shared" ca="1" si="40"/>
        <v>47840</v>
      </c>
      <c r="AB80" s="43">
        <f t="shared" ca="1" si="41"/>
        <v>0.93418368820074538</v>
      </c>
      <c r="AD80" s="26">
        <f t="shared" ca="1" si="42"/>
        <v>47840</v>
      </c>
      <c r="AE80" s="43">
        <f t="shared" ca="1" si="43"/>
        <v>0.98073591564645113</v>
      </c>
    </row>
    <row r="81" spans="1:31" x14ac:dyDescent="0.3">
      <c r="A81" s="4">
        <f t="shared" ref="A81:A101" ca="1" si="56">A80+1</f>
        <v>73</v>
      </c>
      <c r="B81" s="26">
        <f t="shared" ca="1" si="44"/>
        <v>47890</v>
      </c>
      <c r="C81" s="67">
        <f t="shared" ca="1" si="45"/>
        <v>9.8630136986301373</v>
      </c>
      <c r="D81" s="30">
        <f t="shared" ca="1" si="55"/>
        <v>2.2000000000000001E-3</v>
      </c>
      <c r="E81" s="30">
        <f t="shared" ca="1" si="46"/>
        <v>1.2200000000000001E-2</v>
      </c>
      <c r="F81" s="30">
        <f t="shared" ca="1" si="46"/>
        <v>7.1999999999999998E-3</v>
      </c>
      <c r="G81" s="39">
        <f t="shared" ca="1" si="46"/>
        <v>2.2000000000000001E-3</v>
      </c>
      <c r="H81" s="4"/>
      <c r="I81" s="26">
        <f t="shared" ca="1" si="47"/>
        <v>47890</v>
      </c>
      <c r="J81" s="43">
        <f t="shared" ca="1" si="48"/>
        <v>0.97853509160504992</v>
      </c>
      <c r="L81" s="26">
        <f t="shared" ca="1" si="49"/>
        <v>47890</v>
      </c>
      <c r="M81" s="43">
        <f t="shared" ca="1" si="50"/>
        <v>0.88662889436398939</v>
      </c>
      <c r="N81" s="64"/>
      <c r="O81" s="26">
        <f t="shared" ca="1" si="51"/>
        <v>47890</v>
      </c>
      <c r="P81" s="43">
        <f t="shared" ca="1" si="52"/>
        <v>0.93144913246304029</v>
      </c>
      <c r="Q81" s="64"/>
      <c r="R81" s="26">
        <f t="shared" ca="1" si="53"/>
        <v>47890</v>
      </c>
      <c r="S81" s="43">
        <f t="shared" ca="1" si="54"/>
        <v>0.97853509160504992</v>
      </c>
      <c r="U81" s="26">
        <f t="shared" ca="1" si="36"/>
        <v>47890</v>
      </c>
      <c r="V81" s="43">
        <f t="shared" ca="1" si="37"/>
        <v>0.97952197080006442</v>
      </c>
      <c r="X81" s="26">
        <f t="shared" ca="1" si="38"/>
        <v>47890</v>
      </c>
      <c r="Y81" s="43">
        <f t="shared" ca="1" si="39"/>
        <v>0.88750380905091208</v>
      </c>
      <c r="AA81" s="26">
        <f t="shared" ca="1" si="40"/>
        <v>47890</v>
      </c>
      <c r="AB81" s="43">
        <f t="shared" ca="1" si="41"/>
        <v>0.93236827521971521</v>
      </c>
      <c r="AD81" s="26">
        <f t="shared" ca="1" si="42"/>
        <v>47890</v>
      </c>
      <c r="AE81" s="43">
        <f t="shared" ca="1" si="43"/>
        <v>0.97950069821764363</v>
      </c>
    </row>
    <row r="82" spans="1:31" x14ac:dyDescent="0.3">
      <c r="A82" s="4">
        <f t="shared" ca="1" si="56"/>
        <v>74</v>
      </c>
      <c r="B82" s="26">
        <f t="shared" ca="1" si="44"/>
        <v>47940</v>
      </c>
      <c r="C82" s="67">
        <f t="shared" ca="1" si="45"/>
        <v>10</v>
      </c>
      <c r="D82" s="30">
        <f t="shared" ca="1" si="55"/>
        <v>2.3E-3</v>
      </c>
      <c r="E82" s="30">
        <f t="shared" ca="1" si="46"/>
        <v>1.23E-2</v>
      </c>
      <c r="F82" s="30">
        <f t="shared" ca="1" si="46"/>
        <v>7.3000000000000001E-3</v>
      </c>
      <c r="G82" s="39">
        <f t="shared" ca="1" si="46"/>
        <v>2.3E-3</v>
      </c>
      <c r="H82" s="4"/>
      <c r="I82" s="26">
        <f t="shared" ca="1" si="47"/>
        <v>47940</v>
      </c>
      <c r="J82" s="43">
        <f t="shared" ca="1" si="48"/>
        <v>0.97726248377327707</v>
      </c>
      <c r="L82" s="26">
        <f t="shared" ca="1" si="49"/>
        <v>47940</v>
      </c>
      <c r="M82" s="43">
        <f t="shared" ca="1" si="50"/>
        <v>0.8842636625608209</v>
      </c>
      <c r="N82" s="64"/>
      <c r="O82" s="26">
        <f t="shared" ca="1" si="51"/>
        <v>47940</v>
      </c>
      <c r="P82" s="43">
        <f t="shared" ca="1" si="52"/>
        <v>0.92960083002579275</v>
      </c>
      <c r="Q82" s="64"/>
      <c r="R82" s="26">
        <f t="shared" ca="1" si="53"/>
        <v>47940</v>
      </c>
      <c r="S82" s="43">
        <f t="shared" ca="1" si="54"/>
        <v>0.97726248377327707</v>
      </c>
      <c r="U82" s="26">
        <f t="shared" ca="1" si="36"/>
        <v>47940</v>
      </c>
      <c r="V82" s="43">
        <f t="shared" ca="1" si="37"/>
        <v>0.97826387408669335</v>
      </c>
      <c r="X82" s="26">
        <f t="shared" ca="1" si="38"/>
        <v>47940</v>
      </c>
      <c r="Y82" s="43">
        <f t="shared" ca="1" si="39"/>
        <v>0.88514836850262713</v>
      </c>
      <c r="AA82" s="26">
        <f t="shared" ca="1" si="40"/>
        <v>47940</v>
      </c>
      <c r="AB82" s="43">
        <f t="shared" ca="1" si="41"/>
        <v>0.93053089581120574</v>
      </c>
      <c r="AD82" s="26">
        <f t="shared" ca="1" si="42"/>
        <v>47940</v>
      </c>
      <c r="AE82" s="43">
        <f t="shared" ca="1" si="43"/>
        <v>0.97824023505121005</v>
      </c>
    </row>
    <row r="83" spans="1:31" x14ac:dyDescent="0.3">
      <c r="A83" s="4">
        <f t="shared" ca="1" si="56"/>
        <v>75</v>
      </c>
      <c r="B83" s="26">
        <f t="shared" ca="1" si="44"/>
        <v>47990</v>
      </c>
      <c r="C83" s="67">
        <f t="shared" ca="1" si="45"/>
        <v>10.136986301369863</v>
      </c>
      <c r="D83" s="30">
        <f t="shared" ca="1" si="55"/>
        <v>2.3999999999999998E-3</v>
      </c>
      <c r="E83" s="30">
        <f t="shared" ca="1" si="46"/>
        <v>1.24E-2</v>
      </c>
      <c r="F83" s="30">
        <f t="shared" ca="1" si="46"/>
        <v>7.4000000000000003E-3</v>
      </c>
      <c r="G83" s="39">
        <f t="shared" ca="1" si="46"/>
        <v>2.3999999999999998E-3</v>
      </c>
      <c r="H83" s="4"/>
      <c r="I83" s="26">
        <f t="shared" ca="1" si="47"/>
        <v>47990</v>
      </c>
      <c r="J83" s="43">
        <f t="shared" ca="1" si="48"/>
        <v>0.97596479187012131</v>
      </c>
      <c r="L83" s="26">
        <f t="shared" ca="1" si="49"/>
        <v>47990</v>
      </c>
      <c r="M83" s="43">
        <f t="shared" ca="1" si="50"/>
        <v>0.88188057896884697</v>
      </c>
      <c r="N83" s="64"/>
      <c r="O83" s="26">
        <f t="shared" ca="1" si="51"/>
        <v>47990</v>
      </c>
      <c r="P83" s="43">
        <f t="shared" ca="1" si="52"/>
        <v>0.92773077760071798</v>
      </c>
      <c r="Q83" s="64"/>
      <c r="R83" s="26">
        <f t="shared" ca="1" si="53"/>
        <v>47990</v>
      </c>
      <c r="S83" s="43">
        <f t="shared" ca="1" si="54"/>
        <v>0.97596479187012131</v>
      </c>
      <c r="U83" s="26">
        <f t="shared" ca="1" si="36"/>
        <v>47990</v>
      </c>
      <c r="V83" s="43">
        <f t="shared" ca="1" si="37"/>
        <v>0.97698078233865981</v>
      </c>
      <c r="X83" s="26">
        <f t="shared" ca="1" si="38"/>
        <v>47990</v>
      </c>
      <c r="Y83" s="43">
        <f t="shared" ca="1" si="39"/>
        <v>0.88277499336042331</v>
      </c>
      <c r="AA83" s="26">
        <f t="shared" ca="1" si="40"/>
        <v>47990</v>
      </c>
      <c r="AB83" s="43">
        <f t="shared" ca="1" si="41"/>
        <v>0.92867169384128723</v>
      </c>
      <c r="AD83" s="26">
        <f t="shared" ca="1" si="42"/>
        <v>47990</v>
      </c>
      <c r="AE83" s="43">
        <f t="shared" ca="1" si="43"/>
        <v>0.97695462765553021</v>
      </c>
    </row>
    <row r="84" spans="1:31" x14ac:dyDescent="0.3">
      <c r="A84" s="4">
        <f t="shared" ca="1" si="56"/>
        <v>76</v>
      </c>
      <c r="B84" s="26">
        <f t="shared" ca="1" si="44"/>
        <v>48040</v>
      </c>
      <c r="C84" s="67">
        <f t="shared" ca="1" si="45"/>
        <v>10.273972602739725</v>
      </c>
      <c r="D84" s="30">
        <f t="shared" ca="1" si="55"/>
        <v>2.4999999999999996E-3</v>
      </c>
      <c r="E84" s="30">
        <f t="shared" ca="1" si="46"/>
        <v>1.2500000000000001E-2</v>
      </c>
      <c r="F84" s="30">
        <f t="shared" ca="1" si="46"/>
        <v>7.4999999999999997E-3</v>
      </c>
      <c r="G84" s="39">
        <f t="shared" ca="1" si="46"/>
        <v>2.4999999999999996E-3</v>
      </c>
      <c r="H84" s="4"/>
      <c r="I84" s="26">
        <f t="shared" ca="1" si="47"/>
        <v>48040</v>
      </c>
      <c r="J84" s="43">
        <f t="shared" ca="1" si="48"/>
        <v>0.97464212026255903</v>
      </c>
      <c r="L84" s="26">
        <f t="shared" ca="1" si="49"/>
        <v>48040</v>
      </c>
      <c r="M84" s="43">
        <f t="shared" ca="1" si="50"/>
        <v>0.8794798221006781</v>
      </c>
      <c r="N84" s="64"/>
      <c r="O84" s="26">
        <f t="shared" ca="1" si="51"/>
        <v>48040</v>
      </c>
      <c r="P84" s="43">
        <f t="shared" ca="1" si="52"/>
        <v>0.92583912130582557</v>
      </c>
      <c r="Q84" s="64"/>
      <c r="R84" s="26">
        <f t="shared" ca="1" si="53"/>
        <v>48040</v>
      </c>
      <c r="S84" s="43">
        <f t="shared" ca="1" si="54"/>
        <v>0.97464212026255903</v>
      </c>
      <c r="U84" s="26">
        <f t="shared" ca="1" si="36"/>
        <v>48040</v>
      </c>
      <c r="V84" s="43">
        <f t="shared" ca="1" si="37"/>
        <v>0.97567280216137098</v>
      </c>
      <c r="X84" s="26">
        <f t="shared" ca="1" si="38"/>
        <v>48040</v>
      </c>
      <c r="Y84" s="43">
        <f t="shared" ca="1" si="39"/>
        <v>0.88038386158469384</v>
      </c>
      <c r="AA84" s="26">
        <f t="shared" ca="1" si="40"/>
        <v>48040</v>
      </c>
      <c r="AB84" s="43">
        <f t="shared" ca="1" si="41"/>
        <v>0.92679081468238056</v>
      </c>
      <c r="AD84" s="26">
        <f t="shared" ca="1" si="42"/>
        <v>48040</v>
      </c>
      <c r="AE84" s="43">
        <f t="shared" ca="1" si="43"/>
        <v>0.97564397947224235</v>
      </c>
    </row>
    <row r="85" spans="1:31" x14ac:dyDescent="0.3">
      <c r="A85" s="4">
        <f t="shared" ca="1" si="56"/>
        <v>77</v>
      </c>
      <c r="B85" s="26">
        <f t="shared" ca="1" si="44"/>
        <v>48090</v>
      </c>
      <c r="C85" s="67">
        <f t="shared" ca="1" si="45"/>
        <v>10.41095890410959</v>
      </c>
      <c r="D85" s="30">
        <f t="shared" ca="1" si="55"/>
        <v>2.5999999999999994E-3</v>
      </c>
      <c r="E85" s="30">
        <f t="shared" ca="1" si="46"/>
        <v>1.26E-2</v>
      </c>
      <c r="F85" s="30">
        <f t="shared" ca="1" si="46"/>
        <v>7.5999999999999991E-3</v>
      </c>
      <c r="G85" s="39">
        <f t="shared" ca="1" si="46"/>
        <v>2.5999999999999994E-3</v>
      </c>
      <c r="H85" s="4"/>
      <c r="I85" s="26">
        <f t="shared" ca="1" si="47"/>
        <v>48090</v>
      </c>
      <c r="J85" s="43">
        <f t="shared" ca="1" si="48"/>
        <v>0.97329457522926854</v>
      </c>
      <c r="L85" s="26">
        <f t="shared" ca="1" si="49"/>
        <v>48090</v>
      </c>
      <c r="M85" s="43">
        <f t="shared" ca="1" si="50"/>
        <v>0.87706157143600605</v>
      </c>
      <c r="N85" s="64"/>
      <c r="O85" s="26">
        <f t="shared" ca="1" si="51"/>
        <v>48090</v>
      </c>
      <c r="P85" s="43">
        <f t="shared" ca="1" si="52"/>
        <v>0.92392600873702124</v>
      </c>
      <c r="Q85" s="64"/>
      <c r="R85" s="26">
        <f t="shared" ca="1" si="53"/>
        <v>48090</v>
      </c>
      <c r="S85" s="43">
        <f t="shared" ca="1" si="54"/>
        <v>0.97329457522926854</v>
      </c>
      <c r="U85" s="26">
        <f t="shared" ca="1" si="36"/>
        <v>48090</v>
      </c>
      <c r="V85" s="43">
        <f t="shared" ca="1" si="37"/>
        <v>0.97434004203411018</v>
      </c>
      <c r="X85" s="26">
        <f t="shared" ca="1" si="38"/>
        <v>48090</v>
      </c>
      <c r="Y85" s="43">
        <f t="shared" ca="1" si="39"/>
        <v>0.87797515211369226</v>
      </c>
      <c r="AA85" s="26">
        <f t="shared" ca="1" si="40"/>
        <v>48090</v>
      </c>
      <c r="AB85" s="43">
        <f t="shared" ca="1" si="41"/>
        <v>0.92488840519433257</v>
      </c>
      <c r="AD85" s="26">
        <f t="shared" ca="1" si="42"/>
        <v>48090</v>
      </c>
      <c r="AE85" s="43">
        <f t="shared" ca="1" si="43"/>
        <v>0.97430839586237472</v>
      </c>
    </row>
    <row r="86" spans="1:31" x14ac:dyDescent="0.3">
      <c r="A86" s="4">
        <f t="shared" ca="1" si="56"/>
        <v>78</v>
      </c>
      <c r="B86" s="26">
        <f t="shared" ca="1" si="44"/>
        <v>48140</v>
      </c>
      <c r="C86" s="67">
        <f t="shared" ca="1" si="45"/>
        <v>10.547945205479452</v>
      </c>
      <c r="D86" s="30">
        <f t="shared" ca="1" si="55"/>
        <v>2.6999999999999993E-3</v>
      </c>
      <c r="E86" s="30">
        <f t="shared" ca="1" si="46"/>
        <v>1.2699999999999999E-2</v>
      </c>
      <c r="F86" s="30">
        <f t="shared" ca="1" si="46"/>
        <v>7.6999999999999994E-3</v>
      </c>
      <c r="G86" s="39">
        <f t="shared" ca="1" si="46"/>
        <v>2.6999999999999993E-3</v>
      </c>
      <c r="H86" s="4"/>
      <c r="I86" s="26">
        <f t="shared" ca="1" si="47"/>
        <v>48140</v>
      </c>
      <c r="J86" s="43">
        <f t="shared" ca="1" si="48"/>
        <v>0.97192226494640055</v>
      </c>
      <c r="L86" s="26">
        <f t="shared" ca="1" si="49"/>
        <v>48140</v>
      </c>
      <c r="M86" s="43">
        <f t="shared" ca="1" si="50"/>
        <v>0.87462600739932905</v>
      </c>
      <c r="N86" s="64"/>
      <c r="O86" s="26">
        <f t="shared" ca="1" si="51"/>
        <v>48140</v>
      </c>
      <c r="P86" s="43">
        <f t="shared" ca="1" si="52"/>
        <v>0.92199158894893563</v>
      </c>
      <c r="Q86" s="64"/>
      <c r="R86" s="26">
        <f t="shared" ca="1" si="53"/>
        <v>48140</v>
      </c>
      <c r="S86" s="43">
        <f t="shared" ca="1" si="54"/>
        <v>0.97192226494640055</v>
      </c>
      <c r="U86" s="26">
        <f t="shared" ca="1" si="36"/>
        <v>48140</v>
      </c>
      <c r="V86" s="43">
        <f t="shared" ca="1" si="37"/>
        <v>0.97298261229512106</v>
      </c>
      <c r="X86" s="26">
        <f t="shared" ca="1" si="38"/>
        <v>48140</v>
      </c>
      <c r="Y86" s="43">
        <f t="shared" ca="1" si="39"/>
        <v>0.87554904484130025</v>
      </c>
      <c r="AA86" s="26">
        <f t="shared" ca="1" si="40"/>
        <v>48140</v>
      </c>
      <c r="AB86" s="43">
        <f t="shared" ca="1" si="41"/>
        <v>0.92296461370532612</v>
      </c>
      <c r="AD86" s="26">
        <f t="shared" ca="1" si="42"/>
        <v>48140</v>
      </c>
      <c r="AE86" s="43">
        <f t="shared" ca="1" si="43"/>
        <v>0.97294798409223127</v>
      </c>
    </row>
    <row r="87" spans="1:31" x14ac:dyDescent="0.3">
      <c r="A87" s="4">
        <f t="shared" ca="1" si="56"/>
        <v>79</v>
      </c>
      <c r="B87" s="26">
        <f t="shared" ca="1" si="44"/>
        <v>48190</v>
      </c>
      <c r="C87" s="67">
        <f t="shared" ca="1" si="45"/>
        <v>10.684931506849315</v>
      </c>
      <c r="D87" s="30">
        <f t="shared" ca="1" si="55"/>
        <v>2.7999999999999991E-3</v>
      </c>
      <c r="E87" s="30">
        <f t="shared" ca="1" si="46"/>
        <v>1.2799999999999999E-2</v>
      </c>
      <c r="F87" s="30">
        <f t="shared" ca="1" si="46"/>
        <v>7.7999999999999996E-3</v>
      </c>
      <c r="G87" s="39">
        <f t="shared" ca="1" si="46"/>
        <v>2.7999999999999991E-3</v>
      </c>
      <c r="H87" s="4"/>
      <c r="I87" s="26">
        <f t="shared" ca="1" si="47"/>
        <v>48190</v>
      </c>
      <c r="J87" s="43">
        <f t="shared" ca="1" si="48"/>
        <v>0.97052529947310806</v>
      </c>
      <c r="L87" s="26">
        <f t="shared" ca="1" si="49"/>
        <v>48190</v>
      </c>
      <c r="M87" s="43">
        <f t="shared" ca="1" si="50"/>
        <v>0.87217331133760934</v>
      </c>
      <c r="N87" s="64"/>
      <c r="O87" s="26">
        <f t="shared" ca="1" si="51"/>
        <v>48190</v>
      </c>
      <c r="P87" s="43">
        <f t="shared" ca="1" si="52"/>
        <v>0.92003601243559241</v>
      </c>
      <c r="Q87" s="64"/>
      <c r="R87" s="26">
        <f t="shared" ca="1" si="53"/>
        <v>48190</v>
      </c>
      <c r="S87" s="43">
        <f t="shared" ca="1" si="54"/>
        <v>0.97052529947310806</v>
      </c>
      <c r="U87" s="26">
        <f t="shared" ca="1" si="36"/>
        <v>48190</v>
      </c>
      <c r="V87" s="43">
        <f t="shared" ca="1" si="37"/>
        <v>0.97160062512646406</v>
      </c>
      <c r="X87" s="26">
        <f t="shared" ca="1" si="38"/>
        <v>48190</v>
      </c>
      <c r="Y87" s="43">
        <f t="shared" ca="1" si="39"/>
        <v>0.87310572059472702</v>
      </c>
      <c r="AA87" s="26">
        <f t="shared" ca="1" si="40"/>
        <v>48190</v>
      </c>
      <c r="AB87" s="43">
        <f t="shared" ca="1" si="41"/>
        <v>0.92101958999262734</v>
      </c>
      <c r="AD87" s="26">
        <f t="shared" ca="1" si="42"/>
        <v>48190</v>
      </c>
      <c r="AE87" s="43">
        <f t="shared" ca="1" si="43"/>
        <v>0.97156285331903769</v>
      </c>
    </row>
    <row r="88" spans="1:31" x14ac:dyDescent="0.3">
      <c r="A88" s="4">
        <f t="shared" ca="1" si="56"/>
        <v>80</v>
      </c>
      <c r="B88" s="26">
        <f t="shared" ca="1" si="44"/>
        <v>48240</v>
      </c>
      <c r="C88" s="67">
        <f t="shared" ca="1" si="45"/>
        <v>10.821917808219178</v>
      </c>
      <c r="D88" s="30">
        <f t="shared" ca="1" si="55"/>
        <v>2.8999999999999989E-3</v>
      </c>
      <c r="E88" s="30">
        <f t="shared" ca="1" si="46"/>
        <v>1.2899999999999998E-2</v>
      </c>
      <c r="F88" s="30">
        <f t="shared" ca="1" si="46"/>
        <v>7.899999999999999E-3</v>
      </c>
      <c r="G88" s="39">
        <f t="shared" ca="1" si="46"/>
        <v>2.8999999999999989E-3</v>
      </c>
      <c r="H88" s="4"/>
      <c r="I88" s="26">
        <f t="shared" ca="1" si="47"/>
        <v>48240</v>
      </c>
      <c r="J88" s="43">
        <f t="shared" ca="1" si="48"/>
        <v>0.96910379073683905</v>
      </c>
      <c r="L88" s="26">
        <f t="shared" ca="1" si="49"/>
        <v>48240</v>
      </c>
      <c r="M88" s="43">
        <f t="shared" ca="1" si="50"/>
        <v>0.86970366549786571</v>
      </c>
      <c r="N88" s="64"/>
      <c r="O88" s="26">
        <f t="shared" ca="1" si="51"/>
        <v>48240</v>
      </c>
      <c r="P88" s="43">
        <f t="shared" ca="1" si="52"/>
        <v>0.9180594311109197</v>
      </c>
      <c r="Q88" s="64"/>
      <c r="R88" s="26">
        <f t="shared" ca="1" si="53"/>
        <v>48240</v>
      </c>
      <c r="S88" s="43">
        <f t="shared" ca="1" si="54"/>
        <v>0.96910379073683905</v>
      </c>
      <c r="U88" s="26">
        <f t="shared" ca="1" si="36"/>
        <v>48240</v>
      </c>
      <c r="V88" s="43">
        <f t="shared" ca="1" si="37"/>
        <v>0.97019419453864419</v>
      </c>
      <c r="X88" s="26">
        <f t="shared" ca="1" si="38"/>
        <v>48240</v>
      </c>
      <c r="Y88" s="43">
        <f t="shared" ca="1" si="39"/>
        <v>0.87064536111214041</v>
      </c>
      <c r="AA88" s="26">
        <f t="shared" ca="1" si="40"/>
        <v>48240</v>
      </c>
      <c r="AB88" s="43">
        <f t="shared" ca="1" si="41"/>
        <v>0.91905348526317598</v>
      </c>
      <c r="AD88" s="26">
        <f t="shared" ca="1" si="42"/>
        <v>48240</v>
      </c>
      <c r="AE88" s="43">
        <f t="shared" ca="1" si="43"/>
        <v>0.97015311457634645</v>
      </c>
    </row>
    <row r="89" spans="1:31" x14ac:dyDescent="0.3">
      <c r="A89" s="4">
        <f t="shared" ca="1" si="56"/>
        <v>81</v>
      </c>
      <c r="B89" s="26">
        <f t="shared" ca="1" si="44"/>
        <v>48290</v>
      </c>
      <c r="C89" s="67">
        <f t="shared" ca="1" si="45"/>
        <v>10.95890410958904</v>
      </c>
      <c r="D89" s="30">
        <f t="shared" ca="1" si="55"/>
        <v>2.9999999999999988E-3</v>
      </c>
      <c r="E89" s="30">
        <f t="shared" ca="1" si="46"/>
        <v>1.2999999999999999E-2</v>
      </c>
      <c r="F89" s="30">
        <f t="shared" ca="1" si="46"/>
        <v>7.9999999999999984E-3</v>
      </c>
      <c r="G89" s="39">
        <f t="shared" ca="1" si="46"/>
        <v>2.9999999999999988E-3</v>
      </c>
      <c r="H89" s="4"/>
      <c r="I89" s="26">
        <f t="shared" ca="1" si="47"/>
        <v>48290</v>
      </c>
      <c r="J89" s="43">
        <f t="shared" ca="1" si="48"/>
        <v>0.96765785251839442</v>
      </c>
      <c r="L89" s="26">
        <f t="shared" ca="1" si="49"/>
        <v>48290</v>
      </c>
      <c r="M89" s="43">
        <f t="shared" ca="1" si="50"/>
        <v>0.86721725300470576</v>
      </c>
      <c r="N89" s="64"/>
      <c r="O89" s="26">
        <f t="shared" ca="1" si="51"/>
        <v>48290</v>
      </c>
      <c r="P89" s="43">
        <f t="shared" ca="1" si="52"/>
        <v>0.9160619982891085</v>
      </c>
      <c r="Q89" s="64"/>
      <c r="R89" s="26">
        <f t="shared" ca="1" si="53"/>
        <v>48290</v>
      </c>
      <c r="S89" s="43">
        <f t="shared" ca="1" si="54"/>
        <v>0.96765785251839442</v>
      </c>
      <c r="U89" s="26">
        <f t="shared" ca="1" si="36"/>
        <v>48290</v>
      </c>
      <c r="V89" s="43">
        <f t="shared" ca="1" si="37"/>
        <v>0.96876343635502116</v>
      </c>
      <c r="X89" s="26">
        <f t="shared" ca="1" si="38"/>
        <v>48290</v>
      </c>
      <c r="Y89" s="43">
        <f t="shared" ca="1" si="39"/>
        <v>0.86816814902023742</v>
      </c>
      <c r="AA89" s="26">
        <f t="shared" ca="1" si="40"/>
        <v>48290</v>
      </c>
      <c r="AB89" s="43">
        <f t="shared" ca="1" si="41"/>
        <v>0.91706645213401883</v>
      </c>
      <c r="AD89" s="26">
        <f t="shared" ca="1" si="42"/>
        <v>48290</v>
      </c>
      <c r="AE89" s="43">
        <f t="shared" ca="1" si="43"/>
        <v>0.96871888075920676</v>
      </c>
    </row>
    <row r="90" spans="1:31" x14ac:dyDescent="0.3">
      <c r="A90" s="4">
        <f t="shared" ca="1" si="56"/>
        <v>82</v>
      </c>
      <c r="B90" s="26">
        <f t="shared" ca="1" si="44"/>
        <v>48340</v>
      </c>
      <c r="C90" s="67">
        <f t="shared" ca="1" si="45"/>
        <v>11.095890410958905</v>
      </c>
      <c r="D90" s="30">
        <f t="shared" ca="1" si="55"/>
        <v>3.0999999999999986E-3</v>
      </c>
      <c r="E90" s="30">
        <f t="shared" ca="1" si="46"/>
        <v>1.3099999999999999E-2</v>
      </c>
      <c r="F90" s="30">
        <f t="shared" ca="1" si="46"/>
        <v>8.0999999999999996E-3</v>
      </c>
      <c r="G90" s="39">
        <f t="shared" ca="1" si="46"/>
        <v>3.0999999999999986E-3</v>
      </c>
      <c r="H90" s="4"/>
      <c r="I90" s="26">
        <f t="shared" ca="1" si="47"/>
        <v>48340</v>
      </c>
      <c r="J90" s="43">
        <f t="shared" ca="1" si="48"/>
        <v>0.96618760043675311</v>
      </c>
      <c r="L90" s="26">
        <f t="shared" ca="1" si="49"/>
        <v>48340</v>
      </c>
      <c r="M90" s="43">
        <f t="shared" ca="1" si="50"/>
        <v>0.8647142578378012</v>
      </c>
      <c r="N90" s="64"/>
      <c r="O90" s="26">
        <f t="shared" ca="1" si="51"/>
        <v>48340</v>
      </c>
      <c r="P90" s="43">
        <f t="shared" ca="1" si="52"/>
        <v>0.91404386866482124</v>
      </c>
      <c r="Q90" s="64"/>
      <c r="R90" s="26">
        <f t="shared" ca="1" si="53"/>
        <v>48340</v>
      </c>
      <c r="S90" s="43">
        <f t="shared" ca="1" si="54"/>
        <v>0.96618760043675311</v>
      </c>
      <c r="U90" s="26">
        <f t="shared" ca="1" si="36"/>
        <v>48340</v>
      </c>
      <c r="V90" s="43">
        <f t="shared" ca="1" si="37"/>
        <v>0.96730846819599658</v>
      </c>
      <c r="X90" s="26">
        <f t="shared" ca="1" si="38"/>
        <v>48340</v>
      </c>
      <c r="Y90" s="43">
        <f t="shared" ca="1" si="39"/>
        <v>0.86567426781175461</v>
      </c>
      <c r="AA90" s="26">
        <f t="shared" ca="1" si="40"/>
        <v>48340</v>
      </c>
      <c r="AB90" s="43">
        <f t="shared" ca="1" si="41"/>
        <v>0.91505864461259301</v>
      </c>
      <c r="AD90" s="26">
        <f t="shared" ca="1" si="42"/>
        <v>48340</v>
      </c>
      <c r="AE90" s="43">
        <f t="shared" ca="1" si="43"/>
        <v>0.96726026660910081</v>
      </c>
    </row>
    <row r="91" spans="1:31" x14ac:dyDescent="0.3">
      <c r="A91" s="4">
        <f t="shared" ca="1" si="56"/>
        <v>83</v>
      </c>
      <c r="B91" s="26">
        <f t="shared" ca="1" si="44"/>
        <v>48390</v>
      </c>
      <c r="C91" s="67">
        <f t="shared" ca="1" si="45"/>
        <v>11.232876712328768</v>
      </c>
      <c r="D91" s="30">
        <f t="shared" ca="1" si="55"/>
        <v>3.1999999999999984E-3</v>
      </c>
      <c r="E91" s="30">
        <f t="shared" ca="1" si="46"/>
        <v>1.3199999999999998E-2</v>
      </c>
      <c r="F91" s="30">
        <f t="shared" ca="1" si="46"/>
        <v>8.199999999999999E-3</v>
      </c>
      <c r="G91" s="39">
        <f t="shared" ca="1" si="46"/>
        <v>3.1999999999999984E-3</v>
      </c>
      <c r="H91" s="4"/>
      <c r="I91" s="26">
        <f t="shared" ca="1" si="47"/>
        <v>48390</v>
      </c>
      <c r="J91" s="43">
        <f t="shared" ca="1" si="48"/>
        <v>0.96469315193366922</v>
      </c>
      <c r="L91" s="26">
        <f t="shared" ca="1" si="49"/>
        <v>48390</v>
      </c>
      <c r="M91" s="43">
        <f t="shared" ca="1" si="50"/>
        <v>0.86219486480931073</v>
      </c>
      <c r="N91" s="64"/>
      <c r="O91" s="26">
        <f t="shared" ca="1" si="51"/>
        <v>48390</v>
      </c>
      <c r="P91" s="43">
        <f t="shared" ca="1" si="52"/>
        <v>0.9120051982932541</v>
      </c>
      <c r="Q91" s="64"/>
      <c r="R91" s="26">
        <f t="shared" ca="1" si="53"/>
        <v>48390</v>
      </c>
      <c r="S91" s="43">
        <f t="shared" ca="1" si="54"/>
        <v>0.96469315193366922</v>
      </c>
      <c r="U91" s="26">
        <f t="shared" ca="1" si="36"/>
        <v>48390</v>
      </c>
      <c r="V91" s="43">
        <f t="shared" ca="1" si="37"/>
        <v>0.96582940946298501</v>
      </c>
      <c r="X91" s="26">
        <f t="shared" ca="1" si="38"/>
        <v>48390</v>
      </c>
      <c r="Y91" s="43">
        <f t="shared" ca="1" si="39"/>
        <v>0.86316390182292424</v>
      </c>
      <c r="AA91" s="26">
        <f t="shared" ca="1" si="40"/>
        <v>48390</v>
      </c>
      <c r="AB91" s="43">
        <f t="shared" ca="1" si="41"/>
        <v>0.91303021807686136</v>
      </c>
      <c r="AD91" s="26">
        <f t="shared" ca="1" si="42"/>
        <v>48390</v>
      </c>
      <c r="AE91" s="43">
        <f t="shared" ca="1" si="43"/>
        <v>0.96577738869864915</v>
      </c>
    </row>
    <row r="92" spans="1:31" x14ac:dyDescent="0.3">
      <c r="A92" s="4">
        <f t="shared" ca="1" si="56"/>
        <v>84</v>
      </c>
      <c r="B92" s="26">
        <f t="shared" ca="1" si="44"/>
        <v>48440</v>
      </c>
      <c r="C92" s="67">
        <f t="shared" ca="1" si="45"/>
        <v>11.36986301369863</v>
      </c>
      <c r="D92" s="30">
        <f t="shared" ca="1" si="55"/>
        <v>3.2999999999999982E-3</v>
      </c>
      <c r="E92" s="30">
        <f t="shared" ca="1" si="46"/>
        <v>1.3299999999999999E-2</v>
      </c>
      <c r="F92" s="30">
        <f t="shared" ca="1" si="46"/>
        <v>8.2999999999999984E-3</v>
      </c>
      <c r="G92" s="39">
        <f t="shared" ca="1" si="46"/>
        <v>3.2999999999999982E-3</v>
      </c>
      <c r="H92" s="4"/>
      <c r="I92" s="26">
        <f t="shared" ca="1" si="47"/>
        <v>48440</v>
      </c>
      <c r="J92" s="43">
        <f t="shared" ca="1" si="48"/>
        <v>0.96317462625804184</v>
      </c>
      <c r="L92" s="26">
        <f t="shared" ca="1" si="49"/>
        <v>48440</v>
      </c>
      <c r="M92" s="43">
        <f t="shared" ca="1" si="50"/>
        <v>0.859659259541253</v>
      </c>
      <c r="N92" s="64"/>
      <c r="O92" s="26">
        <f t="shared" ca="1" si="51"/>
        <v>48440</v>
      </c>
      <c r="P92" s="43">
        <f t="shared" ca="1" si="52"/>
        <v>0.90994614457005718</v>
      </c>
      <c r="Q92" s="64"/>
      <c r="R92" s="26">
        <f t="shared" ca="1" si="53"/>
        <v>48440</v>
      </c>
      <c r="S92" s="43">
        <f t="shared" ca="1" si="54"/>
        <v>0.96317462625804184</v>
      </c>
      <c r="U92" s="26">
        <f t="shared" ca="1" si="36"/>
        <v>48440</v>
      </c>
      <c r="V92" s="43">
        <f t="shared" ca="1" si="37"/>
        <v>0.96432638132218162</v>
      </c>
      <c r="X92" s="26">
        <f t="shared" ca="1" si="38"/>
        <v>48440</v>
      </c>
      <c r="Y92" s="43">
        <f t="shared" ca="1" si="39"/>
        <v>0.86063723621087973</v>
      </c>
      <c r="AA92" s="26">
        <f t="shared" ca="1" si="40"/>
        <v>48440</v>
      </c>
      <c r="AB92" s="43">
        <f t="shared" ca="1" si="41"/>
        <v>0.9109813292553024</v>
      </c>
      <c r="AD92" s="26">
        <f t="shared" ca="1" si="42"/>
        <v>48440</v>
      </c>
      <c r="AE92" s="43">
        <f t="shared" ca="1" si="43"/>
        <v>0.96427036541608868</v>
      </c>
    </row>
    <row r="93" spans="1:31" x14ac:dyDescent="0.3">
      <c r="A93" s="4">
        <f t="shared" ca="1" si="56"/>
        <v>85</v>
      </c>
      <c r="B93" s="26">
        <f t="shared" ca="1" si="44"/>
        <v>48490</v>
      </c>
      <c r="C93" s="67">
        <f t="shared" ca="1" si="45"/>
        <v>11.506849315068493</v>
      </c>
      <c r="D93" s="30">
        <f t="shared" ca="1" si="55"/>
        <v>3.3999999999999981E-3</v>
      </c>
      <c r="E93" s="30">
        <f t="shared" ca="1" si="46"/>
        <v>1.3399999999999999E-2</v>
      </c>
      <c r="F93" s="30">
        <f t="shared" ca="1" si="46"/>
        <v>8.3999999999999977E-3</v>
      </c>
      <c r="G93" s="39">
        <f t="shared" ca="1" si="46"/>
        <v>3.3999999999999981E-3</v>
      </c>
      <c r="H93" s="4"/>
      <c r="I93" s="26">
        <f t="shared" ca="1" si="47"/>
        <v>48490</v>
      </c>
      <c r="J93" s="43">
        <f t="shared" ca="1" si="48"/>
        <v>0.9616321444500624</v>
      </c>
      <c r="L93" s="26">
        <f t="shared" ca="1" si="49"/>
        <v>48490</v>
      </c>
      <c r="M93" s="43">
        <f t="shared" ca="1" si="50"/>
        <v>0.85710762844283561</v>
      </c>
      <c r="N93" s="64"/>
      <c r="O93" s="26">
        <f t="shared" ca="1" si="51"/>
        <v>48490</v>
      </c>
      <c r="P93" s="43">
        <f t="shared" ca="1" si="52"/>
        <v>0.90786686621111534</v>
      </c>
      <c r="Q93" s="64"/>
      <c r="R93" s="26">
        <f t="shared" ca="1" si="53"/>
        <v>48490</v>
      </c>
      <c r="S93" s="43">
        <f t="shared" ca="1" si="54"/>
        <v>0.9616321444500624</v>
      </c>
      <c r="U93" s="26">
        <f t="shared" ca="1" si="36"/>
        <v>48490</v>
      </c>
      <c r="V93" s="43">
        <f t="shared" ca="1" si="37"/>
        <v>0.96279950668809799</v>
      </c>
      <c r="X93" s="26">
        <f t="shared" ca="1" si="38"/>
        <v>48490</v>
      </c>
      <c r="Y93" s="43">
        <f t="shared" ca="1" si="39"/>
        <v>0.8580944569310136</v>
      </c>
      <c r="AA93" s="26">
        <f t="shared" ca="1" si="40"/>
        <v>48490</v>
      </c>
      <c r="AB93" s="43">
        <f t="shared" ca="1" si="41"/>
        <v>0.90891213620676081</v>
      </c>
      <c r="AD93" s="26">
        <f t="shared" ca="1" si="42"/>
        <v>48490</v>
      </c>
      <c r="AE93" s="43">
        <f t="shared" ca="1" si="43"/>
        <v>0.96273931694952453</v>
      </c>
    </row>
    <row r="94" spans="1:31" x14ac:dyDescent="0.3">
      <c r="A94" s="4">
        <f t="shared" ca="1" si="56"/>
        <v>86</v>
      </c>
      <c r="B94" s="26">
        <f t="shared" ca="1" si="44"/>
        <v>48540</v>
      </c>
      <c r="C94" s="67">
        <f t="shared" ca="1" si="45"/>
        <v>11.643835616438356</v>
      </c>
      <c r="D94" s="30">
        <f t="shared" ca="1" si="55"/>
        <v>3.4999999999999979E-3</v>
      </c>
      <c r="E94" s="30">
        <f t="shared" ca="1" si="46"/>
        <v>1.3499999999999998E-2</v>
      </c>
      <c r="F94" s="30">
        <f t="shared" ca="1" si="46"/>
        <v>8.4999999999999971E-3</v>
      </c>
      <c r="G94" s="39">
        <f t="shared" ca="1" si="46"/>
        <v>3.4999999999999979E-3</v>
      </c>
      <c r="H94" s="4"/>
      <c r="I94" s="26">
        <f t="shared" ca="1" si="47"/>
        <v>48540</v>
      </c>
      <c r="J94" s="43">
        <f t="shared" ca="1" si="48"/>
        <v>0.96006582932514017</v>
      </c>
      <c r="L94" s="26">
        <f t="shared" ca="1" si="49"/>
        <v>48540</v>
      </c>
      <c r="M94" s="43">
        <f t="shared" ca="1" si="50"/>
        <v>0.85454015868774169</v>
      </c>
      <c r="N94" s="64"/>
      <c r="O94" s="26">
        <f t="shared" ca="1" si="51"/>
        <v>48540</v>
      </c>
      <c r="P94" s="43">
        <f t="shared" ca="1" si="52"/>
        <v>0.90576752323219434</v>
      </c>
      <c r="Q94" s="64"/>
      <c r="R94" s="26">
        <f t="shared" ca="1" si="53"/>
        <v>48540</v>
      </c>
      <c r="S94" s="43">
        <f t="shared" ca="1" si="54"/>
        <v>0.96006582932514017</v>
      </c>
      <c r="U94" s="26">
        <f t="shared" ca="1" si="36"/>
        <v>48540</v>
      </c>
      <c r="V94" s="43">
        <f t="shared" ca="1" si="37"/>
        <v>0.96124891020691383</v>
      </c>
      <c r="X94" s="26">
        <f t="shared" ca="1" si="38"/>
        <v>48540</v>
      </c>
      <c r="Y94" s="43">
        <f t="shared" ca="1" si="39"/>
        <v>0.85553575071429278</v>
      </c>
      <c r="AA94" s="26">
        <f t="shared" ca="1" si="40"/>
        <v>48540</v>
      </c>
      <c r="AB94" s="43">
        <f t="shared" ca="1" si="41"/>
        <v>0.90682279830016033</v>
      </c>
      <c r="AD94" s="26">
        <f t="shared" ca="1" si="42"/>
        <v>48540</v>
      </c>
      <c r="AE94" s="43">
        <f t="shared" ca="1" si="43"/>
        <v>0.96118436527096163</v>
      </c>
    </row>
    <row r="95" spans="1:31" x14ac:dyDescent="0.3">
      <c r="A95" s="4">
        <f t="shared" ca="1" si="56"/>
        <v>87</v>
      </c>
      <c r="B95" s="26">
        <f t="shared" ca="1" si="44"/>
        <v>48590</v>
      </c>
      <c r="C95" s="67">
        <f t="shared" ca="1" si="45"/>
        <v>11.780821917808218</v>
      </c>
      <c r="D95" s="30">
        <f t="shared" ca="1" si="55"/>
        <v>3.5999999999999977E-3</v>
      </c>
      <c r="E95" s="30">
        <f t="shared" ca="1" si="46"/>
        <v>1.3599999999999998E-2</v>
      </c>
      <c r="F95" s="30">
        <f t="shared" ca="1" si="46"/>
        <v>8.5999999999999983E-3</v>
      </c>
      <c r="G95" s="39">
        <f t="shared" ca="1" si="46"/>
        <v>3.5999999999999977E-3</v>
      </c>
      <c r="H95" s="4"/>
      <c r="I95" s="26">
        <f t="shared" ca="1" si="47"/>
        <v>48590</v>
      </c>
      <c r="J95" s="43">
        <f t="shared" ca="1" si="48"/>
        <v>0.95847580545761224</v>
      </c>
      <c r="L95" s="26">
        <f t="shared" ca="1" si="49"/>
        <v>48590</v>
      </c>
      <c r="M95" s="43">
        <f t="shared" ca="1" si="50"/>
        <v>0.85195703819138002</v>
      </c>
      <c r="N95" s="64"/>
      <c r="O95" s="26">
        <f t="shared" ca="1" si="51"/>
        <v>48590</v>
      </c>
      <c r="P95" s="43">
        <f t="shared" ca="1" si="52"/>
        <v>0.9036482769284544</v>
      </c>
      <c r="Q95" s="64"/>
      <c r="R95" s="26">
        <f t="shared" ca="1" si="53"/>
        <v>48590</v>
      </c>
      <c r="S95" s="43">
        <f t="shared" ca="1" si="54"/>
        <v>0.95847580545761224</v>
      </c>
      <c r="U95" s="26">
        <f t="shared" ca="1" si="36"/>
        <v>48590</v>
      </c>
      <c r="V95" s="43">
        <f t="shared" ca="1" si="37"/>
        <v>0.95967471823961192</v>
      </c>
      <c r="X95" s="26">
        <f t="shared" ca="1" si="38"/>
        <v>48590</v>
      </c>
      <c r="Y95" s="43">
        <f t="shared" ca="1" si="39"/>
        <v>0.85296130504453349</v>
      </c>
      <c r="AA95" s="26">
        <f t="shared" ca="1" si="40"/>
        <v>48590</v>
      </c>
      <c r="AB95" s="43">
        <f t="shared" ca="1" si="41"/>
        <v>0.90471347619408282</v>
      </c>
      <c r="AD95" s="26">
        <f t="shared" ca="1" si="42"/>
        <v>48590</v>
      </c>
      <c r="AE95" s="43">
        <f t="shared" ca="1" si="43"/>
        <v>0.95960563412011612</v>
      </c>
    </row>
    <row r="96" spans="1:31" x14ac:dyDescent="0.3">
      <c r="A96" s="4">
        <f t="shared" ca="1" si="56"/>
        <v>88</v>
      </c>
      <c r="B96" s="26">
        <f t="shared" ca="1" si="44"/>
        <v>48640</v>
      </c>
      <c r="C96" s="67">
        <f t="shared" ca="1" si="45"/>
        <v>11.917808219178083</v>
      </c>
      <c r="D96" s="30">
        <f t="shared" ca="1" si="55"/>
        <v>3.6999999999999976E-3</v>
      </c>
      <c r="E96" s="30">
        <f t="shared" ca="1" si="46"/>
        <v>1.3699999999999997E-2</v>
      </c>
      <c r="F96" s="30">
        <f t="shared" ca="1" si="46"/>
        <v>8.6999999999999977E-3</v>
      </c>
      <c r="G96" s="39">
        <f t="shared" ca="1" si="46"/>
        <v>3.6999999999999976E-3</v>
      </c>
      <c r="H96" s="4"/>
      <c r="I96" s="26">
        <f t="shared" ca="1" si="47"/>
        <v>48640</v>
      </c>
      <c r="J96" s="43">
        <f t="shared" ca="1" si="48"/>
        <v>0.95686219916423709</v>
      </c>
      <c r="L96" s="26">
        <f t="shared" ca="1" si="49"/>
        <v>48640</v>
      </c>
      <c r="M96" s="43">
        <f t="shared" ca="1" si="50"/>
        <v>0.84935845558810041</v>
      </c>
      <c r="N96" s="64"/>
      <c r="O96" s="26">
        <f t="shared" ca="1" si="51"/>
        <v>48640</v>
      </c>
      <c r="P96" s="43">
        <f t="shared" ca="1" si="52"/>
        <v>0.90150928985383716</v>
      </c>
      <c r="Q96" s="64"/>
      <c r="R96" s="26">
        <f t="shared" ca="1" si="53"/>
        <v>48640</v>
      </c>
      <c r="S96" s="43">
        <f t="shared" ca="1" si="54"/>
        <v>0.95686219916423709</v>
      </c>
      <c r="U96" s="26">
        <f t="shared" ca="1" si="36"/>
        <v>48640</v>
      </c>
      <c r="V96" s="43">
        <f t="shared" ca="1" si="37"/>
        <v>0.95807705884491623</v>
      </c>
      <c r="X96" s="26">
        <f t="shared" ca="1" si="38"/>
        <v>48640</v>
      </c>
      <c r="Y96" s="43">
        <f t="shared" ca="1" si="39"/>
        <v>0.85037130813564188</v>
      </c>
      <c r="AA96" s="26">
        <f t="shared" ca="1" si="40"/>
        <v>48640</v>
      </c>
      <c r="AB96" s="43">
        <f t="shared" ca="1" si="41"/>
        <v>0.90258433181621855</v>
      </c>
      <c r="AD96" s="26">
        <f t="shared" ca="1" si="42"/>
        <v>48640</v>
      </c>
      <c r="AE96" s="43">
        <f t="shared" ca="1" si="43"/>
        <v>0.95800324898801092</v>
      </c>
    </row>
    <row r="97" spans="1:31" x14ac:dyDescent="0.3">
      <c r="A97" s="4">
        <f t="shared" ca="1" si="56"/>
        <v>89</v>
      </c>
      <c r="B97" s="26">
        <f t="shared" ca="1" si="44"/>
        <v>48690</v>
      </c>
      <c r="C97" s="67">
        <f t="shared" ca="1" si="45"/>
        <v>12.054794520547945</v>
      </c>
      <c r="D97" s="30">
        <f t="shared" ca="1" si="55"/>
        <v>3.7999999999999974E-3</v>
      </c>
      <c r="E97" s="30">
        <f t="shared" ca="1" si="46"/>
        <v>1.3799999999999998E-2</v>
      </c>
      <c r="F97" s="30">
        <f t="shared" ca="1" si="46"/>
        <v>8.7999999999999971E-3</v>
      </c>
      <c r="G97" s="39">
        <f t="shared" ca="1" si="46"/>
        <v>3.7999999999999974E-3</v>
      </c>
      <c r="H97" s="4"/>
      <c r="I97" s="26">
        <f t="shared" ca="1" si="47"/>
        <v>48690</v>
      </c>
      <c r="J97" s="43">
        <f t="shared" ca="1" si="48"/>
        <v>0.95522513848747859</v>
      </c>
      <c r="L97" s="26">
        <f t="shared" ca="1" si="49"/>
        <v>48690</v>
      </c>
      <c r="M97" s="43">
        <f t="shared" ca="1" si="50"/>
        <v>0.84674460020838049</v>
      </c>
      <c r="N97" s="64"/>
      <c r="O97" s="26">
        <f t="shared" ca="1" si="51"/>
        <v>48690</v>
      </c>
      <c r="P97" s="43">
        <f t="shared" ca="1" si="52"/>
        <v>0.89935072580032693</v>
      </c>
      <c r="Q97" s="64"/>
      <c r="R97" s="26">
        <f t="shared" ca="1" si="53"/>
        <v>48690</v>
      </c>
      <c r="S97" s="43">
        <f t="shared" ca="1" si="54"/>
        <v>0.95522513848747859</v>
      </c>
      <c r="U97" s="26">
        <f t="shared" ca="1" si="36"/>
        <v>48690</v>
      </c>
      <c r="V97" s="43">
        <f t="shared" ca="1" si="37"/>
        <v>0.95645606176203257</v>
      </c>
      <c r="X97" s="26">
        <f t="shared" ca="1" si="38"/>
        <v>48690</v>
      </c>
      <c r="Y97" s="43">
        <f t="shared" ca="1" si="39"/>
        <v>0.84776594890882218</v>
      </c>
      <c r="AA97" s="26">
        <f t="shared" ca="1" si="40"/>
        <v>48690</v>
      </c>
      <c r="AB97" s="43">
        <f t="shared" ca="1" si="41"/>
        <v>0.90043552834268914</v>
      </c>
      <c r="AD97" s="26">
        <f t="shared" ca="1" si="42"/>
        <v>48690</v>
      </c>
      <c r="AE97" s="43">
        <f t="shared" ca="1" si="43"/>
        <v>0.95637733710035822</v>
      </c>
    </row>
    <row r="98" spans="1:31" x14ac:dyDescent="0.3">
      <c r="A98" s="4">
        <f t="shared" ca="1" si="56"/>
        <v>90</v>
      </c>
      <c r="B98" s="26">
        <f t="shared" ca="1" si="44"/>
        <v>48740</v>
      </c>
      <c r="C98" s="67">
        <f t="shared" ca="1" si="45"/>
        <v>12.191780821917808</v>
      </c>
      <c r="D98" s="30">
        <f t="shared" ca="1" si="55"/>
        <v>3.8999999999999972E-3</v>
      </c>
      <c r="E98" s="30">
        <f t="shared" ca="1" si="46"/>
        <v>1.3899999999999997E-2</v>
      </c>
      <c r="F98" s="30">
        <f t="shared" ca="1" si="46"/>
        <v>8.8999999999999982E-3</v>
      </c>
      <c r="G98" s="39">
        <f t="shared" ca="1" si="46"/>
        <v>3.8999999999999972E-3</v>
      </c>
      <c r="H98" s="4"/>
      <c r="I98" s="26">
        <f t="shared" ca="1" si="47"/>
        <v>48740</v>
      </c>
      <c r="J98" s="43">
        <f t="shared" ca="1" si="48"/>
        <v>0.95356475317857969</v>
      </c>
      <c r="L98" s="26">
        <f t="shared" ca="1" si="49"/>
        <v>48740</v>
      </c>
      <c r="M98" s="43">
        <f t="shared" ca="1" si="50"/>
        <v>0.84411566205598532</v>
      </c>
      <c r="N98" s="64"/>
      <c r="O98" s="26">
        <f t="shared" ca="1" si="51"/>
        <v>48740</v>
      </c>
      <c r="P98" s="43">
        <f t="shared" ca="1" si="52"/>
        <v>0.89717274977709227</v>
      </c>
      <c r="Q98" s="64"/>
      <c r="R98" s="26">
        <f t="shared" ca="1" si="53"/>
        <v>48740</v>
      </c>
      <c r="S98" s="43">
        <f t="shared" ca="1" si="54"/>
        <v>0.95356475317857969</v>
      </c>
      <c r="U98" s="26">
        <f t="shared" ca="1" si="36"/>
        <v>48740</v>
      </c>
      <c r="V98" s="43">
        <f t="shared" ca="1" si="37"/>
        <v>0.95481185839319349</v>
      </c>
      <c r="X98" s="26">
        <f t="shared" ca="1" si="38"/>
        <v>48740</v>
      </c>
      <c r="Y98" s="43">
        <f t="shared" ca="1" si="39"/>
        <v>0.84514541696975731</v>
      </c>
      <c r="AA98" s="26">
        <f t="shared" ca="1" si="40"/>
        <v>48740</v>
      </c>
      <c r="AB98" s="43">
        <f t="shared" ca="1" si="41"/>
        <v>0.89826723017724863</v>
      </c>
      <c r="AD98" s="26">
        <f t="shared" ca="1" si="42"/>
        <v>48740</v>
      </c>
      <c r="AE98" s="43">
        <f t="shared" ca="1" si="43"/>
        <v>0.95472802740073281</v>
      </c>
    </row>
    <row r="99" spans="1:31" x14ac:dyDescent="0.3">
      <c r="A99" s="4">
        <f t="shared" ca="1" si="56"/>
        <v>91</v>
      </c>
      <c r="B99" s="26">
        <f t="shared" ca="1" si="44"/>
        <v>48790</v>
      </c>
      <c r="C99" s="67">
        <f t="shared" ca="1" si="45"/>
        <v>12.328767123287671</v>
      </c>
      <c r="D99" s="30">
        <f t="shared" ca="1" si="55"/>
        <v>3.9999999999999975E-3</v>
      </c>
      <c r="E99" s="30">
        <f t="shared" ca="1" si="46"/>
        <v>1.3999999999999999E-2</v>
      </c>
      <c r="F99" s="30">
        <f t="shared" ca="1" si="46"/>
        <v>8.9999999999999976E-3</v>
      </c>
      <c r="G99" s="39">
        <f t="shared" ca="1" si="46"/>
        <v>3.9999999999999975E-3</v>
      </c>
      <c r="H99" s="4"/>
      <c r="I99" s="26">
        <f t="shared" ca="1" si="47"/>
        <v>48790</v>
      </c>
      <c r="J99" s="43">
        <f t="shared" ca="1" si="48"/>
        <v>0.95188117468043343</v>
      </c>
      <c r="L99" s="26">
        <f t="shared" ca="1" si="49"/>
        <v>48790</v>
      </c>
      <c r="M99" s="43">
        <f t="shared" ca="1" si="50"/>
        <v>0.84147183178510632</v>
      </c>
      <c r="N99" s="64"/>
      <c r="O99" s="26">
        <f t="shared" ca="1" si="51"/>
        <v>48790</v>
      </c>
      <c r="P99" s="43">
        <f t="shared" ca="1" si="52"/>
        <v>0.89497552798951052</v>
      </c>
      <c r="Q99" s="64"/>
      <c r="R99" s="26">
        <f t="shared" ca="1" si="53"/>
        <v>48790</v>
      </c>
      <c r="S99" s="43">
        <f t="shared" ca="1" si="54"/>
        <v>0.95188117468043343</v>
      </c>
      <c r="U99" s="26">
        <f t="shared" ca="1" si="36"/>
        <v>48790</v>
      </c>
      <c r="V99" s="43">
        <f t="shared" ca="1" si="37"/>
        <v>0.95314458178601369</v>
      </c>
      <c r="X99" s="26">
        <f t="shared" ca="1" si="38"/>
        <v>48790</v>
      </c>
      <c r="Y99" s="43">
        <f t="shared" ca="1" si="39"/>
        <v>0.84250990258576508</v>
      </c>
      <c r="AA99" s="26">
        <f t="shared" ca="1" si="40"/>
        <v>48790</v>
      </c>
      <c r="AB99" s="43">
        <f t="shared" ca="1" si="41"/>
        <v>0.89607960293036637</v>
      </c>
      <c r="AD99" s="26">
        <f t="shared" ca="1" si="42"/>
        <v>48790</v>
      </c>
      <c r="AE99" s="43">
        <f t="shared" ca="1" si="43"/>
        <v>0.95305545053353746</v>
      </c>
    </row>
    <row r="100" spans="1:31" x14ac:dyDescent="0.3">
      <c r="A100" s="4">
        <f t="shared" ca="1" si="56"/>
        <v>92</v>
      </c>
      <c r="B100" s="26">
        <f t="shared" ca="1" si="44"/>
        <v>48840</v>
      </c>
      <c r="C100" s="67">
        <f t="shared" ca="1" si="45"/>
        <v>12.465753424657533</v>
      </c>
      <c r="D100" s="30">
        <f t="shared" ca="1" si="55"/>
        <v>4.0999999999999977E-3</v>
      </c>
      <c r="E100" s="30">
        <f t="shared" ca="1" si="46"/>
        <v>1.4099999999999998E-2</v>
      </c>
      <c r="F100" s="30">
        <f t="shared" ca="1" si="46"/>
        <v>9.099999999999997E-3</v>
      </c>
      <c r="G100" s="39">
        <f t="shared" ca="1" si="46"/>
        <v>4.0999999999999977E-3</v>
      </c>
      <c r="H100" s="4"/>
      <c r="I100" s="26">
        <f t="shared" ca="1" si="47"/>
        <v>48840</v>
      </c>
      <c r="J100" s="43">
        <f t="shared" ca="1" si="48"/>
        <v>0.95017453611024938</v>
      </c>
      <c r="L100" s="26">
        <f t="shared" ca="1" si="49"/>
        <v>48840</v>
      </c>
      <c r="M100" s="43">
        <f t="shared" ca="1" si="50"/>
        <v>0.83881330067748072</v>
      </c>
      <c r="N100" s="64"/>
      <c r="O100" s="26">
        <f t="shared" ca="1" si="51"/>
        <v>48840</v>
      </c>
      <c r="P100" s="43">
        <f t="shared" ca="1" si="52"/>
        <v>0.89275922781807882</v>
      </c>
      <c r="Q100" s="64"/>
      <c r="R100" s="26">
        <f t="shared" ca="1" si="53"/>
        <v>48840</v>
      </c>
      <c r="S100" s="43">
        <f t="shared" ca="1" si="54"/>
        <v>0.95017453611024938</v>
      </c>
      <c r="U100" s="26">
        <f t="shared" ca="1" si="36"/>
        <v>48840</v>
      </c>
      <c r="V100" s="43">
        <f t="shared" ca="1" si="37"/>
        <v>0.95145436661565708</v>
      </c>
      <c r="X100" s="26">
        <f t="shared" ca="1" si="38"/>
        <v>48840</v>
      </c>
      <c r="Y100" s="43">
        <f t="shared" ca="1" si="39"/>
        <v>0.83985959666293475</v>
      </c>
      <c r="AA100" s="26">
        <f t="shared" ca="1" si="40"/>
        <v>48840</v>
      </c>
      <c r="AB100" s="43">
        <f t="shared" ca="1" si="41"/>
        <v>0.89387281339819391</v>
      </c>
      <c r="AD100" s="26">
        <f t="shared" ca="1" si="42"/>
        <v>48840</v>
      </c>
      <c r="AE100" s="43">
        <f t="shared" ca="1" si="43"/>
        <v>0.95135973882676561</v>
      </c>
    </row>
    <row r="101" spans="1:31" x14ac:dyDescent="0.3">
      <c r="A101" s="4">
        <f t="shared" ca="1" si="56"/>
        <v>93</v>
      </c>
      <c r="B101" s="26">
        <f t="shared" ca="1" si="44"/>
        <v>48890</v>
      </c>
      <c r="C101" s="67">
        <f t="shared" ca="1" si="45"/>
        <v>12.602739726027398</v>
      </c>
      <c r="D101" s="30">
        <f t="shared" ca="1" si="55"/>
        <v>4.199999999999998E-3</v>
      </c>
      <c r="E101" s="30">
        <f t="shared" ca="1" si="46"/>
        <v>1.4199999999999997E-2</v>
      </c>
      <c r="F101" s="30">
        <f t="shared" ca="1" si="46"/>
        <v>9.1999999999999981E-3</v>
      </c>
      <c r="G101" s="39">
        <f t="shared" ca="1" si="46"/>
        <v>4.199999999999998E-3</v>
      </c>
      <c r="H101" s="4"/>
      <c r="I101" s="26">
        <f t="shared" ca="1" si="47"/>
        <v>48890</v>
      </c>
      <c r="J101" s="43">
        <f t="shared" ca="1" si="48"/>
        <v>0.94844497224202362</v>
      </c>
      <c r="L101" s="26">
        <f t="shared" ca="1" si="49"/>
        <v>48890</v>
      </c>
      <c r="M101" s="43">
        <f t="shared" ca="1" si="50"/>
        <v>0.83614026061949676</v>
      </c>
      <c r="N101" s="64"/>
      <c r="O101" s="26">
        <f t="shared" ca="1" si="51"/>
        <v>48890</v>
      </c>
      <c r="P101" s="43">
        <f t="shared" ca="1" si="52"/>
        <v>0.89052401779721646</v>
      </c>
      <c r="Q101" s="64"/>
      <c r="R101" s="26">
        <f t="shared" ca="1" si="53"/>
        <v>48890</v>
      </c>
      <c r="S101" s="43">
        <f t="shared" ca="1" si="54"/>
        <v>0.94844497224202362</v>
      </c>
      <c r="U101" s="26">
        <f t="shared" ca="1" si="36"/>
        <v>48890</v>
      </c>
      <c r="V101" s="43">
        <f t="shared" ca="1" si="37"/>
        <v>0.94974134916681963</v>
      </c>
      <c r="X101" s="26">
        <f t="shared" ca="1" si="38"/>
        <v>48890</v>
      </c>
      <c r="Y101" s="43">
        <f t="shared" ca="1" si="39"/>
        <v>0.83719469072324693</v>
      </c>
      <c r="AA101" s="26">
        <f t="shared" ca="1" si="40"/>
        <v>48890</v>
      </c>
      <c r="AB101" s="43">
        <f t="shared" ca="1" si="41"/>
        <v>0.89164702954142083</v>
      </c>
      <c r="AD101" s="26">
        <f t="shared" ca="1" si="42"/>
        <v>48890</v>
      </c>
      <c r="AE101" s="43">
        <f t="shared" ca="1" si="43"/>
        <v>0.94964102627456293</v>
      </c>
    </row>
    <row r="102" spans="1:31" x14ac:dyDescent="0.3">
      <c r="A102" s="4">
        <f t="shared" ref="A102:A107" ca="1" si="57">A101+1</f>
        <v>94</v>
      </c>
      <c r="B102" s="26">
        <f t="shared" ca="1" si="44"/>
        <v>48940</v>
      </c>
      <c r="C102" s="67">
        <f t="shared" ca="1" si="45"/>
        <v>12.739726027397261</v>
      </c>
      <c r="D102" s="30">
        <f t="shared" ca="1" si="55"/>
        <v>4.2999999999999983E-3</v>
      </c>
      <c r="E102" s="30">
        <f t="shared" ca="1" si="46"/>
        <v>1.4299999999999998E-2</v>
      </c>
      <c r="F102" s="30">
        <f t="shared" ca="1" si="46"/>
        <v>9.2999999999999992E-3</v>
      </c>
      <c r="G102" s="39">
        <f t="shared" ca="1" si="46"/>
        <v>4.2999999999999983E-3</v>
      </c>
      <c r="H102" s="4"/>
      <c r="I102" s="26">
        <f t="shared" ca="1" si="47"/>
        <v>48940</v>
      </c>
      <c r="J102" s="43">
        <f t="shared" ca="1" si="48"/>
        <v>0.94669261948881134</v>
      </c>
      <c r="L102" s="26">
        <f t="shared" ca="1" si="49"/>
        <v>48940</v>
      </c>
      <c r="M102" s="43">
        <f t="shared" ca="1" si="50"/>
        <v>0.83345290407928896</v>
      </c>
      <c r="N102" s="64"/>
      <c r="O102" s="26">
        <f t="shared" ca="1" si="51"/>
        <v>48940</v>
      </c>
      <c r="P102" s="43">
        <f t="shared" ca="1" si="52"/>
        <v>0.88827006759396054</v>
      </c>
      <c r="Q102" s="64"/>
      <c r="R102" s="26">
        <f t="shared" ca="1" si="53"/>
        <v>48940</v>
      </c>
      <c r="S102" s="43">
        <f t="shared" ca="1" si="54"/>
        <v>0.94669261948881134</v>
      </c>
      <c r="U102" s="26">
        <f t="shared" ca="1" si="36"/>
        <v>48940</v>
      </c>
      <c r="V102" s="43">
        <f t="shared" ca="1" si="37"/>
        <v>0.9480056673155306</v>
      </c>
      <c r="X102" s="26">
        <f t="shared" ca="1" si="38"/>
        <v>48940</v>
      </c>
      <c r="Y102" s="43">
        <f t="shared" ca="1" si="39"/>
        <v>0.83451537688168054</v>
      </c>
      <c r="AA102" s="26">
        <f t="shared" ca="1" si="40"/>
        <v>48940</v>
      </c>
      <c r="AB102" s="43">
        <f t="shared" ca="1" si="41"/>
        <v>0.88940242046402418</v>
      </c>
      <c r="AD102" s="26">
        <f t="shared" ca="1" si="42"/>
        <v>48940</v>
      </c>
      <c r="AE102" s="43">
        <f t="shared" ca="1" si="43"/>
        <v>0.94789944851959251</v>
      </c>
    </row>
    <row r="103" spans="1:31" x14ac:dyDescent="0.3">
      <c r="A103" s="4">
        <f t="shared" ca="1" si="57"/>
        <v>95</v>
      </c>
      <c r="B103" s="26">
        <f t="shared" ca="1" si="44"/>
        <v>48990</v>
      </c>
      <c r="C103" s="67">
        <f t="shared" ca="1" si="45"/>
        <v>12.876712328767123</v>
      </c>
      <c r="D103" s="30">
        <f t="shared" ca="1" si="55"/>
        <v>4.3999999999999985E-3</v>
      </c>
      <c r="E103" s="30">
        <f t="shared" ca="1" si="46"/>
        <v>1.44E-2</v>
      </c>
      <c r="F103" s="30">
        <f t="shared" ca="1" si="46"/>
        <v>9.3999999999999986E-3</v>
      </c>
      <c r="G103" s="39">
        <f t="shared" ca="1" si="46"/>
        <v>4.3999999999999985E-3</v>
      </c>
      <c r="H103" s="4"/>
      <c r="I103" s="26">
        <f t="shared" ca="1" si="47"/>
        <v>48990</v>
      </c>
      <c r="J103" s="43">
        <f t="shared" ca="1" si="48"/>
        <v>0.94491761588480827</v>
      </c>
      <c r="L103" s="26">
        <f t="shared" ca="1" si="49"/>
        <v>48990</v>
      </c>
      <c r="M103" s="43">
        <f t="shared" ca="1" si="50"/>
        <v>0.83075142408382552</v>
      </c>
      <c r="N103" s="64"/>
      <c r="O103" s="26">
        <f t="shared" ca="1" si="51"/>
        <v>48990</v>
      </c>
      <c r="P103" s="43">
        <f t="shared" ca="1" si="52"/>
        <v>0.88599754798656061</v>
      </c>
      <c r="Q103" s="64"/>
      <c r="R103" s="26">
        <f t="shared" ca="1" si="53"/>
        <v>48990</v>
      </c>
      <c r="S103" s="43">
        <f t="shared" ca="1" si="54"/>
        <v>0.94491761588480827</v>
      </c>
      <c r="U103" s="26">
        <f t="shared" ca="1" si="36"/>
        <v>48990</v>
      </c>
      <c r="V103" s="43">
        <f t="shared" ca="1" si="37"/>
        <v>0.94624746051077802</v>
      </c>
      <c r="X103" s="26">
        <f t="shared" ca="1" si="38"/>
        <v>48990</v>
      </c>
      <c r="Y103" s="43">
        <f t="shared" ca="1" si="39"/>
        <v>0.83182184782331225</v>
      </c>
      <c r="AA103" s="26">
        <f t="shared" ca="1" si="40"/>
        <v>48990</v>
      </c>
      <c r="AB103" s="43">
        <f t="shared" ca="1" si="41"/>
        <v>0.8871391563919121</v>
      </c>
      <c r="AD103" s="26">
        <f t="shared" ca="1" si="42"/>
        <v>48990</v>
      </c>
      <c r="AE103" s="43">
        <f t="shared" ca="1" si="43"/>
        <v>0.94613514283520472</v>
      </c>
    </row>
    <row r="104" spans="1:31" x14ac:dyDescent="0.3">
      <c r="A104" s="4">
        <f t="shared" ca="1" si="57"/>
        <v>96</v>
      </c>
      <c r="B104" s="26">
        <f t="shared" ca="1" si="44"/>
        <v>49040</v>
      </c>
      <c r="C104" s="67">
        <f t="shared" ca="1" si="45"/>
        <v>13.013698630136986</v>
      </c>
      <c r="D104" s="30">
        <f t="shared" ca="1" si="55"/>
        <v>4.4999999999999988E-3</v>
      </c>
      <c r="E104" s="30">
        <f t="shared" ca="1" si="46"/>
        <v>1.4499999999999999E-2</v>
      </c>
      <c r="F104" s="30">
        <f t="shared" ca="1" si="46"/>
        <v>9.499999999999998E-3</v>
      </c>
      <c r="G104" s="39">
        <f t="shared" ca="1" si="46"/>
        <v>4.4999999999999988E-3</v>
      </c>
      <c r="H104" s="4"/>
      <c r="I104" s="26">
        <f t="shared" ca="1" si="47"/>
        <v>49040</v>
      </c>
      <c r="J104" s="43">
        <f t="shared" ca="1" si="48"/>
        <v>0.94312010106724253</v>
      </c>
      <c r="L104" s="26">
        <f t="shared" ca="1" si="49"/>
        <v>49040</v>
      </c>
      <c r="M104" s="43">
        <f t="shared" ca="1" si="50"/>
        <v>0.82803601419599315</v>
      </c>
      <c r="N104" s="64"/>
      <c r="O104" s="26">
        <f t="shared" ca="1" si="51"/>
        <v>49040</v>
      </c>
      <c r="P104" s="43">
        <f t="shared" ca="1" si="52"/>
        <v>0.88370663084297485</v>
      </c>
      <c r="Q104" s="64"/>
      <c r="R104" s="26">
        <f t="shared" ca="1" si="53"/>
        <v>49040</v>
      </c>
      <c r="S104" s="43">
        <f t="shared" ca="1" si="54"/>
        <v>0.94312010106724253</v>
      </c>
      <c r="U104" s="26">
        <f t="shared" ca="1" si="36"/>
        <v>49040</v>
      </c>
      <c r="V104" s="43">
        <f t="shared" ca="1" si="37"/>
        <v>0.94446686975595762</v>
      </c>
      <c r="X104" s="26">
        <f t="shared" ca="1" si="38"/>
        <v>49040</v>
      </c>
      <c r="Y104" s="43">
        <f t="shared" ca="1" si="39"/>
        <v>0.82911429678040904</v>
      </c>
      <c r="AA104" s="26">
        <f t="shared" ca="1" si="40"/>
        <v>49040</v>
      </c>
      <c r="AB104" s="43">
        <f t="shared" ca="1" si="41"/>
        <v>0.88485740865146911</v>
      </c>
      <c r="AD104" s="26">
        <f t="shared" ca="1" si="42"/>
        <v>49040</v>
      </c>
      <c r="AE104" s="43">
        <f t="shared" ca="1" si="43"/>
        <v>0.94434824810741791</v>
      </c>
    </row>
    <row r="105" spans="1:31" x14ac:dyDescent="0.3">
      <c r="A105" s="4">
        <f t="shared" ca="1" si="57"/>
        <v>97</v>
      </c>
      <c r="B105" s="26">
        <f t="shared" ca="1" si="44"/>
        <v>49090</v>
      </c>
      <c r="C105" s="67">
        <f t="shared" ca="1" si="45"/>
        <v>13.150684931506849</v>
      </c>
      <c r="D105" s="30">
        <f t="shared" ca="1" si="55"/>
        <v>4.5999999999999991E-3</v>
      </c>
      <c r="E105" s="30">
        <f t="shared" ca="1" si="46"/>
        <v>1.4599999999999998E-2</v>
      </c>
      <c r="F105" s="30">
        <f t="shared" ca="1" si="46"/>
        <v>9.5999999999999992E-3</v>
      </c>
      <c r="G105" s="39">
        <f t="shared" ca="1" si="46"/>
        <v>4.5999999999999991E-3</v>
      </c>
      <c r="H105" s="4"/>
      <c r="I105" s="26">
        <f t="shared" ca="1" si="47"/>
        <v>49090</v>
      </c>
      <c r="J105" s="43">
        <f t="shared" ca="1" si="48"/>
        <v>0.94130021625808125</v>
      </c>
      <c r="L105" s="26">
        <f t="shared" ca="1" si="49"/>
        <v>49090</v>
      </c>
      <c r="M105" s="43">
        <f t="shared" ca="1" si="50"/>
        <v>0.82530686849168244</v>
      </c>
      <c r="N105" s="64"/>
      <c r="O105" s="26">
        <f t="shared" ca="1" si="51"/>
        <v>49090</v>
      </c>
      <c r="P105" s="43">
        <f t="shared" ca="1" si="52"/>
        <v>0.88139748909927151</v>
      </c>
      <c r="Q105" s="64"/>
      <c r="R105" s="26">
        <f t="shared" ca="1" si="53"/>
        <v>49090</v>
      </c>
      <c r="S105" s="43">
        <f t="shared" ca="1" si="54"/>
        <v>0.94130021625808125</v>
      </c>
      <c r="U105" s="26">
        <f t="shared" ca="1" si="36"/>
        <v>49090</v>
      </c>
      <c r="V105" s="43">
        <f t="shared" ca="1" si="37"/>
        <v>0.94266403759015172</v>
      </c>
      <c r="X105" s="26">
        <f t="shared" ca="1" si="38"/>
        <v>49090</v>
      </c>
      <c r="Y105" s="43">
        <f t="shared" ca="1" si="39"/>
        <v>0.82639291750952115</v>
      </c>
      <c r="AA105" s="26">
        <f t="shared" ca="1" si="40"/>
        <v>49090</v>
      </c>
      <c r="AB105" s="43">
        <f t="shared" ca="1" si="41"/>
        <v>0.88255734964800436</v>
      </c>
      <c r="AD105" s="26">
        <f t="shared" ca="1" si="42"/>
        <v>49090</v>
      </c>
      <c r="AE105" s="43">
        <f t="shared" ca="1" si="43"/>
        <v>0.9425389048167101</v>
      </c>
    </row>
    <row r="106" spans="1:31" x14ac:dyDescent="0.3">
      <c r="A106" s="4">
        <f t="shared" ca="1" si="57"/>
        <v>98</v>
      </c>
      <c r="B106" s="26">
        <f t="shared" ca="1" si="44"/>
        <v>49140</v>
      </c>
      <c r="C106" s="67">
        <f t="shared" ref="C106:C108" ca="1" si="58">(B106-AsOfDate)/365</f>
        <v>13.287671232876713</v>
      </c>
      <c r="D106" s="30">
        <f t="shared" ca="1" si="55"/>
        <v>4.6999999999999993E-3</v>
      </c>
      <c r="E106" s="30">
        <f t="shared" ca="1" si="46"/>
        <v>1.47E-2</v>
      </c>
      <c r="F106" s="30">
        <f t="shared" ca="1" si="46"/>
        <v>9.7000000000000003E-3</v>
      </c>
      <c r="G106" s="39">
        <f t="shared" ca="1" si="46"/>
        <v>4.6999999999999993E-3</v>
      </c>
      <c r="H106" s="4"/>
      <c r="I106" s="26">
        <f t="shared" ca="1" si="47"/>
        <v>49140</v>
      </c>
      <c r="J106" s="43">
        <f t="shared" ca="1" si="48"/>
        <v>0.9394581042455542</v>
      </c>
      <c r="L106" s="26">
        <f t="shared" ca="1" si="49"/>
        <v>49140</v>
      </c>
      <c r="M106" s="43">
        <f t="shared" ca="1" si="50"/>
        <v>0.82256418153687771</v>
      </c>
      <c r="N106" s="64"/>
      <c r="O106" s="26">
        <f t="shared" ca="1" si="51"/>
        <v>49140</v>
      </c>
      <c r="P106" s="43">
        <f t="shared" ca="1" si="52"/>
        <v>0.87907029673794068</v>
      </c>
      <c r="Q106" s="64"/>
      <c r="R106" s="26">
        <f t="shared" ca="1" si="53"/>
        <v>49140</v>
      </c>
      <c r="S106" s="43">
        <f t="shared" ca="1" si="54"/>
        <v>0.9394581042455542</v>
      </c>
      <c r="U106" s="26">
        <f t="shared" ca="1" si="36"/>
        <v>49140</v>
      </c>
      <c r="V106" s="43">
        <f t="shared" ca="1" si="37"/>
        <v>0.94083910806924231</v>
      </c>
      <c r="X106" s="26">
        <f t="shared" ca="1" si="38"/>
        <v>49140</v>
      </c>
      <c r="Y106" s="43">
        <f t="shared" ca="1" si="39"/>
        <v>0.82365790426857688</v>
      </c>
      <c r="AA106" s="26">
        <f t="shared" ca="1" si="40"/>
        <v>49140</v>
      </c>
      <c r="AB106" s="43">
        <f t="shared" ca="1" si="41"/>
        <v>0.88023915284410781</v>
      </c>
      <c r="AD106" s="26">
        <f t="shared" ca="1" si="42"/>
        <v>49140</v>
      </c>
      <c r="AE106" s="43">
        <f t="shared" ca="1" si="43"/>
        <v>0.94070725501962815</v>
      </c>
    </row>
    <row r="107" spans="1:31" x14ac:dyDescent="0.3">
      <c r="A107" s="4">
        <f t="shared" ca="1" si="57"/>
        <v>99</v>
      </c>
      <c r="B107" s="26">
        <f t="shared" ca="1" si="44"/>
        <v>49190</v>
      </c>
      <c r="C107" s="67">
        <f t="shared" ca="1" si="58"/>
        <v>13.424657534246576</v>
      </c>
      <c r="D107" s="30">
        <f t="shared" ca="1" si="55"/>
        <v>4.7999999999999996E-3</v>
      </c>
      <c r="E107" s="30">
        <f t="shared" ca="1" si="46"/>
        <v>1.4800000000000001E-2</v>
      </c>
      <c r="F107" s="30">
        <f t="shared" ca="1" si="46"/>
        <v>9.7999999999999997E-3</v>
      </c>
      <c r="G107" s="39">
        <f t="shared" ca="1" si="46"/>
        <v>4.7999999999999996E-3</v>
      </c>
      <c r="H107" s="4"/>
      <c r="I107" s="26">
        <f t="shared" ca="1" si="47"/>
        <v>49190</v>
      </c>
      <c r="J107" s="43">
        <f t="shared" ca="1" si="48"/>
        <v>0.93759390936549936</v>
      </c>
      <c r="L107" s="26">
        <f t="shared" ca="1" si="49"/>
        <v>49190</v>
      </c>
      <c r="M107" s="43">
        <f t="shared" ca="1" si="50"/>
        <v>0.81980814836475535</v>
      </c>
      <c r="N107" s="64"/>
      <c r="O107" s="26">
        <f t="shared" ca="1" si="51"/>
        <v>49190</v>
      </c>
      <c r="P107" s="43">
        <f t="shared" ca="1" si="52"/>
        <v>0.87672522876611825</v>
      </c>
      <c r="Q107" s="64"/>
      <c r="R107" s="26">
        <f t="shared" ca="1" si="53"/>
        <v>49190</v>
      </c>
      <c r="S107" s="43">
        <f t="shared" ca="1" si="54"/>
        <v>0.93759390936549936</v>
      </c>
      <c r="U107" s="26">
        <f t="shared" ca="1" si="36"/>
        <v>49190</v>
      </c>
      <c r="V107" s="43">
        <f t="shared" ca="1" si="37"/>
        <v>0.93899222674685745</v>
      </c>
      <c r="X107" s="26">
        <f t="shared" ca="1" si="38"/>
        <v>49190</v>
      </c>
      <c r="Y107" s="43">
        <f t="shared" ca="1" si="39"/>
        <v>0.82090945179398367</v>
      </c>
      <c r="AA107" s="26">
        <f t="shared" ca="1" si="40"/>
        <v>49190</v>
      </c>
      <c r="AB107" s="43">
        <f t="shared" ca="1" si="41"/>
        <v>0.87790299273791705</v>
      </c>
      <c r="AD107" s="26">
        <f t="shared" ca="1" si="42"/>
        <v>49190</v>
      </c>
      <c r="AE107" s="43">
        <f t="shared" ca="1" si="43"/>
        <v>0.93885344233021506</v>
      </c>
    </row>
    <row r="108" spans="1:31" x14ac:dyDescent="0.3">
      <c r="A108" s="4">
        <f t="shared" ref="A108" ca="1" si="59">A107+1</f>
        <v>100</v>
      </c>
      <c r="B108" s="32">
        <f t="shared" ca="1" si="44"/>
        <v>49240</v>
      </c>
      <c r="C108" s="68">
        <f t="shared" ca="1" si="58"/>
        <v>13.561643835616438</v>
      </c>
      <c r="D108" s="36">
        <f t="shared" ca="1" si="55"/>
        <v>4.8999999999999998E-3</v>
      </c>
      <c r="E108" s="36">
        <f t="shared" ca="1" si="46"/>
        <v>1.49E-2</v>
      </c>
      <c r="F108" s="36">
        <f t="shared" ca="1" si="46"/>
        <v>9.8999999999999991E-3</v>
      </c>
      <c r="G108" s="40">
        <f t="shared" ca="1" si="46"/>
        <v>4.8999999999999998E-3</v>
      </c>
      <c r="H108" s="4"/>
      <c r="I108" s="32">
        <f t="shared" ca="1" si="47"/>
        <v>49240</v>
      </c>
      <c r="J108" s="44">
        <f t="shared" ca="1" si="48"/>
        <v>0.93570777748253242</v>
      </c>
      <c r="L108" s="32">
        <f t="shared" ca="1" si="49"/>
        <v>49240</v>
      </c>
      <c r="M108" s="44">
        <f t="shared" ca="1" si="50"/>
        <v>0.817038964452793</v>
      </c>
      <c r="N108" s="64"/>
      <c r="O108" s="32">
        <f t="shared" ca="1" si="51"/>
        <v>49240</v>
      </c>
      <c r="P108" s="44">
        <f t="shared" ca="1" si="52"/>
        <v>0.87436246119372751</v>
      </c>
      <c r="Q108" s="64"/>
      <c r="R108" s="32">
        <f t="shared" ca="1" si="53"/>
        <v>49240</v>
      </c>
      <c r="S108" s="44">
        <f t="shared" ca="1" si="54"/>
        <v>0.93570777748253242</v>
      </c>
      <c r="U108" s="32">
        <f t="shared" ca="1" si="36"/>
        <v>49240</v>
      </c>
      <c r="V108" s="44">
        <f t="shared" ca="1" si="37"/>
        <v>0.93712354065516013</v>
      </c>
      <c r="X108" s="32">
        <f t="shared" ca="1" si="38"/>
        <v>49240</v>
      </c>
      <c r="Y108" s="44">
        <f t="shared" ca="1" si="39"/>
        <v>0.81814775527773975</v>
      </c>
      <c r="AA108" s="32">
        <f t="shared" ca="1" si="40"/>
        <v>49240</v>
      </c>
      <c r="AB108" s="44">
        <f t="shared" ca="1" si="41"/>
        <v>0.87554904484130036</v>
      </c>
      <c r="AD108" s="32">
        <f t="shared" ca="1" si="42"/>
        <v>49240</v>
      </c>
      <c r="AE108" s="44">
        <f t="shared" ca="1" si="43"/>
        <v>0.93697761190126028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P119"/>
  <sheetViews>
    <sheetView showGridLines="0" workbookViewId="0"/>
  </sheetViews>
  <sheetFormatPr defaultRowHeight="14.4" x14ac:dyDescent="0.3"/>
  <cols>
    <col min="2" max="2" width="14.6640625" customWidth="1"/>
    <col min="3" max="4" width="10.6640625" customWidth="1"/>
    <col min="6" max="6" width="14.6640625" customWidth="1"/>
    <col min="7" max="8" width="10.6640625" customWidth="1"/>
    <col min="10" max="10" width="14.6640625" customWidth="1"/>
    <col min="11" max="12" width="10.6640625" customWidth="1"/>
    <col min="14" max="14" width="14.6640625" customWidth="1"/>
    <col min="15" max="16" width="10.6640625" customWidth="1"/>
  </cols>
  <sheetData>
    <row r="2" spans="1:16" x14ac:dyDescent="0.3">
      <c r="B2" t="s">
        <v>52</v>
      </c>
      <c r="F2" t="s">
        <v>112</v>
      </c>
    </row>
    <row r="4" spans="1:16" x14ac:dyDescent="0.3">
      <c r="B4" s="45" t="s">
        <v>87</v>
      </c>
      <c r="C4" s="46">
        <v>-1</v>
      </c>
      <c r="D4" s="1" t="s">
        <v>88</v>
      </c>
    </row>
    <row r="6" spans="1:16" x14ac:dyDescent="0.3">
      <c r="A6" s="3"/>
      <c r="B6" s="1" t="s">
        <v>0</v>
      </c>
      <c r="C6" s="3"/>
      <c r="D6" s="3"/>
      <c r="E6" s="3"/>
      <c r="F6" s="1" t="s">
        <v>5</v>
      </c>
      <c r="G6" s="3"/>
      <c r="H6" s="3"/>
      <c r="I6" s="3"/>
      <c r="J6" s="1" t="s">
        <v>6</v>
      </c>
      <c r="K6" s="3"/>
      <c r="L6" s="3"/>
      <c r="M6" s="3"/>
      <c r="N6" s="1" t="s">
        <v>7</v>
      </c>
      <c r="O6" s="3"/>
      <c r="P6" s="3"/>
    </row>
    <row r="7" spans="1:16" x14ac:dyDescent="0.3">
      <c r="A7" s="1" t="s">
        <v>38</v>
      </c>
      <c r="B7" s="18" t="s">
        <v>1</v>
      </c>
      <c r="C7" s="19" t="s">
        <v>8</v>
      </c>
      <c r="D7" s="41" t="s">
        <v>89</v>
      </c>
      <c r="E7" s="3"/>
      <c r="F7" s="18" t="s">
        <v>1</v>
      </c>
      <c r="G7" s="19" t="s">
        <v>9</v>
      </c>
      <c r="H7" s="41" t="s">
        <v>89</v>
      </c>
      <c r="I7" s="3"/>
      <c r="J7" s="18" t="s">
        <v>1</v>
      </c>
      <c r="K7" s="19" t="s">
        <v>10</v>
      </c>
      <c r="L7" s="41" t="s">
        <v>89</v>
      </c>
      <c r="M7" s="3"/>
      <c r="N7" s="18" t="s">
        <v>1</v>
      </c>
      <c r="O7" s="19" t="s">
        <v>11</v>
      </c>
      <c r="P7" s="41" t="s">
        <v>89</v>
      </c>
    </row>
    <row r="8" spans="1:16" x14ac:dyDescent="0.3">
      <c r="A8" s="2">
        <v>1</v>
      </c>
      <c r="B8" s="20">
        <f ca="1">AsOfDate</f>
        <v>44290</v>
      </c>
      <c r="C8" s="24">
        <v>4.8733112772613422E-4</v>
      </c>
      <c r="D8" s="38">
        <f t="shared" ref="D8:D39" ca="1" si="0">C8+(BumpSizeLiborRates*0.0001)</f>
        <v>3.8733112772613423E-4</v>
      </c>
      <c r="E8" s="1"/>
      <c r="F8" s="20">
        <f ca="1">AsOfDate</f>
        <v>44290</v>
      </c>
      <c r="G8" s="24">
        <v>2.8E-3</v>
      </c>
      <c r="H8" s="38">
        <f t="shared" ref="H8:H39" ca="1" si="1">G8+(BumpSizeLiborRates*0.0001)</f>
        <v>2.7000000000000001E-3</v>
      </c>
      <c r="I8" s="1"/>
      <c r="J8" s="20">
        <f ca="1">AsOfDate</f>
        <v>44290</v>
      </c>
      <c r="K8" s="24">
        <v>7.4999999999999997E-3</v>
      </c>
      <c r="L8" s="38">
        <f t="shared" ref="L8:L39" ca="1" si="2">K8+(BumpSizeLiborRates*0.0001)</f>
        <v>7.3999999999999995E-3</v>
      </c>
      <c r="M8" s="1"/>
      <c r="N8" s="20">
        <f ca="1">AsOfDate</f>
        <v>44290</v>
      </c>
      <c r="O8" s="24">
        <v>5.0000000000000001E-3</v>
      </c>
      <c r="P8" s="38">
        <f t="shared" ref="P8:P39" ca="1" si="3">O8+(BumpSizeLiborRates*0.0001)</f>
        <v>4.8999999999999998E-3</v>
      </c>
    </row>
    <row r="9" spans="1:16" x14ac:dyDescent="0.3">
      <c r="A9" s="2">
        <f ca="1">A8+1</f>
        <v>2</v>
      </c>
      <c r="B9" s="26">
        <f t="shared" ref="B9:B40" ca="1" si="4">B8+Periodicity</f>
        <v>44340</v>
      </c>
      <c r="C9" s="30">
        <f ca="1">C8+0.02%</f>
        <v>6.8733112772613426E-4</v>
      </c>
      <c r="D9" s="39">
        <f t="shared" ca="1" si="0"/>
        <v>5.8733112772613421E-4</v>
      </c>
      <c r="E9" s="1"/>
      <c r="F9" s="26">
        <f t="shared" ref="F9:F40" ca="1" si="5">F8+Periodicity</f>
        <v>44340</v>
      </c>
      <c r="G9" s="30">
        <f ca="1">G8+0.0195%</f>
        <v>2.9949999999999998E-3</v>
      </c>
      <c r="H9" s="39">
        <f t="shared" ca="1" si="1"/>
        <v>2.895E-3</v>
      </c>
      <c r="I9" s="1"/>
      <c r="J9" s="26">
        <f t="shared" ref="J9:J40" ca="1" si="6">J8+Periodicity</f>
        <v>44340</v>
      </c>
      <c r="K9" s="30">
        <f ca="1">K8-0.004%</f>
        <v>7.4599999999999996E-3</v>
      </c>
      <c r="L9" s="39">
        <f t="shared" ca="1" si="2"/>
        <v>7.3599999999999994E-3</v>
      </c>
      <c r="M9" s="1"/>
      <c r="N9" s="26">
        <f t="shared" ref="N9:N40" ca="1" si="7">N8+Periodicity</f>
        <v>44340</v>
      </c>
      <c r="O9" s="30">
        <v>5.0000000000000001E-3</v>
      </c>
      <c r="P9" s="39">
        <f t="shared" ca="1" si="3"/>
        <v>4.8999999999999998E-3</v>
      </c>
    </row>
    <row r="10" spans="1:16" x14ac:dyDescent="0.3">
      <c r="A10" s="2">
        <f t="shared" ref="A10:A73" ca="1" si="8">A9+1</f>
        <v>3</v>
      </c>
      <c r="B10" s="26">
        <f t="shared" ca="1" si="4"/>
        <v>44390</v>
      </c>
      <c r="C10" s="30">
        <f t="shared" ref="C10:C73" ca="1" si="9">C9+0.02%</f>
        <v>8.8733112772613424E-4</v>
      </c>
      <c r="D10" s="39">
        <f t="shared" ca="1" si="0"/>
        <v>7.8733112772613419E-4</v>
      </c>
      <c r="E10" s="1"/>
      <c r="F10" s="26">
        <f t="shared" ca="1" si="5"/>
        <v>44390</v>
      </c>
      <c r="G10" s="30">
        <f t="shared" ref="G10:G73" ca="1" si="10">G9+0.0195%</f>
        <v>3.1899999999999997E-3</v>
      </c>
      <c r="H10" s="39">
        <f t="shared" ca="1" si="1"/>
        <v>3.0899999999999999E-3</v>
      </c>
      <c r="I10" s="1"/>
      <c r="J10" s="26">
        <f t="shared" ca="1" si="6"/>
        <v>44390</v>
      </c>
      <c r="K10" s="30">
        <f t="shared" ref="K10:K67" ca="1" si="11">K9-0.004%</f>
        <v>7.4199999999999995E-3</v>
      </c>
      <c r="L10" s="39">
        <f t="shared" ca="1" si="2"/>
        <v>7.3199999999999993E-3</v>
      </c>
      <c r="M10" s="1"/>
      <c r="N10" s="26">
        <f t="shared" ca="1" si="7"/>
        <v>44390</v>
      </c>
      <c r="O10" s="30">
        <v>5.0000000000000001E-3</v>
      </c>
      <c r="P10" s="39">
        <f t="shared" ca="1" si="3"/>
        <v>4.8999999999999998E-3</v>
      </c>
    </row>
    <row r="11" spans="1:16" x14ac:dyDescent="0.3">
      <c r="A11" s="2">
        <f t="shared" ca="1" si="8"/>
        <v>4</v>
      </c>
      <c r="B11" s="26">
        <f t="shared" ca="1" si="4"/>
        <v>44440</v>
      </c>
      <c r="C11" s="30">
        <f t="shared" ca="1" si="9"/>
        <v>1.0873311277261343E-3</v>
      </c>
      <c r="D11" s="39">
        <f t="shared" ca="1" si="0"/>
        <v>9.8733112772613429E-4</v>
      </c>
      <c r="E11" s="1"/>
      <c r="F11" s="26">
        <f t="shared" ca="1" si="5"/>
        <v>44440</v>
      </c>
      <c r="G11" s="30">
        <f t="shared" ca="1" si="10"/>
        <v>3.3849999999999996E-3</v>
      </c>
      <c r="H11" s="39">
        <f t="shared" ca="1" si="1"/>
        <v>3.2849999999999997E-3</v>
      </c>
      <c r="I11" s="1"/>
      <c r="J11" s="26">
        <f t="shared" ca="1" si="6"/>
        <v>44440</v>
      </c>
      <c r="K11" s="30">
        <f t="shared" ca="1" si="11"/>
        <v>7.3799999999999994E-3</v>
      </c>
      <c r="L11" s="39">
        <f t="shared" ca="1" si="2"/>
        <v>7.2799999999999991E-3</v>
      </c>
      <c r="M11" s="1"/>
      <c r="N11" s="26">
        <f t="shared" ca="1" si="7"/>
        <v>44440</v>
      </c>
      <c r="O11" s="30">
        <v>5.0000000000000001E-3</v>
      </c>
      <c r="P11" s="39">
        <f t="shared" ca="1" si="3"/>
        <v>4.8999999999999998E-3</v>
      </c>
    </row>
    <row r="12" spans="1:16" x14ac:dyDescent="0.3">
      <c r="A12" s="2">
        <f t="shared" ca="1" si="8"/>
        <v>5</v>
      </c>
      <c r="B12" s="26">
        <f t="shared" ca="1" si="4"/>
        <v>44490</v>
      </c>
      <c r="C12" s="30">
        <f t="shared" ca="1" si="9"/>
        <v>1.2873311277261344E-3</v>
      </c>
      <c r="D12" s="39">
        <f t="shared" ca="1" si="0"/>
        <v>1.1873311277261344E-3</v>
      </c>
      <c r="E12" s="1"/>
      <c r="F12" s="26">
        <f t="shared" ca="1" si="5"/>
        <v>44490</v>
      </c>
      <c r="G12" s="30">
        <f t="shared" ca="1" si="10"/>
        <v>3.5799999999999994E-3</v>
      </c>
      <c r="H12" s="39">
        <f t="shared" ca="1" si="1"/>
        <v>3.4799999999999996E-3</v>
      </c>
      <c r="I12" s="1"/>
      <c r="J12" s="26">
        <f t="shared" ca="1" si="6"/>
        <v>44490</v>
      </c>
      <c r="K12" s="30">
        <f t="shared" ca="1" si="11"/>
        <v>7.3399999999999993E-3</v>
      </c>
      <c r="L12" s="39">
        <f t="shared" ca="1" si="2"/>
        <v>7.239999999999999E-3</v>
      </c>
      <c r="M12" s="1"/>
      <c r="N12" s="26">
        <f t="shared" ca="1" si="7"/>
        <v>44490</v>
      </c>
      <c r="O12" s="30">
        <v>5.0000000000000001E-3</v>
      </c>
      <c r="P12" s="39">
        <f t="shared" ca="1" si="3"/>
        <v>4.8999999999999998E-3</v>
      </c>
    </row>
    <row r="13" spans="1:16" x14ac:dyDescent="0.3">
      <c r="A13" s="2">
        <f t="shared" ca="1" si="8"/>
        <v>6</v>
      </c>
      <c r="B13" s="26">
        <f t="shared" ca="1" si="4"/>
        <v>44540</v>
      </c>
      <c r="C13" s="30">
        <f t="shared" ca="1" si="9"/>
        <v>1.4873311277261345E-3</v>
      </c>
      <c r="D13" s="39">
        <f t="shared" ca="1" si="0"/>
        <v>1.3873311277261345E-3</v>
      </c>
      <c r="E13" s="1"/>
      <c r="F13" s="26">
        <f t="shared" ca="1" si="5"/>
        <v>44540</v>
      </c>
      <c r="G13" s="30">
        <f t="shared" ca="1" si="10"/>
        <v>3.7749999999999993E-3</v>
      </c>
      <c r="H13" s="39">
        <f t="shared" ca="1" si="1"/>
        <v>3.6749999999999994E-3</v>
      </c>
      <c r="I13" s="1"/>
      <c r="J13" s="26">
        <f t="shared" ca="1" si="6"/>
        <v>44540</v>
      </c>
      <c r="K13" s="30">
        <f t="shared" ca="1" si="11"/>
        <v>7.2999999999999992E-3</v>
      </c>
      <c r="L13" s="39">
        <f t="shared" ca="1" si="2"/>
        <v>7.1999999999999989E-3</v>
      </c>
      <c r="M13" s="1"/>
      <c r="N13" s="26">
        <f t="shared" ca="1" si="7"/>
        <v>44540</v>
      </c>
      <c r="O13" s="30">
        <v>5.0000000000000001E-3</v>
      </c>
      <c r="P13" s="39">
        <f t="shared" ca="1" si="3"/>
        <v>4.8999999999999998E-3</v>
      </c>
    </row>
    <row r="14" spans="1:16" x14ac:dyDescent="0.3">
      <c r="A14" s="2">
        <f t="shared" ca="1" si="8"/>
        <v>7</v>
      </c>
      <c r="B14" s="26">
        <f t="shared" ca="1" si="4"/>
        <v>44590</v>
      </c>
      <c r="C14" s="30">
        <f t="shared" ca="1" si="9"/>
        <v>1.6873311277261346E-3</v>
      </c>
      <c r="D14" s="39">
        <f t="shared" ca="1" si="0"/>
        <v>1.5873311277261346E-3</v>
      </c>
      <c r="E14" s="1"/>
      <c r="F14" s="26">
        <f t="shared" ca="1" si="5"/>
        <v>44590</v>
      </c>
      <c r="G14" s="30">
        <f t="shared" ca="1" si="10"/>
        <v>3.9699999999999996E-3</v>
      </c>
      <c r="H14" s="39">
        <f t="shared" ca="1" si="1"/>
        <v>3.8699999999999997E-3</v>
      </c>
      <c r="I14" s="1"/>
      <c r="J14" s="26">
        <f t="shared" ca="1" si="6"/>
        <v>44590</v>
      </c>
      <c r="K14" s="30">
        <f t="shared" ca="1" si="11"/>
        <v>7.2599999999999991E-3</v>
      </c>
      <c r="L14" s="39">
        <f t="shared" ca="1" si="2"/>
        <v>7.1599999999999988E-3</v>
      </c>
      <c r="M14" s="1"/>
      <c r="N14" s="26">
        <f t="shared" ca="1" si="7"/>
        <v>44590</v>
      </c>
      <c r="O14" s="30">
        <v>5.0000000000000001E-3</v>
      </c>
      <c r="P14" s="39">
        <f t="shared" ca="1" si="3"/>
        <v>4.8999999999999998E-3</v>
      </c>
    </row>
    <row r="15" spans="1:16" x14ac:dyDescent="0.3">
      <c r="A15" s="2">
        <f t="shared" ca="1" si="8"/>
        <v>8</v>
      </c>
      <c r="B15" s="26">
        <f t="shared" ca="1" si="4"/>
        <v>44640</v>
      </c>
      <c r="C15" s="30">
        <f t="shared" ca="1" si="9"/>
        <v>1.8873311277261347E-3</v>
      </c>
      <c r="D15" s="39">
        <f t="shared" ca="1" si="0"/>
        <v>1.7873311277261346E-3</v>
      </c>
      <c r="E15" s="1"/>
      <c r="F15" s="26">
        <f t="shared" ca="1" si="5"/>
        <v>44640</v>
      </c>
      <c r="G15" s="30">
        <f t="shared" ca="1" si="10"/>
        <v>4.1649999999999994E-3</v>
      </c>
      <c r="H15" s="39">
        <f t="shared" ca="1" si="1"/>
        <v>4.0649999999999992E-3</v>
      </c>
      <c r="I15" s="1"/>
      <c r="J15" s="26">
        <f t="shared" ca="1" si="6"/>
        <v>44640</v>
      </c>
      <c r="K15" s="30">
        <f t="shared" ca="1" si="11"/>
        <v>7.219999999999999E-3</v>
      </c>
      <c r="L15" s="39">
        <f t="shared" ca="1" si="2"/>
        <v>7.1199999999999987E-3</v>
      </c>
      <c r="M15" s="1"/>
      <c r="N15" s="26">
        <f t="shared" ca="1" si="7"/>
        <v>44640</v>
      </c>
      <c r="O15" s="30">
        <v>5.0000000000000001E-3</v>
      </c>
      <c r="P15" s="39">
        <f t="shared" ca="1" si="3"/>
        <v>4.8999999999999998E-3</v>
      </c>
    </row>
    <row r="16" spans="1:16" x14ac:dyDescent="0.3">
      <c r="A16" s="2">
        <f t="shared" ca="1" si="8"/>
        <v>9</v>
      </c>
      <c r="B16" s="26">
        <f t="shared" ca="1" si="4"/>
        <v>44690</v>
      </c>
      <c r="C16" s="30">
        <f t="shared" ca="1" si="9"/>
        <v>2.0873311277261348E-3</v>
      </c>
      <c r="D16" s="39">
        <f t="shared" ca="1" si="0"/>
        <v>1.987331127726135E-3</v>
      </c>
      <c r="E16" s="1"/>
      <c r="F16" s="26">
        <f t="shared" ca="1" si="5"/>
        <v>44690</v>
      </c>
      <c r="G16" s="30">
        <f t="shared" ca="1" si="10"/>
        <v>4.3599999999999993E-3</v>
      </c>
      <c r="H16" s="39">
        <f t="shared" ca="1" si="1"/>
        <v>4.259999999999999E-3</v>
      </c>
      <c r="I16" s="1"/>
      <c r="J16" s="26">
        <f t="shared" ca="1" si="6"/>
        <v>44690</v>
      </c>
      <c r="K16" s="30">
        <f t="shared" ca="1" si="11"/>
        <v>7.1799999999999989E-3</v>
      </c>
      <c r="L16" s="39">
        <f t="shared" ca="1" si="2"/>
        <v>7.0799999999999986E-3</v>
      </c>
      <c r="M16" s="1"/>
      <c r="N16" s="26">
        <f t="shared" ca="1" si="7"/>
        <v>44690</v>
      </c>
      <c r="O16" s="30">
        <v>5.0000000000000001E-3</v>
      </c>
      <c r="P16" s="39">
        <f t="shared" ca="1" si="3"/>
        <v>4.8999999999999998E-3</v>
      </c>
    </row>
    <row r="17" spans="1:16" x14ac:dyDescent="0.3">
      <c r="A17" s="2">
        <f t="shared" ca="1" si="8"/>
        <v>10</v>
      </c>
      <c r="B17" s="26">
        <f t="shared" ca="1" si="4"/>
        <v>44740</v>
      </c>
      <c r="C17" s="30">
        <f t="shared" ca="1" si="9"/>
        <v>2.2873311277261349E-3</v>
      </c>
      <c r="D17" s="39">
        <f t="shared" ca="1" si="0"/>
        <v>2.187331127726135E-3</v>
      </c>
      <c r="E17" s="1"/>
      <c r="F17" s="26">
        <f t="shared" ca="1" si="5"/>
        <v>44740</v>
      </c>
      <c r="G17" s="30">
        <f t="shared" ca="1" si="10"/>
        <v>4.5549999999999992E-3</v>
      </c>
      <c r="H17" s="39">
        <f t="shared" ca="1" si="1"/>
        <v>4.4549999999999989E-3</v>
      </c>
      <c r="I17" s="1"/>
      <c r="J17" s="26">
        <f t="shared" ca="1" si="6"/>
        <v>44740</v>
      </c>
      <c r="K17" s="30">
        <f t="shared" ca="1" si="11"/>
        <v>7.1399999999999988E-3</v>
      </c>
      <c r="L17" s="39">
        <f t="shared" ca="1" si="2"/>
        <v>7.0399999999999985E-3</v>
      </c>
      <c r="M17" s="1"/>
      <c r="N17" s="26">
        <f t="shared" ca="1" si="7"/>
        <v>44740</v>
      </c>
      <c r="O17" s="30">
        <v>5.0000000000000001E-3</v>
      </c>
      <c r="P17" s="39">
        <f t="shared" ca="1" si="3"/>
        <v>4.8999999999999998E-3</v>
      </c>
    </row>
    <row r="18" spans="1:16" x14ac:dyDescent="0.3">
      <c r="A18" s="2">
        <f t="shared" ca="1" si="8"/>
        <v>11</v>
      </c>
      <c r="B18" s="26">
        <f t="shared" ca="1" si="4"/>
        <v>44790</v>
      </c>
      <c r="C18" s="30">
        <f t="shared" ca="1" si="9"/>
        <v>2.487331127726135E-3</v>
      </c>
      <c r="D18" s="39">
        <f t="shared" ca="1" si="0"/>
        <v>2.3873311277261351E-3</v>
      </c>
      <c r="E18" s="1"/>
      <c r="F18" s="26">
        <f t="shared" ca="1" si="5"/>
        <v>44790</v>
      </c>
      <c r="G18" s="30">
        <f t="shared" ca="1" si="10"/>
        <v>4.749999999999999E-3</v>
      </c>
      <c r="H18" s="39">
        <f t="shared" ca="1" si="1"/>
        <v>4.6499999999999988E-3</v>
      </c>
      <c r="I18" s="1"/>
      <c r="J18" s="26">
        <f t="shared" ca="1" si="6"/>
        <v>44790</v>
      </c>
      <c r="K18" s="30">
        <f t="shared" ca="1" si="11"/>
        <v>7.0999999999999987E-3</v>
      </c>
      <c r="L18" s="39">
        <f t="shared" ca="1" si="2"/>
        <v>6.9999999999999984E-3</v>
      </c>
      <c r="M18" s="1"/>
      <c r="N18" s="26">
        <f t="shared" ca="1" si="7"/>
        <v>44790</v>
      </c>
      <c r="O18" s="30">
        <v>5.0000000000000001E-3</v>
      </c>
      <c r="P18" s="39">
        <f t="shared" ca="1" si="3"/>
        <v>4.8999999999999998E-3</v>
      </c>
    </row>
    <row r="19" spans="1:16" x14ac:dyDescent="0.3">
      <c r="A19" s="2">
        <f t="shared" ca="1" si="8"/>
        <v>12</v>
      </c>
      <c r="B19" s="26">
        <f t="shared" ca="1" si="4"/>
        <v>44840</v>
      </c>
      <c r="C19" s="30">
        <f t="shared" ca="1" si="9"/>
        <v>2.6873311277261351E-3</v>
      </c>
      <c r="D19" s="39">
        <f t="shared" ca="1" si="0"/>
        <v>2.5873311277261352E-3</v>
      </c>
      <c r="E19" s="1"/>
      <c r="F19" s="26">
        <f t="shared" ca="1" si="5"/>
        <v>44840</v>
      </c>
      <c r="G19" s="30">
        <f t="shared" ca="1" si="10"/>
        <v>4.9449999999999989E-3</v>
      </c>
      <c r="H19" s="39">
        <f t="shared" ca="1" si="1"/>
        <v>4.8449999999999986E-3</v>
      </c>
      <c r="I19" s="1"/>
      <c r="J19" s="26">
        <f t="shared" ca="1" si="6"/>
        <v>44840</v>
      </c>
      <c r="K19" s="30">
        <f t="shared" ca="1" si="11"/>
        <v>7.0599999999999986E-3</v>
      </c>
      <c r="L19" s="39">
        <f t="shared" ca="1" si="2"/>
        <v>6.9599999999999983E-3</v>
      </c>
      <c r="M19" s="1"/>
      <c r="N19" s="26">
        <f t="shared" ca="1" si="7"/>
        <v>44840</v>
      </c>
      <c r="O19" s="30">
        <v>5.0000000000000001E-3</v>
      </c>
      <c r="P19" s="39">
        <f t="shared" ca="1" si="3"/>
        <v>4.8999999999999998E-3</v>
      </c>
    </row>
    <row r="20" spans="1:16" x14ac:dyDescent="0.3">
      <c r="A20" s="2">
        <f t="shared" ca="1" si="8"/>
        <v>13</v>
      </c>
      <c r="B20" s="26">
        <f t="shared" ca="1" si="4"/>
        <v>44890</v>
      </c>
      <c r="C20" s="30">
        <f t="shared" ca="1" si="9"/>
        <v>2.8873311277261351E-3</v>
      </c>
      <c r="D20" s="39">
        <f t="shared" ca="1" si="0"/>
        <v>2.7873311277261353E-3</v>
      </c>
      <c r="E20" s="1"/>
      <c r="F20" s="26">
        <f t="shared" ca="1" si="5"/>
        <v>44890</v>
      </c>
      <c r="G20" s="30">
        <f t="shared" ca="1" si="10"/>
        <v>5.1399999999999987E-3</v>
      </c>
      <c r="H20" s="39">
        <f t="shared" ca="1" si="1"/>
        <v>5.0399999999999985E-3</v>
      </c>
      <c r="I20" s="1"/>
      <c r="J20" s="26">
        <f t="shared" ca="1" si="6"/>
        <v>44890</v>
      </c>
      <c r="K20" s="30">
        <f t="shared" ca="1" si="11"/>
        <v>7.0199999999999985E-3</v>
      </c>
      <c r="L20" s="39">
        <f t="shared" ca="1" si="2"/>
        <v>6.9199999999999982E-3</v>
      </c>
      <c r="M20" s="1"/>
      <c r="N20" s="26">
        <f t="shared" ca="1" si="7"/>
        <v>44890</v>
      </c>
      <c r="O20" s="30">
        <v>5.0000000000000001E-3</v>
      </c>
      <c r="P20" s="39">
        <f t="shared" ca="1" si="3"/>
        <v>4.8999999999999998E-3</v>
      </c>
    </row>
    <row r="21" spans="1:16" x14ac:dyDescent="0.3">
      <c r="A21" s="2">
        <f t="shared" ca="1" si="8"/>
        <v>14</v>
      </c>
      <c r="B21" s="26">
        <f t="shared" ca="1" si="4"/>
        <v>44940</v>
      </c>
      <c r="C21" s="30">
        <f t="shared" ca="1" si="9"/>
        <v>3.0873311277261352E-3</v>
      </c>
      <c r="D21" s="39">
        <f t="shared" ca="1" si="0"/>
        <v>2.9873311277261354E-3</v>
      </c>
      <c r="E21" s="1"/>
      <c r="F21" s="26">
        <f t="shared" ca="1" si="5"/>
        <v>44940</v>
      </c>
      <c r="G21" s="30">
        <f t="shared" ca="1" si="10"/>
        <v>5.3349999999999986E-3</v>
      </c>
      <c r="H21" s="39">
        <f t="shared" ca="1" si="1"/>
        <v>5.2349999999999983E-3</v>
      </c>
      <c r="I21" s="1"/>
      <c r="J21" s="26">
        <f t="shared" ca="1" si="6"/>
        <v>44940</v>
      </c>
      <c r="K21" s="30">
        <f t="shared" ca="1" si="11"/>
        <v>6.9799999999999984E-3</v>
      </c>
      <c r="L21" s="39">
        <f t="shared" ca="1" si="2"/>
        <v>6.8799999999999981E-3</v>
      </c>
      <c r="M21" s="1"/>
      <c r="N21" s="26">
        <f t="shared" ca="1" si="7"/>
        <v>44940</v>
      </c>
      <c r="O21" s="30">
        <v>5.0000000000000001E-3</v>
      </c>
      <c r="P21" s="39">
        <f t="shared" ca="1" si="3"/>
        <v>4.8999999999999998E-3</v>
      </c>
    </row>
    <row r="22" spans="1:16" x14ac:dyDescent="0.3">
      <c r="A22" s="2">
        <f t="shared" ca="1" si="8"/>
        <v>15</v>
      </c>
      <c r="B22" s="26">
        <f t="shared" ca="1" si="4"/>
        <v>44990</v>
      </c>
      <c r="C22" s="30">
        <f t="shared" ca="1" si="9"/>
        <v>3.2873311277261353E-3</v>
      </c>
      <c r="D22" s="39">
        <f t="shared" ca="1" si="0"/>
        <v>3.1873311277261355E-3</v>
      </c>
      <c r="E22" s="1"/>
      <c r="F22" s="26">
        <f t="shared" ca="1" si="5"/>
        <v>44990</v>
      </c>
      <c r="G22" s="30">
        <f t="shared" ca="1" si="10"/>
        <v>5.5299999999999985E-3</v>
      </c>
      <c r="H22" s="39">
        <f t="shared" ca="1" si="1"/>
        <v>5.4299999999999982E-3</v>
      </c>
      <c r="I22" s="1"/>
      <c r="J22" s="26">
        <f t="shared" ca="1" si="6"/>
        <v>44990</v>
      </c>
      <c r="K22" s="30">
        <f t="shared" ca="1" si="11"/>
        <v>6.9399999999999983E-3</v>
      </c>
      <c r="L22" s="39">
        <f t="shared" ca="1" si="2"/>
        <v>6.839999999999998E-3</v>
      </c>
      <c r="M22" s="1"/>
      <c r="N22" s="26">
        <f t="shared" ca="1" si="7"/>
        <v>44990</v>
      </c>
      <c r="O22" s="30">
        <v>5.0000000000000001E-3</v>
      </c>
      <c r="P22" s="39">
        <f t="shared" ca="1" si="3"/>
        <v>4.8999999999999998E-3</v>
      </c>
    </row>
    <row r="23" spans="1:16" x14ac:dyDescent="0.3">
      <c r="A23" s="2">
        <f t="shared" ca="1" si="8"/>
        <v>16</v>
      </c>
      <c r="B23" s="26">
        <f t="shared" ca="1" si="4"/>
        <v>45040</v>
      </c>
      <c r="C23" s="30">
        <f t="shared" ca="1" si="9"/>
        <v>3.4873311277261354E-3</v>
      </c>
      <c r="D23" s="39">
        <f t="shared" ca="1" si="0"/>
        <v>3.3873311277261356E-3</v>
      </c>
      <c r="E23" s="1"/>
      <c r="F23" s="26">
        <f t="shared" ca="1" si="5"/>
        <v>45040</v>
      </c>
      <c r="G23" s="30">
        <f t="shared" ca="1" si="10"/>
        <v>5.7249999999999983E-3</v>
      </c>
      <c r="H23" s="39">
        <f t="shared" ca="1" si="1"/>
        <v>5.6249999999999981E-3</v>
      </c>
      <c r="I23" s="1"/>
      <c r="J23" s="26">
        <f t="shared" ca="1" si="6"/>
        <v>45040</v>
      </c>
      <c r="K23" s="30">
        <f t="shared" ca="1" si="11"/>
        <v>6.8999999999999981E-3</v>
      </c>
      <c r="L23" s="39">
        <f t="shared" ca="1" si="2"/>
        <v>6.7999999999999979E-3</v>
      </c>
      <c r="M23" s="1"/>
      <c r="N23" s="26">
        <f t="shared" ca="1" si="7"/>
        <v>45040</v>
      </c>
      <c r="O23" s="30">
        <v>5.0000000000000001E-3</v>
      </c>
      <c r="P23" s="39">
        <f t="shared" ca="1" si="3"/>
        <v>4.8999999999999998E-3</v>
      </c>
    </row>
    <row r="24" spans="1:16" x14ac:dyDescent="0.3">
      <c r="A24" s="2">
        <f t="shared" ca="1" si="8"/>
        <v>17</v>
      </c>
      <c r="B24" s="26">
        <f t="shared" ca="1" si="4"/>
        <v>45090</v>
      </c>
      <c r="C24" s="30">
        <f t="shared" ca="1" si="9"/>
        <v>3.6873311277261355E-3</v>
      </c>
      <c r="D24" s="39">
        <f t="shared" ca="1" si="0"/>
        <v>3.5873311277261357E-3</v>
      </c>
      <c r="E24" s="1"/>
      <c r="F24" s="26">
        <f t="shared" ca="1" si="5"/>
        <v>45090</v>
      </c>
      <c r="G24" s="30">
        <f t="shared" ca="1" si="10"/>
        <v>5.9199999999999982E-3</v>
      </c>
      <c r="H24" s="39">
        <f t="shared" ca="1" si="1"/>
        <v>5.8199999999999979E-3</v>
      </c>
      <c r="I24" s="1"/>
      <c r="J24" s="26">
        <f t="shared" ca="1" si="6"/>
        <v>45090</v>
      </c>
      <c r="K24" s="30">
        <f t="shared" ca="1" si="11"/>
        <v>6.859999999999998E-3</v>
      </c>
      <c r="L24" s="39">
        <f t="shared" ca="1" si="2"/>
        <v>6.7599999999999978E-3</v>
      </c>
      <c r="M24" s="1"/>
      <c r="N24" s="26">
        <f t="shared" ca="1" si="7"/>
        <v>45090</v>
      </c>
      <c r="O24" s="30">
        <v>5.0000000000000001E-3</v>
      </c>
      <c r="P24" s="39">
        <f t="shared" ca="1" si="3"/>
        <v>4.8999999999999998E-3</v>
      </c>
    </row>
    <row r="25" spans="1:16" x14ac:dyDescent="0.3">
      <c r="A25" s="2">
        <f t="shared" ca="1" si="8"/>
        <v>18</v>
      </c>
      <c r="B25" s="26">
        <f t="shared" ca="1" si="4"/>
        <v>45140</v>
      </c>
      <c r="C25" s="30">
        <f t="shared" ca="1" si="9"/>
        <v>3.8873311277261356E-3</v>
      </c>
      <c r="D25" s="39">
        <f t="shared" ca="1" si="0"/>
        <v>3.7873311277261358E-3</v>
      </c>
      <c r="E25" s="1"/>
      <c r="F25" s="26">
        <f t="shared" ca="1" si="5"/>
        <v>45140</v>
      </c>
      <c r="G25" s="30">
        <f t="shared" ca="1" si="10"/>
        <v>6.114999999999998E-3</v>
      </c>
      <c r="H25" s="39">
        <f t="shared" ca="1" si="1"/>
        <v>6.0149999999999978E-3</v>
      </c>
      <c r="I25" s="1"/>
      <c r="J25" s="26">
        <f t="shared" ca="1" si="6"/>
        <v>45140</v>
      </c>
      <c r="K25" s="30">
        <f t="shared" ca="1" si="11"/>
        <v>6.8199999999999979E-3</v>
      </c>
      <c r="L25" s="39">
        <f t="shared" ca="1" si="2"/>
        <v>6.7199999999999977E-3</v>
      </c>
      <c r="M25" s="1"/>
      <c r="N25" s="26">
        <f t="shared" ca="1" si="7"/>
        <v>45140</v>
      </c>
      <c r="O25" s="30">
        <v>5.0000000000000001E-3</v>
      </c>
      <c r="P25" s="39">
        <f t="shared" ca="1" si="3"/>
        <v>4.8999999999999998E-3</v>
      </c>
    </row>
    <row r="26" spans="1:16" x14ac:dyDescent="0.3">
      <c r="A26" s="2">
        <f t="shared" ca="1" si="8"/>
        <v>19</v>
      </c>
      <c r="B26" s="26">
        <f t="shared" ca="1" si="4"/>
        <v>45190</v>
      </c>
      <c r="C26" s="30">
        <f t="shared" ca="1" si="9"/>
        <v>4.0873311277261357E-3</v>
      </c>
      <c r="D26" s="39">
        <f t="shared" ca="1" si="0"/>
        <v>3.9873311277261354E-3</v>
      </c>
      <c r="E26" s="1"/>
      <c r="F26" s="26">
        <f t="shared" ca="1" si="5"/>
        <v>45190</v>
      </c>
      <c r="G26" s="30">
        <f t="shared" ca="1" si="10"/>
        <v>6.3099999999999979E-3</v>
      </c>
      <c r="H26" s="39">
        <f t="shared" ca="1" si="1"/>
        <v>6.2099999999999976E-3</v>
      </c>
      <c r="I26" s="1"/>
      <c r="J26" s="26">
        <f t="shared" ca="1" si="6"/>
        <v>45190</v>
      </c>
      <c r="K26" s="30">
        <f t="shared" ca="1" si="11"/>
        <v>6.7799999999999978E-3</v>
      </c>
      <c r="L26" s="39">
        <f t="shared" ca="1" si="2"/>
        <v>6.6799999999999976E-3</v>
      </c>
      <c r="M26" s="1"/>
      <c r="N26" s="26">
        <f t="shared" ca="1" si="7"/>
        <v>45190</v>
      </c>
      <c r="O26" s="30">
        <v>5.0000000000000001E-3</v>
      </c>
      <c r="P26" s="39">
        <f t="shared" ca="1" si="3"/>
        <v>4.8999999999999998E-3</v>
      </c>
    </row>
    <row r="27" spans="1:16" x14ac:dyDescent="0.3">
      <c r="A27" s="2">
        <f t="shared" ca="1" si="8"/>
        <v>20</v>
      </c>
      <c r="B27" s="26">
        <f t="shared" ca="1" si="4"/>
        <v>45240</v>
      </c>
      <c r="C27" s="30">
        <f t="shared" ca="1" si="9"/>
        <v>4.2873311277261354E-3</v>
      </c>
      <c r="D27" s="39">
        <f t="shared" ca="1" si="0"/>
        <v>4.1873311277261351E-3</v>
      </c>
      <c r="E27" s="1"/>
      <c r="F27" s="26">
        <f t="shared" ca="1" si="5"/>
        <v>45240</v>
      </c>
      <c r="G27" s="30">
        <f t="shared" ca="1" si="10"/>
        <v>6.5049999999999978E-3</v>
      </c>
      <c r="H27" s="39">
        <f t="shared" ca="1" si="1"/>
        <v>6.4049999999999975E-3</v>
      </c>
      <c r="I27" s="1"/>
      <c r="J27" s="26">
        <f t="shared" ca="1" si="6"/>
        <v>45240</v>
      </c>
      <c r="K27" s="30">
        <f t="shared" ca="1" si="11"/>
        <v>6.7399999999999977E-3</v>
      </c>
      <c r="L27" s="39">
        <f t="shared" ca="1" si="2"/>
        <v>6.6399999999999975E-3</v>
      </c>
      <c r="M27" s="1"/>
      <c r="N27" s="26">
        <f t="shared" ca="1" si="7"/>
        <v>45240</v>
      </c>
      <c r="O27" s="30">
        <v>5.0000000000000001E-3</v>
      </c>
      <c r="P27" s="39">
        <f t="shared" ca="1" si="3"/>
        <v>4.8999999999999998E-3</v>
      </c>
    </row>
    <row r="28" spans="1:16" x14ac:dyDescent="0.3">
      <c r="A28" s="2">
        <f t="shared" ca="1" si="8"/>
        <v>21</v>
      </c>
      <c r="B28" s="26">
        <f t="shared" ca="1" si="4"/>
        <v>45290</v>
      </c>
      <c r="C28" s="30">
        <f t="shared" ca="1" si="9"/>
        <v>4.487331127726135E-3</v>
      </c>
      <c r="D28" s="39">
        <f t="shared" ca="1" si="0"/>
        <v>4.3873311277261347E-3</v>
      </c>
      <c r="E28" s="1"/>
      <c r="F28" s="26">
        <f t="shared" ca="1" si="5"/>
        <v>45290</v>
      </c>
      <c r="G28" s="30">
        <f t="shared" ca="1" si="10"/>
        <v>6.6999999999999976E-3</v>
      </c>
      <c r="H28" s="39">
        <f t="shared" ca="1" si="1"/>
        <v>6.5999999999999974E-3</v>
      </c>
      <c r="I28" s="1"/>
      <c r="J28" s="26">
        <f t="shared" ca="1" si="6"/>
        <v>45290</v>
      </c>
      <c r="K28" s="30">
        <f t="shared" ca="1" si="11"/>
        <v>6.6999999999999976E-3</v>
      </c>
      <c r="L28" s="39">
        <f t="shared" ca="1" si="2"/>
        <v>6.5999999999999974E-3</v>
      </c>
      <c r="M28" s="1"/>
      <c r="N28" s="26">
        <f t="shared" ca="1" si="7"/>
        <v>45290</v>
      </c>
      <c r="O28" s="30">
        <v>5.0000000000000001E-3</v>
      </c>
      <c r="P28" s="39">
        <f t="shared" ca="1" si="3"/>
        <v>4.8999999999999998E-3</v>
      </c>
    </row>
    <row r="29" spans="1:16" x14ac:dyDescent="0.3">
      <c r="A29" s="2">
        <f t="shared" ca="1" si="8"/>
        <v>22</v>
      </c>
      <c r="B29" s="26">
        <f t="shared" ca="1" si="4"/>
        <v>45340</v>
      </c>
      <c r="C29" s="30">
        <f t="shared" ca="1" si="9"/>
        <v>4.6873311277261347E-3</v>
      </c>
      <c r="D29" s="39">
        <f t="shared" ca="1" si="0"/>
        <v>4.5873311277261344E-3</v>
      </c>
      <c r="E29" s="1"/>
      <c r="F29" s="26">
        <f t="shared" ca="1" si="5"/>
        <v>45340</v>
      </c>
      <c r="G29" s="30">
        <f t="shared" ca="1" si="10"/>
        <v>6.8949999999999975E-3</v>
      </c>
      <c r="H29" s="39">
        <f t="shared" ca="1" si="1"/>
        <v>6.7949999999999972E-3</v>
      </c>
      <c r="I29" s="1"/>
      <c r="J29" s="26">
        <f t="shared" ca="1" si="6"/>
        <v>45340</v>
      </c>
      <c r="K29" s="30">
        <f t="shared" ca="1" si="11"/>
        <v>6.6599999999999975E-3</v>
      </c>
      <c r="L29" s="39">
        <f t="shared" ca="1" si="2"/>
        <v>6.5599999999999973E-3</v>
      </c>
      <c r="M29" s="1"/>
      <c r="N29" s="26">
        <f t="shared" ca="1" si="7"/>
        <v>45340</v>
      </c>
      <c r="O29" s="30">
        <v>5.0000000000000001E-3</v>
      </c>
      <c r="P29" s="39">
        <f t="shared" ca="1" si="3"/>
        <v>4.8999999999999998E-3</v>
      </c>
    </row>
    <row r="30" spans="1:16" x14ac:dyDescent="0.3">
      <c r="A30" s="2">
        <f t="shared" ca="1" si="8"/>
        <v>23</v>
      </c>
      <c r="B30" s="26">
        <f t="shared" ca="1" si="4"/>
        <v>45390</v>
      </c>
      <c r="C30" s="30">
        <f t="shared" ca="1" si="9"/>
        <v>4.8873311277261343E-3</v>
      </c>
      <c r="D30" s="39">
        <f t="shared" ca="1" si="0"/>
        <v>4.7873311277261341E-3</v>
      </c>
      <c r="E30" s="1"/>
      <c r="F30" s="26">
        <f t="shared" ca="1" si="5"/>
        <v>45390</v>
      </c>
      <c r="G30" s="30">
        <f t="shared" ca="1" si="10"/>
        <v>7.0899999999999973E-3</v>
      </c>
      <c r="H30" s="39">
        <f t="shared" ca="1" si="1"/>
        <v>6.9899999999999971E-3</v>
      </c>
      <c r="I30" s="1"/>
      <c r="J30" s="26">
        <f t="shared" ca="1" si="6"/>
        <v>45390</v>
      </c>
      <c r="K30" s="30">
        <f t="shared" ca="1" si="11"/>
        <v>6.6199999999999974E-3</v>
      </c>
      <c r="L30" s="39">
        <f t="shared" ca="1" si="2"/>
        <v>6.5199999999999972E-3</v>
      </c>
      <c r="M30" s="1"/>
      <c r="N30" s="26">
        <f t="shared" ca="1" si="7"/>
        <v>45390</v>
      </c>
      <c r="O30" s="30">
        <v>5.0000000000000001E-3</v>
      </c>
      <c r="P30" s="39">
        <f t="shared" ca="1" si="3"/>
        <v>4.8999999999999998E-3</v>
      </c>
    </row>
    <row r="31" spans="1:16" x14ac:dyDescent="0.3">
      <c r="A31" s="2">
        <f t="shared" ca="1" si="8"/>
        <v>24</v>
      </c>
      <c r="B31" s="26">
        <f t="shared" ca="1" si="4"/>
        <v>45440</v>
      </c>
      <c r="C31" s="30">
        <f t="shared" ca="1" si="9"/>
        <v>5.087331127726134E-3</v>
      </c>
      <c r="D31" s="39">
        <f t="shared" ca="1" si="0"/>
        <v>4.9873311277261337E-3</v>
      </c>
      <c r="E31" s="1"/>
      <c r="F31" s="26">
        <f t="shared" ca="1" si="5"/>
        <v>45440</v>
      </c>
      <c r="G31" s="30">
        <f t="shared" ca="1" si="10"/>
        <v>7.2849999999999972E-3</v>
      </c>
      <c r="H31" s="39">
        <f t="shared" ca="1" si="1"/>
        <v>7.1849999999999969E-3</v>
      </c>
      <c r="I31" s="1"/>
      <c r="J31" s="26">
        <f t="shared" ca="1" si="6"/>
        <v>45440</v>
      </c>
      <c r="K31" s="30">
        <f t="shared" ca="1" si="11"/>
        <v>6.5799999999999973E-3</v>
      </c>
      <c r="L31" s="39">
        <f t="shared" ca="1" si="2"/>
        <v>6.479999999999997E-3</v>
      </c>
      <c r="M31" s="1"/>
      <c r="N31" s="26">
        <f t="shared" ca="1" si="7"/>
        <v>45440</v>
      </c>
      <c r="O31" s="30">
        <v>5.0000000000000001E-3</v>
      </c>
      <c r="P31" s="39">
        <f t="shared" ca="1" si="3"/>
        <v>4.8999999999999998E-3</v>
      </c>
    </row>
    <row r="32" spans="1:16" x14ac:dyDescent="0.3">
      <c r="A32" s="2">
        <f t="shared" ca="1" si="8"/>
        <v>25</v>
      </c>
      <c r="B32" s="26">
        <f t="shared" ca="1" si="4"/>
        <v>45490</v>
      </c>
      <c r="C32" s="30">
        <f t="shared" ca="1" si="9"/>
        <v>5.2873311277261336E-3</v>
      </c>
      <c r="D32" s="39">
        <f t="shared" ca="1" si="0"/>
        <v>5.1873311277261334E-3</v>
      </c>
      <c r="E32" s="1"/>
      <c r="F32" s="26">
        <f t="shared" ca="1" si="5"/>
        <v>45490</v>
      </c>
      <c r="G32" s="30">
        <f t="shared" ca="1" si="10"/>
        <v>7.4799999999999971E-3</v>
      </c>
      <c r="H32" s="39">
        <f t="shared" ca="1" si="1"/>
        <v>7.3799999999999968E-3</v>
      </c>
      <c r="I32" s="1"/>
      <c r="J32" s="26">
        <f t="shared" ca="1" si="6"/>
        <v>45490</v>
      </c>
      <c r="K32" s="30">
        <f t="shared" ca="1" si="11"/>
        <v>6.5399999999999972E-3</v>
      </c>
      <c r="L32" s="39">
        <f t="shared" ca="1" si="2"/>
        <v>6.4399999999999969E-3</v>
      </c>
      <c r="M32" s="1"/>
      <c r="N32" s="26">
        <f t="shared" ca="1" si="7"/>
        <v>45490</v>
      </c>
      <c r="O32" s="30">
        <v>5.0000000000000001E-3</v>
      </c>
      <c r="P32" s="39">
        <f t="shared" ca="1" si="3"/>
        <v>4.8999999999999998E-3</v>
      </c>
    </row>
    <row r="33" spans="1:16" x14ac:dyDescent="0.3">
      <c r="A33" s="2">
        <f t="shared" ca="1" si="8"/>
        <v>26</v>
      </c>
      <c r="B33" s="26">
        <f t="shared" ca="1" si="4"/>
        <v>45540</v>
      </c>
      <c r="C33" s="30">
        <f t="shared" ca="1" si="9"/>
        <v>5.4873311277261333E-3</v>
      </c>
      <c r="D33" s="39">
        <f t="shared" ca="1" si="0"/>
        <v>5.387331127726133E-3</v>
      </c>
      <c r="E33" s="1"/>
      <c r="F33" s="26">
        <f t="shared" ca="1" si="5"/>
        <v>45540</v>
      </c>
      <c r="G33" s="30">
        <f t="shared" ca="1" si="10"/>
        <v>7.6749999999999969E-3</v>
      </c>
      <c r="H33" s="39">
        <f t="shared" ca="1" si="1"/>
        <v>7.5749999999999967E-3</v>
      </c>
      <c r="I33" s="1"/>
      <c r="J33" s="26">
        <f t="shared" ca="1" si="6"/>
        <v>45540</v>
      </c>
      <c r="K33" s="30">
        <f t="shared" ca="1" si="11"/>
        <v>6.4999999999999971E-3</v>
      </c>
      <c r="L33" s="39">
        <f t="shared" ca="1" si="2"/>
        <v>6.3999999999999968E-3</v>
      </c>
      <c r="M33" s="1"/>
      <c r="N33" s="26">
        <f t="shared" ca="1" si="7"/>
        <v>45540</v>
      </c>
      <c r="O33" s="30">
        <v>5.0000000000000001E-3</v>
      </c>
      <c r="P33" s="39">
        <f t="shared" ca="1" si="3"/>
        <v>4.8999999999999998E-3</v>
      </c>
    </row>
    <row r="34" spans="1:16" x14ac:dyDescent="0.3">
      <c r="A34" s="2">
        <f t="shared" ca="1" si="8"/>
        <v>27</v>
      </c>
      <c r="B34" s="26">
        <f t="shared" ca="1" si="4"/>
        <v>45590</v>
      </c>
      <c r="C34" s="30">
        <f t="shared" ca="1" si="9"/>
        <v>5.687331127726133E-3</v>
      </c>
      <c r="D34" s="39">
        <f t="shared" ca="1" si="0"/>
        <v>5.5873311277261327E-3</v>
      </c>
      <c r="E34" s="1"/>
      <c r="F34" s="26">
        <f t="shared" ca="1" si="5"/>
        <v>45590</v>
      </c>
      <c r="G34" s="30">
        <f t="shared" ca="1" si="10"/>
        <v>7.8699999999999968E-3</v>
      </c>
      <c r="H34" s="39">
        <f t="shared" ca="1" si="1"/>
        <v>7.7699999999999965E-3</v>
      </c>
      <c r="I34" s="1"/>
      <c r="J34" s="26">
        <f t="shared" ca="1" si="6"/>
        <v>45590</v>
      </c>
      <c r="K34" s="30">
        <f t="shared" ca="1" si="11"/>
        <v>6.459999999999997E-3</v>
      </c>
      <c r="L34" s="39">
        <f t="shared" ca="1" si="2"/>
        <v>6.3599999999999967E-3</v>
      </c>
      <c r="M34" s="1"/>
      <c r="N34" s="26">
        <f t="shared" ca="1" si="7"/>
        <v>45590</v>
      </c>
      <c r="O34" s="30">
        <v>5.0000000000000001E-3</v>
      </c>
      <c r="P34" s="39">
        <f t="shared" ca="1" si="3"/>
        <v>4.8999999999999998E-3</v>
      </c>
    </row>
    <row r="35" spans="1:16" x14ac:dyDescent="0.3">
      <c r="A35" s="2">
        <f t="shared" ca="1" si="8"/>
        <v>28</v>
      </c>
      <c r="B35" s="26">
        <f t="shared" ca="1" si="4"/>
        <v>45640</v>
      </c>
      <c r="C35" s="30">
        <f t="shared" ca="1" si="9"/>
        <v>5.8873311277261326E-3</v>
      </c>
      <c r="D35" s="39">
        <f t="shared" ca="1" si="0"/>
        <v>5.7873311277261323E-3</v>
      </c>
      <c r="E35" s="1"/>
      <c r="F35" s="26">
        <f t="shared" ca="1" si="5"/>
        <v>45640</v>
      </c>
      <c r="G35" s="30">
        <f t="shared" ca="1" si="10"/>
        <v>8.0649999999999975E-3</v>
      </c>
      <c r="H35" s="39">
        <f t="shared" ca="1" si="1"/>
        <v>7.9649999999999981E-3</v>
      </c>
      <c r="I35" s="1"/>
      <c r="J35" s="26">
        <f t="shared" ca="1" si="6"/>
        <v>45640</v>
      </c>
      <c r="K35" s="30">
        <f t="shared" ca="1" si="11"/>
        <v>6.4199999999999969E-3</v>
      </c>
      <c r="L35" s="39">
        <f t="shared" ca="1" si="2"/>
        <v>6.3199999999999966E-3</v>
      </c>
      <c r="M35" s="1"/>
      <c r="N35" s="26">
        <f t="shared" ca="1" si="7"/>
        <v>45640</v>
      </c>
      <c r="O35" s="30">
        <v>5.0000000000000001E-3</v>
      </c>
      <c r="P35" s="39">
        <f t="shared" ca="1" si="3"/>
        <v>4.8999999999999998E-3</v>
      </c>
    </row>
    <row r="36" spans="1:16" x14ac:dyDescent="0.3">
      <c r="A36" s="2">
        <f t="shared" ca="1" si="8"/>
        <v>29</v>
      </c>
      <c r="B36" s="26">
        <f t="shared" ca="1" si="4"/>
        <v>45690</v>
      </c>
      <c r="C36" s="30">
        <f t="shared" ca="1" si="9"/>
        <v>6.0873311277261323E-3</v>
      </c>
      <c r="D36" s="39">
        <f t="shared" ca="1" si="0"/>
        <v>5.987331127726132E-3</v>
      </c>
      <c r="E36" s="1"/>
      <c r="F36" s="26">
        <f t="shared" ca="1" si="5"/>
        <v>45690</v>
      </c>
      <c r="G36" s="30">
        <f t="shared" ca="1" si="10"/>
        <v>8.2599999999999982E-3</v>
      </c>
      <c r="H36" s="39">
        <f t="shared" ca="1" si="1"/>
        <v>8.1599999999999989E-3</v>
      </c>
      <c r="I36" s="1"/>
      <c r="J36" s="26">
        <f t="shared" ca="1" si="6"/>
        <v>45690</v>
      </c>
      <c r="K36" s="30">
        <f t="shared" ca="1" si="11"/>
        <v>6.3799999999999968E-3</v>
      </c>
      <c r="L36" s="39">
        <f t="shared" ca="1" si="2"/>
        <v>6.2799999999999965E-3</v>
      </c>
      <c r="M36" s="1"/>
      <c r="N36" s="26">
        <f t="shared" ca="1" si="7"/>
        <v>45690</v>
      </c>
      <c r="O36" s="30">
        <v>5.0000000000000001E-3</v>
      </c>
      <c r="P36" s="39">
        <f t="shared" ca="1" si="3"/>
        <v>4.8999999999999998E-3</v>
      </c>
    </row>
    <row r="37" spans="1:16" x14ac:dyDescent="0.3">
      <c r="A37" s="2">
        <f t="shared" ca="1" si="8"/>
        <v>30</v>
      </c>
      <c r="B37" s="26">
        <f t="shared" ca="1" si="4"/>
        <v>45740</v>
      </c>
      <c r="C37" s="30">
        <f t="shared" ca="1" si="9"/>
        <v>6.2873311277261319E-3</v>
      </c>
      <c r="D37" s="39">
        <f t="shared" ca="1" si="0"/>
        <v>6.1873311277261317E-3</v>
      </c>
      <c r="E37" s="1"/>
      <c r="F37" s="26">
        <f t="shared" ca="1" si="5"/>
        <v>45740</v>
      </c>
      <c r="G37" s="30">
        <f t="shared" ca="1" si="10"/>
        <v>8.454999999999999E-3</v>
      </c>
      <c r="H37" s="39">
        <f t="shared" ca="1" si="1"/>
        <v>8.3549999999999996E-3</v>
      </c>
      <c r="I37" s="1"/>
      <c r="J37" s="26">
        <f t="shared" ca="1" si="6"/>
        <v>45740</v>
      </c>
      <c r="K37" s="30">
        <f t="shared" ca="1" si="11"/>
        <v>6.3399999999999967E-3</v>
      </c>
      <c r="L37" s="39">
        <f t="shared" ca="1" si="2"/>
        <v>6.2399999999999964E-3</v>
      </c>
      <c r="M37" s="1"/>
      <c r="N37" s="26">
        <f t="shared" ca="1" si="7"/>
        <v>45740</v>
      </c>
      <c r="O37" s="30">
        <v>5.0000000000000001E-3</v>
      </c>
      <c r="P37" s="39">
        <f t="shared" ca="1" si="3"/>
        <v>4.8999999999999998E-3</v>
      </c>
    </row>
    <row r="38" spans="1:16" x14ac:dyDescent="0.3">
      <c r="A38" s="2">
        <f t="shared" ca="1" si="8"/>
        <v>31</v>
      </c>
      <c r="B38" s="26">
        <f t="shared" ca="1" si="4"/>
        <v>45790</v>
      </c>
      <c r="C38" s="30">
        <f t="shared" ca="1" si="9"/>
        <v>6.4873311277261316E-3</v>
      </c>
      <c r="D38" s="39">
        <f t="shared" ca="1" si="0"/>
        <v>6.3873311277261313E-3</v>
      </c>
      <c r="E38" s="1"/>
      <c r="F38" s="26">
        <f t="shared" ca="1" si="5"/>
        <v>45790</v>
      </c>
      <c r="G38" s="30">
        <f t="shared" ca="1" si="10"/>
        <v>8.6499999999999997E-3</v>
      </c>
      <c r="H38" s="39">
        <f t="shared" ca="1" si="1"/>
        <v>8.5500000000000003E-3</v>
      </c>
      <c r="I38" s="1"/>
      <c r="J38" s="26">
        <f t="shared" ca="1" si="6"/>
        <v>45790</v>
      </c>
      <c r="K38" s="30">
        <f t="shared" ca="1" si="11"/>
        <v>6.2999999999999966E-3</v>
      </c>
      <c r="L38" s="39">
        <f t="shared" ca="1" si="2"/>
        <v>6.1999999999999963E-3</v>
      </c>
      <c r="M38" s="1"/>
      <c r="N38" s="26">
        <f t="shared" ca="1" si="7"/>
        <v>45790</v>
      </c>
      <c r="O38" s="30">
        <v>5.0000000000000001E-3</v>
      </c>
      <c r="P38" s="39">
        <f t="shared" ca="1" si="3"/>
        <v>4.8999999999999998E-3</v>
      </c>
    </row>
    <row r="39" spans="1:16" x14ac:dyDescent="0.3">
      <c r="A39" s="2">
        <f t="shared" ca="1" si="8"/>
        <v>32</v>
      </c>
      <c r="B39" s="26">
        <f t="shared" ca="1" si="4"/>
        <v>45840</v>
      </c>
      <c r="C39" s="30">
        <f t="shared" ca="1" si="9"/>
        <v>6.6873311277261312E-3</v>
      </c>
      <c r="D39" s="39">
        <f t="shared" ca="1" si="0"/>
        <v>6.587331127726131E-3</v>
      </c>
      <c r="E39" s="1"/>
      <c r="F39" s="26">
        <f t="shared" ca="1" si="5"/>
        <v>45840</v>
      </c>
      <c r="G39" s="30">
        <f t="shared" ca="1" si="10"/>
        <v>8.8450000000000004E-3</v>
      </c>
      <c r="H39" s="39">
        <f t="shared" ca="1" si="1"/>
        <v>8.745000000000001E-3</v>
      </c>
      <c r="I39" s="1"/>
      <c r="J39" s="26">
        <f t="shared" ca="1" si="6"/>
        <v>45840</v>
      </c>
      <c r="K39" s="30">
        <f t="shared" ca="1" si="11"/>
        <v>6.2599999999999965E-3</v>
      </c>
      <c r="L39" s="39">
        <f t="shared" ca="1" si="2"/>
        <v>6.1599999999999962E-3</v>
      </c>
      <c r="M39" s="1"/>
      <c r="N39" s="26">
        <f t="shared" ca="1" si="7"/>
        <v>45840</v>
      </c>
      <c r="O39" s="30">
        <v>5.0000000000000001E-3</v>
      </c>
      <c r="P39" s="39">
        <f t="shared" ca="1" si="3"/>
        <v>4.8999999999999998E-3</v>
      </c>
    </row>
    <row r="40" spans="1:16" x14ac:dyDescent="0.3">
      <c r="A40" s="2">
        <f t="shared" ca="1" si="8"/>
        <v>33</v>
      </c>
      <c r="B40" s="26">
        <f t="shared" ca="1" si="4"/>
        <v>45890</v>
      </c>
      <c r="C40" s="30">
        <f t="shared" ca="1" si="9"/>
        <v>6.8873311277261309E-3</v>
      </c>
      <c r="D40" s="39">
        <f t="shared" ref="D40:D71" ca="1" si="12">C40+(BumpSizeLiborRates*0.0001)</f>
        <v>6.7873311277261306E-3</v>
      </c>
      <c r="E40" s="1"/>
      <c r="F40" s="26">
        <f t="shared" ca="1" si="5"/>
        <v>45890</v>
      </c>
      <c r="G40" s="30">
        <f t="shared" ca="1" si="10"/>
        <v>9.0400000000000012E-3</v>
      </c>
      <c r="H40" s="39">
        <f t="shared" ref="H40:H71" ca="1" si="13">G40+(BumpSizeLiborRates*0.0001)</f>
        <v>8.9400000000000018E-3</v>
      </c>
      <c r="I40" s="1"/>
      <c r="J40" s="26">
        <f t="shared" ca="1" si="6"/>
        <v>45890</v>
      </c>
      <c r="K40" s="30">
        <f t="shared" ca="1" si="11"/>
        <v>6.2199999999999964E-3</v>
      </c>
      <c r="L40" s="39">
        <f t="shared" ref="L40:L71" ca="1" si="14">K40+(BumpSizeLiborRates*0.0001)</f>
        <v>6.1199999999999961E-3</v>
      </c>
      <c r="M40" s="1"/>
      <c r="N40" s="26">
        <f t="shared" ca="1" si="7"/>
        <v>45890</v>
      </c>
      <c r="O40" s="30">
        <v>5.0000000000000001E-3</v>
      </c>
      <c r="P40" s="39">
        <f t="shared" ref="P40:P71" ca="1" si="15">O40+(BumpSizeLiborRates*0.0001)</f>
        <v>4.8999999999999998E-3</v>
      </c>
    </row>
    <row r="41" spans="1:16" x14ac:dyDescent="0.3">
      <c r="A41" s="2">
        <f t="shared" ca="1" si="8"/>
        <v>34</v>
      </c>
      <c r="B41" s="26">
        <f t="shared" ref="B41:B72" ca="1" si="16">B40+Periodicity</f>
        <v>45940</v>
      </c>
      <c r="C41" s="30">
        <f t="shared" ca="1" si="9"/>
        <v>7.0873311277261306E-3</v>
      </c>
      <c r="D41" s="39">
        <f t="shared" ca="1" si="12"/>
        <v>6.9873311277261303E-3</v>
      </c>
      <c r="E41" s="1"/>
      <c r="F41" s="26">
        <f t="shared" ref="F41:F72" ca="1" si="17">F40+Periodicity</f>
        <v>45940</v>
      </c>
      <c r="G41" s="30">
        <f t="shared" ca="1" si="10"/>
        <v>9.2350000000000019E-3</v>
      </c>
      <c r="H41" s="39">
        <f t="shared" ca="1" si="13"/>
        <v>9.1350000000000025E-3</v>
      </c>
      <c r="I41" s="1"/>
      <c r="J41" s="26">
        <f t="shared" ref="J41:J72" ca="1" si="18">J40+Periodicity</f>
        <v>45940</v>
      </c>
      <c r="K41" s="30">
        <f t="shared" ca="1" si="11"/>
        <v>6.1799999999999963E-3</v>
      </c>
      <c r="L41" s="39">
        <f t="shared" ca="1" si="14"/>
        <v>6.079999999999996E-3</v>
      </c>
      <c r="M41" s="1"/>
      <c r="N41" s="26">
        <f t="shared" ref="N41:N72" ca="1" si="19">N40+Periodicity</f>
        <v>45940</v>
      </c>
      <c r="O41" s="30">
        <v>5.0000000000000001E-3</v>
      </c>
      <c r="P41" s="39">
        <f t="shared" ca="1" si="15"/>
        <v>4.8999999999999998E-3</v>
      </c>
    </row>
    <row r="42" spans="1:16" x14ac:dyDescent="0.3">
      <c r="A42" s="2">
        <f t="shared" ca="1" si="8"/>
        <v>35</v>
      </c>
      <c r="B42" s="26">
        <f t="shared" ca="1" si="16"/>
        <v>45990</v>
      </c>
      <c r="C42" s="30">
        <f t="shared" ca="1" si="9"/>
        <v>7.2873311277261302E-3</v>
      </c>
      <c r="D42" s="39">
        <f t="shared" ca="1" si="12"/>
        <v>7.1873311277261299E-3</v>
      </c>
      <c r="E42" s="1"/>
      <c r="F42" s="26">
        <f t="shared" ca="1" si="17"/>
        <v>45990</v>
      </c>
      <c r="G42" s="30">
        <f t="shared" ca="1" si="10"/>
        <v>9.4300000000000026E-3</v>
      </c>
      <c r="H42" s="39">
        <f t="shared" ca="1" si="13"/>
        <v>9.3300000000000032E-3</v>
      </c>
      <c r="I42" s="1"/>
      <c r="J42" s="26">
        <f t="shared" ca="1" si="18"/>
        <v>45990</v>
      </c>
      <c r="K42" s="30">
        <f t="shared" ca="1" si="11"/>
        <v>6.1399999999999962E-3</v>
      </c>
      <c r="L42" s="39">
        <f t="shared" ca="1" si="14"/>
        <v>6.0399999999999959E-3</v>
      </c>
      <c r="M42" s="1"/>
      <c r="N42" s="26">
        <f t="shared" ca="1" si="19"/>
        <v>45990</v>
      </c>
      <c r="O42" s="30">
        <v>5.0000000000000001E-3</v>
      </c>
      <c r="P42" s="39">
        <f t="shared" ca="1" si="15"/>
        <v>4.8999999999999998E-3</v>
      </c>
    </row>
    <row r="43" spans="1:16" x14ac:dyDescent="0.3">
      <c r="A43" s="2">
        <f t="shared" ca="1" si="8"/>
        <v>36</v>
      </c>
      <c r="B43" s="26">
        <f t="shared" ca="1" si="16"/>
        <v>46040</v>
      </c>
      <c r="C43" s="30">
        <f t="shared" ca="1" si="9"/>
        <v>7.4873311277261299E-3</v>
      </c>
      <c r="D43" s="39">
        <f t="shared" ca="1" si="12"/>
        <v>7.3873311277261296E-3</v>
      </c>
      <c r="E43" s="1"/>
      <c r="F43" s="26">
        <f t="shared" ca="1" si="17"/>
        <v>46040</v>
      </c>
      <c r="G43" s="30">
        <f t="shared" ca="1" si="10"/>
        <v>9.6250000000000033E-3</v>
      </c>
      <c r="H43" s="39">
        <f t="shared" ca="1" si="13"/>
        <v>9.5250000000000039E-3</v>
      </c>
      <c r="I43" s="1"/>
      <c r="J43" s="26">
        <f t="shared" ca="1" si="18"/>
        <v>46040</v>
      </c>
      <c r="K43" s="30">
        <f t="shared" ca="1" si="11"/>
        <v>6.0999999999999961E-3</v>
      </c>
      <c r="L43" s="39">
        <f t="shared" ca="1" si="14"/>
        <v>5.9999999999999958E-3</v>
      </c>
      <c r="M43" s="1"/>
      <c r="N43" s="26">
        <f t="shared" ca="1" si="19"/>
        <v>46040</v>
      </c>
      <c r="O43" s="30">
        <v>5.0000000000000001E-3</v>
      </c>
      <c r="P43" s="39">
        <f t="shared" ca="1" si="15"/>
        <v>4.8999999999999998E-3</v>
      </c>
    </row>
    <row r="44" spans="1:16" x14ac:dyDescent="0.3">
      <c r="A44" s="2">
        <f t="shared" ca="1" si="8"/>
        <v>37</v>
      </c>
      <c r="B44" s="26">
        <f t="shared" ca="1" si="16"/>
        <v>46090</v>
      </c>
      <c r="C44" s="30">
        <f t="shared" ca="1" si="9"/>
        <v>7.6873311277261295E-3</v>
      </c>
      <c r="D44" s="39">
        <f t="shared" ca="1" si="12"/>
        <v>7.5873311277261293E-3</v>
      </c>
      <c r="E44" s="1"/>
      <c r="F44" s="26">
        <f t="shared" ca="1" si="17"/>
        <v>46090</v>
      </c>
      <c r="G44" s="30">
        <f t="shared" ca="1" si="10"/>
        <v>9.8200000000000041E-3</v>
      </c>
      <c r="H44" s="39">
        <f t="shared" ca="1" si="13"/>
        <v>9.7200000000000047E-3</v>
      </c>
      <c r="I44" s="1"/>
      <c r="J44" s="26">
        <f t="shared" ca="1" si="18"/>
        <v>46090</v>
      </c>
      <c r="K44" s="30">
        <f t="shared" ca="1" si="11"/>
        <v>6.0599999999999959E-3</v>
      </c>
      <c r="L44" s="39">
        <f t="shared" ca="1" si="14"/>
        <v>5.9599999999999957E-3</v>
      </c>
      <c r="M44" s="1"/>
      <c r="N44" s="26">
        <f t="shared" ca="1" si="19"/>
        <v>46090</v>
      </c>
      <c r="O44" s="30">
        <v>5.0000000000000001E-3</v>
      </c>
      <c r="P44" s="39">
        <f t="shared" ca="1" si="15"/>
        <v>4.8999999999999998E-3</v>
      </c>
    </row>
    <row r="45" spans="1:16" x14ac:dyDescent="0.3">
      <c r="A45" s="2">
        <f t="shared" ca="1" si="8"/>
        <v>38</v>
      </c>
      <c r="B45" s="26">
        <f t="shared" ca="1" si="16"/>
        <v>46140</v>
      </c>
      <c r="C45" s="30">
        <f t="shared" ca="1" si="9"/>
        <v>7.8873311277261292E-3</v>
      </c>
      <c r="D45" s="39">
        <f t="shared" ca="1" si="12"/>
        <v>7.7873311277261289E-3</v>
      </c>
      <c r="E45" s="1"/>
      <c r="F45" s="26">
        <f t="shared" ca="1" si="17"/>
        <v>46140</v>
      </c>
      <c r="G45" s="30">
        <f t="shared" ca="1" si="10"/>
        <v>1.0015000000000005E-2</v>
      </c>
      <c r="H45" s="39">
        <f t="shared" ca="1" si="13"/>
        <v>9.9150000000000054E-3</v>
      </c>
      <c r="I45" s="1"/>
      <c r="J45" s="26">
        <f t="shared" ca="1" si="18"/>
        <v>46140</v>
      </c>
      <c r="K45" s="30">
        <f t="shared" ca="1" si="11"/>
        <v>6.0199999999999958E-3</v>
      </c>
      <c r="L45" s="39">
        <f t="shared" ca="1" si="14"/>
        <v>5.9199999999999956E-3</v>
      </c>
      <c r="M45" s="1"/>
      <c r="N45" s="26">
        <f t="shared" ca="1" si="19"/>
        <v>46140</v>
      </c>
      <c r="O45" s="30">
        <v>5.0000000000000001E-3</v>
      </c>
      <c r="P45" s="39">
        <f t="shared" ca="1" si="15"/>
        <v>4.8999999999999998E-3</v>
      </c>
    </row>
    <row r="46" spans="1:16" x14ac:dyDescent="0.3">
      <c r="A46" s="2">
        <f t="shared" ca="1" si="8"/>
        <v>39</v>
      </c>
      <c r="B46" s="26">
        <f t="shared" ca="1" si="16"/>
        <v>46190</v>
      </c>
      <c r="C46" s="30">
        <f t="shared" ca="1" si="9"/>
        <v>8.0873311277261297E-3</v>
      </c>
      <c r="D46" s="39">
        <f t="shared" ca="1" si="12"/>
        <v>7.9873311277261303E-3</v>
      </c>
      <c r="E46" s="1"/>
      <c r="F46" s="26">
        <f t="shared" ca="1" si="17"/>
        <v>46190</v>
      </c>
      <c r="G46" s="30">
        <f t="shared" ca="1" si="10"/>
        <v>1.0210000000000006E-2</v>
      </c>
      <c r="H46" s="39">
        <f t="shared" ca="1" si="13"/>
        <v>1.0110000000000006E-2</v>
      </c>
      <c r="I46" s="1"/>
      <c r="J46" s="26">
        <f t="shared" ca="1" si="18"/>
        <v>46190</v>
      </c>
      <c r="K46" s="30">
        <f t="shared" ca="1" si="11"/>
        <v>5.9799999999999957E-3</v>
      </c>
      <c r="L46" s="39">
        <f t="shared" ca="1" si="14"/>
        <v>5.8799999999999955E-3</v>
      </c>
      <c r="M46" s="1"/>
      <c r="N46" s="26">
        <f t="shared" ca="1" si="19"/>
        <v>46190</v>
      </c>
      <c r="O46" s="30">
        <v>5.0000000000000001E-3</v>
      </c>
      <c r="P46" s="39">
        <f t="shared" ca="1" si="15"/>
        <v>4.8999999999999998E-3</v>
      </c>
    </row>
    <row r="47" spans="1:16" x14ac:dyDescent="0.3">
      <c r="A47" s="2">
        <f t="shared" ca="1" si="8"/>
        <v>40</v>
      </c>
      <c r="B47" s="26">
        <f t="shared" ca="1" si="16"/>
        <v>46240</v>
      </c>
      <c r="C47" s="30">
        <f t="shared" ca="1" si="9"/>
        <v>8.2873311277261302E-3</v>
      </c>
      <c r="D47" s="39">
        <f t="shared" ca="1" si="12"/>
        <v>8.1873311277261308E-3</v>
      </c>
      <c r="E47" s="1"/>
      <c r="F47" s="26">
        <f t="shared" ca="1" si="17"/>
        <v>46240</v>
      </c>
      <c r="G47" s="30">
        <f t="shared" ca="1" si="10"/>
        <v>1.0405000000000006E-2</v>
      </c>
      <c r="H47" s="39">
        <f t="shared" ca="1" si="13"/>
        <v>1.0305000000000007E-2</v>
      </c>
      <c r="I47" s="1"/>
      <c r="J47" s="26">
        <f t="shared" ca="1" si="18"/>
        <v>46240</v>
      </c>
      <c r="K47" s="30">
        <f t="shared" ca="1" si="11"/>
        <v>5.9399999999999956E-3</v>
      </c>
      <c r="L47" s="39">
        <f t="shared" ca="1" si="14"/>
        <v>5.8399999999999954E-3</v>
      </c>
      <c r="M47" s="1"/>
      <c r="N47" s="26">
        <f t="shared" ca="1" si="19"/>
        <v>46240</v>
      </c>
      <c r="O47" s="30">
        <v>5.0000000000000001E-3</v>
      </c>
      <c r="P47" s="39">
        <f t="shared" ca="1" si="15"/>
        <v>4.8999999999999998E-3</v>
      </c>
    </row>
    <row r="48" spans="1:16" x14ac:dyDescent="0.3">
      <c r="A48" s="2">
        <f t="shared" ca="1" si="8"/>
        <v>41</v>
      </c>
      <c r="B48" s="26">
        <f t="shared" ca="1" si="16"/>
        <v>46290</v>
      </c>
      <c r="C48" s="30">
        <f t="shared" ca="1" si="9"/>
        <v>8.4873311277261308E-3</v>
      </c>
      <c r="D48" s="39">
        <f t="shared" ca="1" si="12"/>
        <v>8.3873311277261314E-3</v>
      </c>
      <c r="E48" s="1"/>
      <c r="F48" s="26">
        <f t="shared" ca="1" si="17"/>
        <v>46290</v>
      </c>
      <c r="G48" s="30">
        <f t="shared" ca="1" si="10"/>
        <v>1.0600000000000007E-2</v>
      </c>
      <c r="H48" s="39">
        <f t="shared" ca="1" si="13"/>
        <v>1.0500000000000008E-2</v>
      </c>
      <c r="I48" s="1"/>
      <c r="J48" s="26">
        <f t="shared" ca="1" si="18"/>
        <v>46290</v>
      </c>
      <c r="K48" s="30">
        <f t="shared" ca="1" si="11"/>
        <v>5.8999999999999955E-3</v>
      </c>
      <c r="L48" s="39">
        <f t="shared" ca="1" si="14"/>
        <v>5.7999999999999953E-3</v>
      </c>
      <c r="M48" s="1"/>
      <c r="N48" s="26">
        <f t="shared" ca="1" si="19"/>
        <v>46290</v>
      </c>
      <c r="O48" s="30">
        <v>5.0000000000000001E-3</v>
      </c>
      <c r="P48" s="39">
        <f t="shared" ca="1" si="15"/>
        <v>4.8999999999999998E-3</v>
      </c>
    </row>
    <row r="49" spans="1:16" x14ac:dyDescent="0.3">
      <c r="A49" s="2">
        <f t="shared" ca="1" si="8"/>
        <v>42</v>
      </c>
      <c r="B49" s="26">
        <f t="shared" ca="1" si="16"/>
        <v>46340</v>
      </c>
      <c r="C49" s="30">
        <f t="shared" ca="1" si="9"/>
        <v>8.6873311277261313E-3</v>
      </c>
      <c r="D49" s="39">
        <f t="shared" ca="1" si="12"/>
        <v>8.5873311277261319E-3</v>
      </c>
      <c r="E49" s="1"/>
      <c r="F49" s="26">
        <f t="shared" ca="1" si="17"/>
        <v>46340</v>
      </c>
      <c r="G49" s="30">
        <f t="shared" ca="1" si="10"/>
        <v>1.0795000000000008E-2</v>
      </c>
      <c r="H49" s="39">
        <f t="shared" ca="1" si="13"/>
        <v>1.0695000000000008E-2</v>
      </c>
      <c r="I49" s="1"/>
      <c r="J49" s="26">
        <f t="shared" ca="1" si="18"/>
        <v>46340</v>
      </c>
      <c r="K49" s="30">
        <f t="shared" ca="1" si="11"/>
        <v>5.8599999999999954E-3</v>
      </c>
      <c r="L49" s="39">
        <f t="shared" ca="1" si="14"/>
        <v>5.7599999999999952E-3</v>
      </c>
      <c r="M49" s="1"/>
      <c r="N49" s="26">
        <f t="shared" ca="1" si="19"/>
        <v>46340</v>
      </c>
      <c r="O49" s="30">
        <v>5.0000000000000001E-3</v>
      </c>
      <c r="P49" s="39">
        <f t="shared" ca="1" si="15"/>
        <v>4.8999999999999998E-3</v>
      </c>
    </row>
    <row r="50" spans="1:16" x14ac:dyDescent="0.3">
      <c r="A50" s="2">
        <f t="shared" ca="1" si="8"/>
        <v>43</v>
      </c>
      <c r="B50" s="26">
        <f t="shared" ca="1" si="16"/>
        <v>46390</v>
      </c>
      <c r="C50" s="30">
        <f t="shared" ca="1" si="9"/>
        <v>8.8873311277261318E-3</v>
      </c>
      <c r="D50" s="39">
        <f t="shared" ca="1" si="12"/>
        <v>8.7873311277261324E-3</v>
      </c>
      <c r="E50" s="1"/>
      <c r="F50" s="26">
        <f t="shared" ca="1" si="17"/>
        <v>46390</v>
      </c>
      <c r="G50" s="30">
        <f t="shared" ca="1" si="10"/>
        <v>1.0990000000000008E-2</v>
      </c>
      <c r="H50" s="39">
        <f t="shared" ca="1" si="13"/>
        <v>1.0890000000000009E-2</v>
      </c>
      <c r="I50" s="1"/>
      <c r="J50" s="26">
        <f t="shared" ca="1" si="18"/>
        <v>46390</v>
      </c>
      <c r="K50" s="30">
        <f t="shared" ca="1" si="11"/>
        <v>5.8199999999999953E-3</v>
      </c>
      <c r="L50" s="39">
        <f t="shared" ca="1" si="14"/>
        <v>5.7199999999999951E-3</v>
      </c>
      <c r="M50" s="1"/>
      <c r="N50" s="26">
        <f t="shared" ca="1" si="19"/>
        <v>46390</v>
      </c>
      <c r="O50" s="30">
        <v>5.0000000000000001E-3</v>
      </c>
      <c r="P50" s="39">
        <f t="shared" ca="1" si="15"/>
        <v>4.8999999999999998E-3</v>
      </c>
    </row>
    <row r="51" spans="1:16" x14ac:dyDescent="0.3">
      <c r="A51" s="2">
        <f t="shared" ca="1" si="8"/>
        <v>44</v>
      </c>
      <c r="B51" s="26">
        <f t="shared" ca="1" si="16"/>
        <v>46440</v>
      </c>
      <c r="C51" s="30">
        <f t="shared" ca="1" si="9"/>
        <v>9.0873311277261323E-3</v>
      </c>
      <c r="D51" s="39">
        <f t="shared" ca="1" si="12"/>
        <v>8.9873311277261329E-3</v>
      </c>
      <c r="E51" s="1"/>
      <c r="F51" s="26">
        <f t="shared" ca="1" si="17"/>
        <v>46440</v>
      </c>
      <c r="G51" s="30">
        <f t="shared" ca="1" si="10"/>
        <v>1.1185000000000009E-2</v>
      </c>
      <c r="H51" s="39">
        <f t="shared" ca="1" si="13"/>
        <v>1.108500000000001E-2</v>
      </c>
      <c r="I51" s="1"/>
      <c r="J51" s="26">
        <f t="shared" ca="1" si="18"/>
        <v>46440</v>
      </c>
      <c r="K51" s="30">
        <f t="shared" ca="1" si="11"/>
        <v>5.7799999999999952E-3</v>
      </c>
      <c r="L51" s="39">
        <f t="shared" ca="1" si="14"/>
        <v>5.6799999999999949E-3</v>
      </c>
      <c r="M51" s="1"/>
      <c r="N51" s="26">
        <f t="shared" ca="1" si="19"/>
        <v>46440</v>
      </c>
      <c r="O51" s="30">
        <v>5.0000000000000001E-3</v>
      </c>
      <c r="P51" s="39">
        <f t="shared" ca="1" si="15"/>
        <v>4.8999999999999998E-3</v>
      </c>
    </row>
    <row r="52" spans="1:16" x14ac:dyDescent="0.3">
      <c r="A52" s="2">
        <f t="shared" ca="1" si="8"/>
        <v>45</v>
      </c>
      <c r="B52" s="26">
        <f t="shared" ca="1" si="16"/>
        <v>46490</v>
      </c>
      <c r="C52" s="30">
        <f t="shared" ca="1" si="9"/>
        <v>9.2873311277261329E-3</v>
      </c>
      <c r="D52" s="39">
        <f t="shared" ca="1" si="12"/>
        <v>9.1873311277261335E-3</v>
      </c>
      <c r="E52" s="1"/>
      <c r="F52" s="26">
        <f t="shared" ca="1" si="17"/>
        <v>46490</v>
      </c>
      <c r="G52" s="30">
        <f t="shared" ca="1" si="10"/>
        <v>1.138000000000001E-2</v>
      </c>
      <c r="H52" s="39">
        <f t="shared" ca="1" si="13"/>
        <v>1.1280000000000011E-2</v>
      </c>
      <c r="I52" s="1"/>
      <c r="J52" s="26">
        <f t="shared" ca="1" si="18"/>
        <v>46490</v>
      </c>
      <c r="K52" s="30">
        <f t="shared" ca="1" si="11"/>
        <v>5.7399999999999951E-3</v>
      </c>
      <c r="L52" s="39">
        <f t="shared" ca="1" si="14"/>
        <v>5.6399999999999948E-3</v>
      </c>
      <c r="M52" s="1"/>
      <c r="N52" s="26">
        <f t="shared" ca="1" si="19"/>
        <v>46490</v>
      </c>
      <c r="O52" s="30">
        <v>5.0000000000000001E-3</v>
      </c>
      <c r="P52" s="39">
        <f t="shared" ca="1" si="15"/>
        <v>4.8999999999999998E-3</v>
      </c>
    </row>
    <row r="53" spans="1:16" x14ac:dyDescent="0.3">
      <c r="A53" s="2">
        <f t="shared" ca="1" si="8"/>
        <v>46</v>
      </c>
      <c r="B53" s="26">
        <f t="shared" ca="1" si="16"/>
        <v>46540</v>
      </c>
      <c r="C53" s="30">
        <f t="shared" ca="1" si="9"/>
        <v>9.4873311277261334E-3</v>
      </c>
      <c r="D53" s="39">
        <f t="shared" ca="1" si="12"/>
        <v>9.387331127726134E-3</v>
      </c>
      <c r="E53" s="1"/>
      <c r="F53" s="26">
        <f t="shared" ca="1" si="17"/>
        <v>46540</v>
      </c>
      <c r="G53" s="30">
        <f t="shared" ca="1" si="10"/>
        <v>1.1575000000000011E-2</v>
      </c>
      <c r="H53" s="39">
        <f t="shared" ca="1" si="13"/>
        <v>1.1475000000000011E-2</v>
      </c>
      <c r="I53" s="1"/>
      <c r="J53" s="26">
        <f t="shared" ca="1" si="18"/>
        <v>46540</v>
      </c>
      <c r="K53" s="30">
        <f t="shared" ca="1" si="11"/>
        <v>5.699999999999995E-3</v>
      </c>
      <c r="L53" s="39">
        <f t="shared" ca="1" si="14"/>
        <v>5.5999999999999947E-3</v>
      </c>
      <c r="M53" s="1"/>
      <c r="N53" s="26">
        <f t="shared" ca="1" si="19"/>
        <v>46540</v>
      </c>
      <c r="O53" s="30">
        <v>5.0000000000000001E-3</v>
      </c>
      <c r="P53" s="39">
        <f t="shared" ca="1" si="15"/>
        <v>4.8999999999999998E-3</v>
      </c>
    </row>
    <row r="54" spans="1:16" x14ac:dyDescent="0.3">
      <c r="A54" s="2">
        <f t="shared" ca="1" si="8"/>
        <v>47</v>
      </c>
      <c r="B54" s="26">
        <f t="shared" ca="1" si="16"/>
        <v>46590</v>
      </c>
      <c r="C54" s="30">
        <f t="shared" ca="1" si="9"/>
        <v>9.6873311277261339E-3</v>
      </c>
      <c r="D54" s="39">
        <f t="shared" ca="1" si="12"/>
        <v>9.5873311277261345E-3</v>
      </c>
      <c r="E54" s="1"/>
      <c r="F54" s="26">
        <f t="shared" ca="1" si="17"/>
        <v>46590</v>
      </c>
      <c r="G54" s="30">
        <f t="shared" ca="1" si="10"/>
        <v>1.1770000000000011E-2</v>
      </c>
      <c r="H54" s="39">
        <f t="shared" ca="1" si="13"/>
        <v>1.1670000000000012E-2</v>
      </c>
      <c r="I54" s="1"/>
      <c r="J54" s="26">
        <f t="shared" ca="1" si="18"/>
        <v>46590</v>
      </c>
      <c r="K54" s="30">
        <f t="shared" ca="1" si="11"/>
        <v>5.6599999999999949E-3</v>
      </c>
      <c r="L54" s="39">
        <f t="shared" ca="1" si="14"/>
        <v>5.5599999999999946E-3</v>
      </c>
      <c r="M54" s="1"/>
      <c r="N54" s="26">
        <f t="shared" ca="1" si="19"/>
        <v>46590</v>
      </c>
      <c r="O54" s="30">
        <v>5.0000000000000001E-3</v>
      </c>
      <c r="P54" s="39">
        <f t="shared" ca="1" si="15"/>
        <v>4.8999999999999998E-3</v>
      </c>
    </row>
    <row r="55" spans="1:16" x14ac:dyDescent="0.3">
      <c r="A55" s="2">
        <f t="shared" ca="1" si="8"/>
        <v>48</v>
      </c>
      <c r="B55" s="26">
        <f t="shared" ca="1" si="16"/>
        <v>46640</v>
      </c>
      <c r="C55" s="30">
        <f t="shared" ca="1" si="9"/>
        <v>9.8873311277261344E-3</v>
      </c>
      <c r="D55" s="39">
        <f t="shared" ca="1" si="12"/>
        <v>9.787331127726135E-3</v>
      </c>
      <c r="E55" s="1"/>
      <c r="F55" s="26">
        <f t="shared" ca="1" si="17"/>
        <v>46640</v>
      </c>
      <c r="G55" s="30">
        <f t="shared" ca="1" si="10"/>
        <v>1.1965000000000012E-2</v>
      </c>
      <c r="H55" s="39">
        <f t="shared" ca="1" si="13"/>
        <v>1.1865000000000013E-2</v>
      </c>
      <c r="I55" s="1"/>
      <c r="J55" s="26">
        <f t="shared" ca="1" si="18"/>
        <v>46640</v>
      </c>
      <c r="K55" s="30">
        <f t="shared" ca="1" si="11"/>
        <v>5.6199999999999948E-3</v>
      </c>
      <c r="L55" s="39">
        <f t="shared" ca="1" si="14"/>
        <v>5.5199999999999945E-3</v>
      </c>
      <c r="M55" s="1"/>
      <c r="N55" s="26">
        <f t="shared" ca="1" si="19"/>
        <v>46640</v>
      </c>
      <c r="O55" s="30">
        <v>5.0000000000000001E-3</v>
      </c>
      <c r="P55" s="39">
        <f t="shared" ca="1" si="15"/>
        <v>4.8999999999999998E-3</v>
      </c>
    </row>
    <row r="56" spans="1:16" x14ac:dyDescent="0.3">
      <c r="A56" s="2">
        <f t="shared" ca="1" si="8"/>
        <v>49</v>
      </c>
      <c r="B56" s="26">
        <f t="shared" ca="1" si="16"/>
        <v>46690</v>
      </c>
      <c r="C56" s="30">
        <f t="shared" ca="1" si="9"/>
        <v>1.0087331127726135E-2</v>
      </c>
      <c r="D56" s="39">
        <f t="shared" ca="1" si="12"/>
        <v>9.9873311277261356E-3</v>
      </c>
      <c r="E56" s="1"/>
      <c r="F56" s="26">
        <f t="shared" ca="1" si="17"/>
        <v>46690</v>
      </c>
      <c r="G56" s="30">
        <f t="shared" ca="1" si="10"/>
        <v>1.2160000000000013E-2</v>
      </c>
      <c r="H56" s="39">
        <f t="shared" ca="1" si="13"/>
        <v>1.2060000000000013E-2</v>
      </c>
      <c r="I56" s="1"/>
      <c r="J56" s="26">
        <f t="shared" ca="1" si="18"/>
        <v>46690</v>
      </c>
      <c r="K56" s="30">
        <f t="shared" ca="1" si="11"/>
        <v>5.5799999999999947E-3</v>
      </c>
      <c r="L56" s="39">
        <f t="shared" ca="1" si="14"/>
        <v>5.4799999999999944E-3</v>
      </c>
      <c r="M56" s="1"/>
      <c r="N56" s="26">
        <f t="shared" ca="1" si="19"/>
        <v>46690</v>
      </c>
      <c r="O56" s="30">
        <v>5.0000000000000001E-3</v>
      </c>
      <c r="P56" s="39">
        <f t="shared" ca="1" si="15"/>
        <v>4.8999999999999998E-3</v>
      </c>
    </row>
    <row r="57" spans="1:16" x14ac:dyDescent="0.3">
      <c r="A57" s="2">
        <f t="shared" ca="1" si="8"/>
        <v>50</v>
      </c>
      <c r="B57" s="26">
        <f t="shared" ca="1" si="16"/>
        <v>46740</v>
      </c>
      <c r="C57" s="30">
        <f t="shared" ca="1" si="9"/>
        <v>1.0287331127726135E-2</v>
      </c>
      <c r="D57" s="39">
        <f t="shared" ca="1" si="12"/>
        <v>1.0187331127726136E-2</v>
      </c>
      <c r="E57" s="1"/>
      <c r="F57" s="26">
        <f t="shared" ca="1" si="17"/>
        <v>46740</v>
      </c>
      <c r="G57" s="30">
        <f t="shared" ca="1" si="10"/>
        <v>1.2355000000000014E-2</v>
      </c>
      <c r="H57" s="39">
        <f t="shared" ca="1" si="13"/>
        <v>1.2255000000000014E-2</v>
      </c>
      <c r="I57" s="1"/>
      <c r="J57" s="26">
        <f t="shared" ca="1" si="18"/>
        <v>46740</v>
      </c>
      <c r="K57" s="30">
        <f t="shared" ca="1" si="11"/>
        <v>5.5399999999999946E-3</v>
      </c>
      <c r="L57" s="39">
        <f t="shared" ca="1" si="14"/>
        <v>5.4399999999999943E-3</v>
      </c>
      <c r="M57" s="1"/>
      <c r="N57" s="26">
        <f t="shared" ca="1" si="19"/>
        <v>46740</v>
      </c>
      <c r="O57" s="30">
        <v>5.0000000000000001E-3</v>
      </c>
      <c r="P57" s="39">
        <f t="shared" ca="1" si="15"/>
        <v>4.8999999999999998E-3</v>
      </c>
    </row>
    <row r="58" spans="1:16" x14ac:dyDescent="0.3">
      <c r="A58" s="2">
        <f t="shared" ca="1" si="8"/>
        <v>51</v>
      </c>
      <c r="B58" s="26">
        <f t="shared" ca="1" si="16"/>
        <v>46790</v>
      </c>
      <c r="C58" s="30">
        <f t="shared" ca="1" si="9"/>
        <v>1.0487331127726136E-2</v>
      </c>
      <c r="D58" s="39">
        <f t="shared" ca="1" si="12"/>
        <v>1.0387331127726137E-2</v>
      </c>
      <c r="E58" s="1"/>
      <c r="F58" s="26">
        <f t="shared" ca="1" si="17"/>
        <v>46790</v>
      </c>
      <c r="G58" s="30">
        <f t="shared" ca="1" si="10"/>
        <v>1.2550000000000014E-2</v>
      </c>
      <c r="H58" s="39">
        <f t="shared" ca="1" si="13"/>
        <v>1.2450000000000015E-2</v>
      </c>
      <c r="I58" s="1"/>
      <c r="J58" s="26">
        <f t="shared" ca="1" si="18"/>
        <v>46790</v>
      </c>
      <c r="K58" s="30">
        <f t="shared" ca="1" si="11"/>
        <v>5.4999999999999945E-3</v>
      </c>
      <c r="L58" s="39">
        <f t="shared" ca="1" si="14"/>
        <v>5.3999999999999942E-3</v>
      </c>
      <c r="M58" s="1"/>
      <c r="N58" s="26">
        <f t="shared" ca="1" si="19"/>
        <v>46790</v>
      </c>
      <c r="O58" s="30">
        <v>5.0000000000000001E-3</v>
      </c>
      <c r="P58" s="39">
        <f t="shared" ca="1" si="15"/>
        <v>4.8999999999999998E-3</v>
      </c>
    </row>
    <row r="59" spans="1:16" x14ac:dyDescent="0.3">
      <c r="A59" s="2">
        <f t="shared" ca="1" si="8"/>
        <v>52</v>
      </c>
      <c r="B59" s="26">
        <f t="shared" ca="1" si="16"/>
        <v>46840</v>
      </c>
      <c r="C59" s="30">
        <f t="shared" ca="1" si="9"/>
        <v>1.0687331127726137E-2</v>
      </c>
      <c r="D59" s="39">
        <f t="shared" ca="1" si="12"/>
        <v>1.0587331127726137E-2</v>
      </c>
      <c r="E59" s="1"/>
      <c r="F59" s="26">
        <f t="shared" ca="1" si="17"/>
        <v>46840</v>
      </c>
      <c r="G59" s="30">
        <f t="shared" ca="1" si="10"/>
        <v>1.2745000000000015E-2</v>
      </c>
      <c r="H59" s="39">
        <f t="shared" ca="1" si="13"/>
        <v>1.2645000000000016E-2</v>
      </c>
      <c r="I59" s="1"/>
      <c r="J59" s="26">
        <f t="shared" ca="1" si="18"/>
        <v>46840</v>
      </c>
      <c r="K59" s="30">
        <f t="shared" ca="1" si="11"/>
        <v>5.4599999999999944E-3</v>
      </c>
      <c r="L59" s="39">
        <f t="shared" ca="1" si="14"/>
        <v>5.3599999999999941E-3</v>
      </c>
      <c r="M59" s="1"/>
      <c r="N59" s="26">
        <f t="shared" ca="1" si="19"/>
        <v>46840</v>
      </c>
      <c r="O59" s="30">
        <v>5.0000000000000001E-3</v>
      </c>
      <c r="P59" s="39">
        <f t="shared" ca="1" si="15"/>
        <v>4.8999999999999998E-3</v>
      </c>
    </row>
    <row r="60" spans="1:16" x14ac:dyDescent="0.3">
      <c r="A60" s="2">
        <f t="shared" ca="1" si="8"/>
        <v>53</v>
      </c>
      <c r="B60" s="26">
        <f t="shared" ca="1" si="16"/>
        <v>46890</v>
      </c>
      <c r="C60" s="30">
        <f t="shared" ca="1" si="9"/>
        <v>1.0887331127726137E-2</v>
      </c>
      <c r="D60" s="39">
        <f t="shared" ca="1" si="12"/>
        <v>1.0787331127726138E-2</v>
      </c>
      <c r="E60" s="1"/>
      <c r="F60" s="26">
        <f t="shared" ca="1" si="17"/>
        <v>46890</v>
      </c>
      <c r="G60" s="30">
        <f t="shared" ca="1" si="10"/>
        <v>1.2940000000000016E-2</v>
      </c>
      <c r="H60" s="39">
        <f t="shared" ca="1" si="13"/>
        <v>1.2840000000000016E-2</v>
      </c>
      <c r="I60" s="1"/>
      <c r="J60" s="26">
        <f t="shared" ca="1" si="18"/>
        <v>46890</v>
      </c>
      <c r="K60" s="30">
        <f t="shared" ca="1" si="11"/>
        <v>5.4199999999999943E-3</v>
      </c>
      <c r="L60" s="39">
        <f t="shared" ca="1" si="14"/>
        <v>5.319999999999994E-3</v>
      </c>
      <c r="M60" s="1"/>
      <c r="N60" s="26">
        <f t="shared" ca="1" si="19"/>
        <v>46890</v>
      </c>
      <c r="O60" s="30">
        <v>5.0000000000000001E-3</v>
      </c>
      <c r="P60" s="39">
        <f t="shared" ca="1" si="15"/>
        <v>4.8999999999999998E-3</v>
      </c>
    </row>
    <row r="61" spans="1:16" x14ac:dyDescent="0.3">
      <c r="A61" s="2">
        <f t="shared" ca="1" si="8"/>
        <v>54</v>
      </c>
      <c r="B61" s="26">
        <f t="shared" ca="1" si="16"/>
        <v>46940</v>
      </c>
      <c r="C61" s="30">
        <f t="shared" ca="1" si="9"/>
        <v>1.1087331127726138E-2</v>
      </c>
      <c r="D61" s="39">
        <f t="shared" ca="1" si="12"/>
        <v>1.0987331127726138E-2</v>
      </c>
      <c r="E61" s="1"/>
      <c r="F61" s="26">
        <f t="shared" ca="1" si="17"/>
        <v>46940</v>
      </c>
      <c r="G61" s="30">
        <f t="shared" ca="1" si="10"/>
        <v>1.3135000000000016E-2</v>
      </c>
      <c r="H61" s="39">
        <f t="shared" ca="1" si="13"/>
        <v>1.3035000000000017E-2</v>
      </c>
      <c r="I61" s="1"/>
      <c r="J61" s="26">
        <f t="shared" ca="1" si="18"/>
        <v>46940</v>
      </c>
      <c r="K61" s="30">
        <f t="shared" ca="1" si="11"/>
        <v>5.3799999999999942E-3</v>
      </c>
      <c r="L61" s="39">
        <f t="shared" ca="1" si="14"/>
        <v>5.2799999999999939E-3</v>
      </c>
      <c r="M61" s="1"/>
      <c r="N61" s="26">
        <f t="shared" ca="1" si="19"/>
        <v>46940</v>
      </c>
      <c r="O61" s="30">
        <v>5.0000000000000001E-3</v>
      </c>
      <c r="P61" s="39">
        <f t="shared" ca="1" si="15"/>
        <v>4.8999999999999998E-3</v>
      </c>
    </row>
    <row r="62" spans="1:16" x14ac:dyDescent="0.3">
      <c r="A62" s="2">
        <f t="shared" ca="1" si="8"/>
        <v>55</v>
      </c>
      <c r="B62" s="26">
        <f t="shared" ca="1" si="16"/>
        <v>46990</v>
      </c>
      <c r="C62" s="30">
        <f t="shared" ca="1" si="9"/>
        <v>1.1287331127726138E-2</v>
      </c>
      <c r="D62" s="39">
        <f t="shared" ca="1" si="12"/>
        <v>1.1187331127726139E-2</v>
      </c>
      <c r="E62" s="1"/>
      <c r="F62" s="26">
        <f t="shared" ca="1" si="17"/>
        <v>46990</v>
      </c>
      <c r="G62" s="30">
        <f t="shared" ca="1" si="10"/>
        <v>1.3330000000000017E-2</v>
      </c>
      <c r="H62" s="39">
        <f t="shared" ca="1" si="13"/>
        <v>1.3230000000000018E-2</v>
      </c>
      <c r="I62" s="1"/>
      <c r="J62" s="26">
        <f t="shared" ca="1" si="18"/>
        <v>46990</v>
      </c>
      <c r="K62" s="30">
        <f t="shared" ca="1" si="11"/>
        <v>5.3399999999999941E-3</v>
      </c>
      <c r="L62" s="39">
        <f t="shared" ca="1" si="14"/>
        <v>5.2399999999999938E-3</v>
      </c>
      <c r="M62" s="1"/>
      <c r="N62" s="26">
        <f t="shared" ca="1" si="19"/>
        <v>46990</v>
      </c>
      <c r="O62" s="30">
        <v>5.0000000000000001E-3</v>
      </c>
      <c r="P62" s="39">
        <f t="shared" ca="1" si="15"/>
        <v>4.8999999999999998E-3</v>
      </c>
    </row>
    <row r="63" spans="1:16" x14ac:dyDescent="0.3">
      <c r="A63" s="2">
        <f t="shared" ca="1" si="8"/>
        <v>56</v>
      </c>
      <c r="B63" s="26">
        <f t="shared" ca="1" si="16"/>
        <v>47040</v>
      </c>
      <c r="C63" s="30">
        <f t="shared" ca="1" si="9"/>
        <v>1.1487331127726139E-2</v>
      </c>
      <c r="D63" s="39">
        <f t="shared" ca="1" si="12"/>
        <v>1.1387331127726139E-2</v>
      </c>
      <c r="E63" s="1"/>
      <c r="F63" s="26">
        <f t="shared" ca="1" si="17"/>
        <v>47040</v>
      </c>
      <c r="G63" s="30">
        <f t="shared" ca="1" si="10"/>
        <v>1.3525000000000018E-2</v>
      </c>
      <c r="H63" s="39">
        <f t="shared" ca="1" si="13"/>
        <v>1.3425000000000019E-2</v>
      </c>
      <c r="I63" s="1"/>
      <c r="J63" s="26">
        <f t="shared" ca="1" si="18"/>
        <v>47040</v>
      </c>
      <c r="K63" s="30">
        <f t="shared" ca="1" si="11"/>
        <v>5.299999999999994E-3</v>
      </c>
      <c r="L63" s="39">
        <f t="shared" ca="1" si="14"/>
        <v>5.1999999999999937E-3</v>
      </c>
      <c r="M63" s="1"/>
      <c r="N63" s="26">
        <f t="shared" ca="1" si="19"/>
        <v>47040</v>
      </c>
      <c r="O63" s="30">
        <v>5.0000000000000001E-3</v>
      </c>
      <c r="P63" s="39">
        <f t="shared" ca="1" si="15"/>
        <v>4.8999999999999998E-3</v>
      </c>
    </row>
    <row r="64" spans="1:16" x14ac:dyDescent="0.3">
      <c r="A64" s="2">
        <f t="shared" ca="1" si="8"/>
        <v>57</v>
      </c>
      <c r="B64" s="26">
        <f t="shared" ca="1" si="16"/>
        <v>47090</v>
      </c>
      <c r="C64" s="30">
        <f t="shared" ca="1" si="9"/>
        <v>1.1687331127726139E-2</v>
      </c>
      <c r="D64" s="39">
        <f t="shared" ca="1" si="12"/>
        <v>1.158733112772614E-2</v>
      </c>
      <c r="E64" s="1"/>
      <c r="F64" s="26">
        <f t="shared" ca="1" si="17"/>
        <v>47090</v>
      </c>
      <c r="G64" s="30">
        <f t="shared" ca="1" si="10"/>
        <v>1.3720000000000019E-2</v>
      </c>
      <c r="H64" s="39">
        <f t="shared" ca="1" si="13"/>
        <v>1.3620000000000019E-2</v>
      </c>
      <c r="I64" s="1"/>
      <c r="J64" s="26">
        <f t="shared" ca="1" si="18"/>
        <v>47090</v>
      </c>
      <c r="K64" s="30">
        <f t="shared" ca="1" si="11"/>
        <v>5.2599999999999938E-3</v>
      </c>
      <c r="L64" s="39">
        <f t="shared" ca="1" si="14"/>
        <v>5.1599999999999936E-3</v>
      </c>
      <c r="M64" s="1"/>
      <c r="N64" s="26">
        <f t="shared" ca="1" si="19"/>
        <v>47090</v>
      </c>
      <c r="O64" s="30">
        <v>5.0000000000000001E-3</v>
      </c>
      <c r="P64" s="39">
        <f t="shared" ca="1" si="15"/>
        <v>4.8999999999999998E-3</v>
      </c>
    </row>
    <row r="65" spans="1:16" x14ac:dyDescent="0.3">
      <c r="A65" s="2">
        <f t="shared" ca="1" si="8"/>
        <v>58</v>
      </c>
      <c r="B65" s="26">
        <f t="shared" ca="1" si="16"/>
        <v>47140</v>
      </c>
      <c r="C65" s="30">
        <f t="shared" ca="1" si="9"/>
        <v>1.188733112772614E-2</v>
      </c>
      <c r="D65" s="39">
        <f t="shared" ca="1" si="12"/>
        <v>1.178733112772614E-2</v>
      </c>
      <c r="E65" s="1"/>
      <c r="F65" s="26">
        <f t="shared" ca="1" si="17"/>
        <v>47140</v>
      </c>
      <c r="G65" s="30">
        <f t="shared" ca="1" si="10"/>
        <v>1.3915000000000019E-2</v>
      </c>
      <c r="H65" s="39">
        <f t="shared" ca="1" si="13"/>
        <v>1.381500000000002E-2</v>
      </c>
      <c r="I65" s="1"/>
      <c r="J65" s="26">
        <f t="shared" ca="1" si="18"/>
        <v>47140</v>
      </c>
      <c r="K65" s="30">
        <f t="shared" ca="1" si="11"/>
        <v>5.2199999999999937E-3</v>
      </c>
      <c r="L65" s="39">
        <f t="shared" ca="1" si="14"/>
        <v>5.1199999999999935E-3</v>
      </c>
      <c r="M65" s="1"/>
      <c r="N65" s="26">
        <f t="shared" ca="1" si="19"/>
        <v>47140</v>
      </c>
      <c r="O65" s="30">
        <v>5.0000000000000001E-3</v>
      </c>
      <c r="P65" s="39">
        <f t="shared" ca="1" si="15"/>
        <v>4.8999999999999998E-3</v>
      </c>
    </row>
    <row r="66" spans="1:16" x14ac:dyDescent="0.3">
      <c r="A66" s="2">
        <f t="shared" ca="1" si="8"/>
        <v>59</v>
      </c>
      <c r="B66" s="26">
        <f t="shared" ca="1" si="16"/>
        <v>47190</v>
      </c>
      <c r="C66" s="30">
        <f t="shared" ca="1" si="9"/>
        <v>1.208733112772614E-2</v>
      </c>
      <c r="D66" s="39">
        <f t="shared" ca="1" si="12"/>
        <v>1.1987331127726141E-2</v>
      </c>
      <c r="E66" s="1"/>
      <c r="F66" s="26">
        <f t="shared" ca="1" si="17"/>
        <v>47190</v>
      </c>
      <c r="G66" s="30">
        <f t="shared" ca="1" si="10"/>
        <v>1.411000000000002E-2</v>
      </c>
      <c r="H66" s="39">
        <f t="shared" ca="1" si="13"/>
        <v>1.4010000000000021E-2</v>
      </c>
      <c r="I66" s="1"/>
      <c r="J66" s="26">
        <f t="shared" ca="1" si="18"/>
        <v>47190</v>
      </c>
      <c r="K66" s="30">
        <f t="shared" ca="1" si="11"/>
        <v>5.1799999999999936E-3</v>
      </c>
      <c r="L66" s="39">
        <f t="shared" ca="1" si="14"/>
        <v>5.0799999999999934E-3</v>
      </c>
      <c r="M66" s="1"/>
      <c r="N66" s="26">
        <f t="shared" ca="1" si="19"/>
        <v>47190</v>
      </c>
      <c r="O66" s="30">
        <v>5.0000000000000001E-3</v>
      </c>
      <c r="P66" s="39">
        <f t="shared" ca="1" si="15"/>
        <v>4.8999999999999998E-3</v>
      </c>
    </row>
    <row r="67" spans="1:16" x14ac:dyDescent="0.3">
      <c r="A67" s="2">
        <f t="shared" ca="1" si="8"/>
        <v>60</v>
      </c>
      <c r="B67" s="26">
        <f t="shared" ca="1" si="16"/>
        <v>47240</v>
      </c>
      <c r="C67" s="30">
        <f t="shared" ca="1" si="9"/>
        <v>1.2287331127726141E-2</v>
      </c>
      <c r="D67" s="39">
        <f t="shared" ca="1" si="12"/>
        <v>1.2187331127726141E-2</v>
      </c>
      <c r="E67" s="1"/>
      <c r="F67" s="26">
        <f t="shared" ca="1" si="17"/>
        <v>47240</v>
      </c>
      <c r="G67" s="30">
        <f t="shared" ca="1" si="10"/>
        <v>1.4305000000000021E-2</v>
      </c>
      <c r="H67" s="39">
        <f t="shared" ca="1" si="13"/>
        <v>1.4205000000000021E-2</v>
      </c>
      <c r="I67" s="1"/>
      <c r="J67" s="26">
        <f t="shared" ca="1" si="18"/>
        <v>47240</v>
      </c>
      <c r="K67" s="30">
        <f t="shared" ca="1" si="11"/>
        <v>5.1399999999999935E-3</v>
      </c>
      <c r="L67" s="39">
        <f t="shared" ca="1" si="14"/>
        <v>5.0399999999999933E-3</v>
      </c>
      <c r="M67" s="1"/>
      <c r="N67" s="26">
        <f t="shared" ca="1" si="19"/>
        <v>47240</v>
      </c>
      <c r="O67" s="30">
        <v>5.0000000000000001E-3</v>
      </c>
      <c r="P67" s="39">
        <f t="shared" ca="1" si="15"/>
        <v>4.8999999999999998E-3</v>
      </c>
    </row>
    <row r="68" spans="1:16" x14ac:dyDescent="0.3">
      <c r="A68" s="2">
        <f t="shared" ca="1" si="8"/>
        <v>61</v>
      </c>
      <c r="B68" s="26">
        <f t="shared" ca="1" si="16"/>
        <v>47290</v>
      </c>
      <c r="C68" s="30">
        <f t="shared" ca="1" si="9"/>
        <v>1.2487331127726141E-2</v>
      </c>
      <c r="D68" s="39">
        <f t="shared" ca="1" si="12"/>
        <v>1.2387331127726142E-2</v>
      </c>
      <c r="E68" s="1"/>
      <c r="F68" s="26">
        <f t="shared" ca="1" si="17"/>
        <v>47290</v>
      </c>
      <c r="G68" s="30">
        <f t="shared" ca="1" si="10"/>
        <v>1.4500000000000022E-2</v>
      </c>
      <c r="H68" s="39">
        <f t="shared" ca="1" si="13"/>
        <v>1.4400000000000022E-2</v>
      </c>
      <c r="I68" s="1"/>
      <c r="J68" s="26">
        <f t="shared" ca="1" si="18"/>
        <v>47290</v>
      </c>
      <c r="K68" s="30">
        <v>1.7500000000000002E-2</v>
      </c>
      <c r="L68" s="39">
        <f t="shared" ca="1" si="14"/>
        <v>1.7400000000000002E-2</v>
      </c>
      <c r="M68" s="1" t="s">
        <v>71</v>
      </c>
      <c r="N68" s="26">
        <f t="shared" ca="1" si="19"/>
        <v>47290</v>
      </c>
      <c r="O68" s="30">
        <v>5.0000000000000001E-3</v>
      </c>
      <c r="P68" s="39">
        <f t="shared" ca="1" si="15"/>
        <v>4.8999999999999998E-3</v>
      </c>
    </row>
    <row r="69" spans="1:16" x14ac:dyDescent="0.3">
      <c r="A69" s="2">
        <f t="shared" ca="1" si="8"/>
        <v>62</v>
      </c>
      <c r="B69" s="26">
        <f t="shared" ca="1" si="16"/>
        <v>47340</v>
      </c>
      <c r="C69" s="30">
        <f t="shared" ca="1" si="9"/>
        <v>1.2687331127726142E-2</v>
      </c>
      <c r="D69" s="39">
        <f t="shared" ca="1" si="12"/>
        <v>1.2587331127726142E-2</v>
      </c>
      <c r="E69" s="1"/>
      <c r="F69" s="26">
        <f t="shared" ca="1" si="17"/>
        <v>47340</v>
      </c>
      <c r="G69" s="30">
        <f t="shared" ca="1" si="10"/>
        <v>1.4695000000000022E-2</v>
      </c>
      <c r="H69" s="39">
        <f t="shared" ca="1" si="13"/>
        <v>1.4595000000000023E-2</v>
      </c>
      <c r="I69" s="1"/>
      <c r="J69" s="26">
        <f t="shared" ca="1" si="18"/>
        <v>47340</v>
      </c>
      <c r="K69" s="30">
        <f ca="1">K68+0.008%</f>
        <v>1.7580000000000002E-2</v>
      </c>
      <c r="L69" s="39">
        <f t="shared" ca="1" si="14"/>
        <v>1.7480000000000002E-2</v>
      </c>
      <c r="M69" s="1"/>
      <c r="N69" s="26">
        <f t="shared" ca="1" si="19"/>
        <v>47340</v>
      </c>
      <c r="O69" s="30">
        <v>5.0000000000000001E-3</v>
      </c>
      <c r="P69" s="39">
        <f t="shared" ca="1" si="15"/>
        <v>4.8999999999999998E-3</v>
      </c>
    </row>
    <row r="70" spans="1:16" x14ac:dyDescent="0.3">
      <c r="A70" s="2">
        <f t="shared" ca="1" si="8"/>
        <v>63</v>
      </c>
      <c r="B70" s="26">
        <f t="shared" ca="1" si="16"/>
        <v>47390</v>
      </c>
      <c r="C70" s="30">
        <f t="shared" ca="1" si="9"/>
        <v>1.2887331127726142E-2</v>
      </c>
      <c r="D70" s="39">
        <f t="shared" ca="1" si="12"/>
        <v>1.2787331127726143E-2</v>
      </c>
      <c r="E70" s="1"/>
      <c r="F70" s="26">
        <f t="shared" ca="1" si="17"/>
        <v>47390</v>
      </c>
      <c r="G70" s="30">
        <f t="shared" ca="1" si="10"/>
        <v>1.4890000000000023E-2</v>
      </c>
      <c r="H70" s="39">
        <f t="shared" ca="1" si="13"/>
        <v>1.4790000000000024E-2</v>
      </c>
      <c r="I70" s="1"/>
      <c r="J70" s="26">
        <f t="shared" ca="1" si="18"/>
        <v>47390</v>
      </c>
      <c r="K70" s="30">
        <f t="shared" ref="K70:K107" ca="1" si="20">K69+0.008%</f>
        <v>1.7660000000000002E-2</v>
      </c>
      <c r="L70" s="39">
        <f t="shared" ca="1" si="14"/>
        <v>1.7560000000000003E-2</v>
      </c>
      <c r="M70" s="1"/>
      <c r="N70" s="26">
        <f t="shared" ca="1" si="19"/>
        <v>47390</v>
      </c>
      <c r="O70" s="30">
        <v>5.0000000000000001E-3</v>
      </c>
      <c r="P70" s="39">
        <f t="shared" ca="1" si="15"/>
        <v>4.8999999999999998E-3</v>
      </c>
    </row>
    <row r="71" spans="1:16" x14ac:dyDescent="0.3">
      <c r="A71" s="2">
        <f t="shared" ca="1" si="8"/>
        <v>64</v>
      </c>
      <c r="B71" s="26">
        <f t="shared" ca="1" si="16"/>
        <v>47440</v>
      </c>
      <c r="C71" s="30">
        <f t="shared" ca="1" si="9"/>
        <v>1.3087331127726143E-2</v>
      </c>
      <c r="D71" s="39">
        <f t="shared" ca="1" si="12"/>
        <v>1.2987331127726143E-2</v>
      </c>
      <c r="E71" s="1"/>
      <c r="F71" s="26">
        <f t="shared" ca="1" si="17"/>
        <v>47440</v>
      </c>
      <c r="G71" s="30">
        <f t="shared" ca="1" si="10"/>
        <v>1.5085000000000024E-2</v>
      </c>
      <c r="H71" s="39">
        <f t="shared" ca="1" si="13"/>
        <v>1.4985000000000024E-2</v>
      </c>
      <c r="I71" s="1"/>
      <c r="J71" s="26">
        <f t="shared" ca="1" si="18"/>
        <v>47440</v>
      </c>
      <c r="K71" s="30">
        <f t="shared" ca="1" si="20"/>
        <v>1.7740000000000002E-2</v>
      </c>
      <c r="L71" s="39">
        <f t="shared" ca="1" si="14"/>
        <v>1.7640000000000003E-2</v>
      </c>
      <c r="M71" s="1"/>
      <c r="N71" s="26">
        <f t="shared" ca="1" si="19"/>
        <v>47440</v>
      </c>
      <c r="O71" s="30">
        <v>5.0000000000000001E-3</v>
      </c>
      <c r="P71" s="39">
        <f t="shared" ca="1" si="15"/>
        <v>4.8999999999999998E-3</v>
      </c>
    </row>
    <row r="72" spans="1:16" x14ac:dyDescent="0.3">
      <c r="A72" s="2">
        <f t="shared" ca="1" si="8"/>
        <v>65</v>
      </c>
      <c r="B72" s="26">
        <f t="shared" ca="1" si="16"/>
        <v>47490</v>
      </c>
      <c r="C72" s="30">
        <f t="shared" ca="1" si="9"/>
        <v>1.3287331127726143E-2</v>
      </c>
      <c r="D72" s="39">
        <f t="shared" ref="D72:D103" ca="1" si="21">C72+(BumpSizeLiborRates*0.0001)</f>
        <v>1.3187331127726144E-2</v>
      </c>
      <c r="E72" s="1"/>
      <c r="F72" s="26">
        <f t="shared" ca="1" si="17"/>
        <v>47490</v>
      </c>
      <c r="G72" s="30">
        <f t="shared" ca="1" si="10"/>
        <v>1.5280000000000024E-2</v>
      </c>
      <c r="H72" s="39">
        <f t="shared" ref="H72:H103" ca="1" si="22">G72+(BumpSizeLiborRates*0.0001)</f>
        <v>1.5180000000000025E-2</v>
      </c>
      <c r="I72" s="1"/>
      <c r="J72" s="26">
        <f t="shared" ca="1" si="18"/>
        <v>47490</v>
      </c>
      <c r="K72" s="30">
        <f t="shared" ca="1" si="20"/>
        <v>1.7820000000000003E-2</v>
      </c>
      <c r="L72" s="39">
        <f t="shared" ref="L72:L103" ca="1" si="23">K72+(BumpSizeLiborRates*0.0001)</f>
        <v>1.7720000000000003E-2</v>
      </c>
      <c r="M72" s="1"/>
      <c r="N72" s="26">
        <f t="shared" ca="1" si="19"/>
        <v>47490</v>
      </c>
      <c r="O72" s="30">
        <v>5.0000000000000001E-3</v>
      </c>
      <c r="P72" s="39">
        <f t="shared" ref="P72:P103" ca="1" si="24">O72+(BumpSizeLiborRates*0.0001)</f>
        <v>4.8999999999999998E-3</v>
      </c>
    </row>
    <row r="73" spans="1:16" x14ac:dyDescent="0.3">
      <c r="A73" s="2">
        <f t="shared" ca="1" si="8"/>
        <v>66</v>
      </c>
      <c r="B73" s="26">
        <f t="shared" ref="B73:B107" ca="1" si="25">B72+Periodicity</f>
        <v>47540</v>
      </c>
      <c r="C73" s="30">
        <f t="shared" ca="1" si="9"/>
        <v>1.3487331127726144E-2</v>
      </c>
      <c r="D73" s="39">
        <f t="shared" ca="1" si="21"/>
        <v>1.3387331127726144E-2</v>
      </c>
      <c r="E73" s="1"/>
      <c r="F73" s="26">
        <f t="shared" ref="F73:F107" ca="1" si="26">F72+Periodicity</f>
        <v>47540</v>
      </c>
      <c r="G73" s="30">
        <f t="shared" ca="1" si="10"/>
        <v>1.5475000000000025E-2</v>
      </c>
      <c r="H73" s="39">
        <f t="shared" ca="1" si="22"/>
        <v>1.5375000000000026E-2</v>
      </c>
      <c r="I73" s="1"/>
      <c r="J73" s="26">
        <f t="shared" ref="J73:J107" ca="1" si="27">J72+Periodicity</f>
        <v>47540</v>
      </c>
      <c r="K73" s="30">
        <f t="shared" ca="1" si="20"/>
        <v>1.7900000000000003E-2</v>
      </c>
      <c r="L73" s="39">
        <f t="shared" ca="1" si="23"/>
        <v>1.7800000000000003E-2</v>
      </c>
      <c r="M73" s="1"/>
      <c r="N73" s="26">
        <f t="shared" ref="N73:N107" ca="1" si="28">N72+Periodicity</f>
        <v>47540</v>
      </c>
      <c r="O73" s="30">
        <v>5.0000000000000001E-3</v>
      </c>
      <c r="P73" s="39">
        <f t="shared" ca="1" si="24"/>
        <v>4.8999999999999998E-3</v>
      </c>
    </row>
    <row r="74" spans="1:16" x14ac:dyDescent="0.3">
      <c r="A74" s="2">
        <f t="shared" ref="A74:A107" ca="1" si="29">A73+1</f>
        <v>67</v>
      </c>
      <c r="B74" s="26">
        <f t="shared" ca="1" si="25"/>
        <v>47590</v>
      </c>
      <c r="C74" s="30">
        <f t="shared" ref="C74:C107" ca="1" si="30">C73+0.02%</f>
        <v>1.3687331127726144E-2</v>
      </c>
      <c r="D74" s="39">
        <f t="shared" ca="1" si="21"/>
        <v>1.3587331127726145E-2</v>
      </c>
      <c r="E74" s="1"/>
      <c r="F74" s="26">
        <f t="shared" ca="1" si="26"/>
        <v>47590</v>
      </c>
      <c r="G74" s="30">
        <f t="shared" ref="G74:G107" ca="1" si="31">G73+0.0195%</f>
        <v>1.5670000000000024E-2</v>
      </c>
      <c r="H74" s="39">
        <f t="shared" ca="1" si="22"/>
        <v>1.5570000000000025E-2</v>
      </c>
      <c r="I74" s="1"/>
      <c r="J74" s="26">
        <f t="shared" ca="1" si="27"/>
        <v>47590</v>
      </c>
      <c r="K74" s="30">
        <f t="shared" ca="1" si="20"/>
        <v>1.7980000000000003E-2</v>
      </c>
      <c r="L74" s="39">
        <f t="shared" ca="1" si="23"/>
        <v>1.7880000000000004E-2</v>
      </c>
      <c r="M74" s="1"/>
      <c r="N74" s="26">
        <f t="shared" ca="1" si="28"/>
        <v>47590</v>
      </c>
      <c r="O74" s="30">
        <v>5.0000000000000001E-3</v>
      </c>
      <c r="P74" s="39">
        <f t="shared" ca="1" si="24"/>
        <v>4.8999999999999998E-3</v>
      </c>
    </row>
    <row r="75" spans="1:16" x14ac:dyDescent="0.3">
      <c r="A75" s="2">
        <f t="shared" ca="1" si="29"/>
        <v>68</v>
      </c>
      <c r="B75" s="26">
        <f t="shared" ca="1" si="25"/>
        <v>47640</v>
      </c>
      <c r="C75" s="30">
        <f t="shared" ca="1" si="30"/>
        <v>1.3887331127726145E-2</v>
      </c>
      <c r="D75" s="39">
        <f t="shared" ca="1" si="21"/>
        <v>1.3787331127726146E-2</v>
      </c>
      <c r="E75" s="1"/>
      <c r="F75" s="26">
        <f t="shared" ca="1" si="26"/>
        <v>47640</v>
      </c>
      <c r="G75" s="30">
        <f t="shared" ca="1" si="31"/>
        <v>1.5865000000000025E-2</v>
      </c>
      <c r="H75" s="39">
        <f t="shared" ca="1" si="22"/>
        <v>1.5765000000000026E-2</v>
      </c>
      <c r="I75" s="1"/>
      <c r="J75" s="26">
        <f t="shared" ca="1" si="27"/>
        <v>47640</v>
      </c>
      <c r="K75" s="30">
        <f t="shared" ca="1" si="20"/>
        <v>1.8060000000000003E-2</v>
      </c>
      <c r="L75" s="39">
        <f t="shared" ca="1" si="23"/>
        <v>1.7960000000000004E-2</v>
      </c>
      <c r="M75" s="1"/>
      <c r="N75" s="26">
        <f t="shared" ca="1" si="28"/>
        <v>47640</v>
      </c>
      <c r="O75" s="30">
        <v>5.0000000000000001E-3</v>
      </c>
      <c r="P75" s="39">
        <f t="shared" ca="1" si="24"/>
        <v>4.8999999999999998E-3</v>
      </c>
    </row>
    <row r="76" spans="1:16" x14ac:dyDescent="0.3">
      <c r="A76" s="2">
        <f t="shared" ca="1" si="29"/>
        <v>69</v>
      </c>
      <c r="B76" s="26">
        <f t="shared" ca="1" si="25"/>
        <v>47690</v>
      </c>
      <c r="C76" s="30">
        <f t="shared" ca="1" si="30"/>
        <v>1.4087331127726145E-2</v>
      </c>
      <c r="D76" s="39">
        <f t="shared" ca="1" si="21"/>
        <v>1.3987331127726146E-2</v>
      </c>
      <c r="E76" s="1"/>
      <c r="F76" s="26">
        <f t="shared" ca="1" si="26"/>
        <v>47690</v>
      </c>
      <c r="G76" s="30">
        <f t="shared" ca="1" si="31"/>
        <v>1.6060000000000026E-2</v>
      </c>
      <c r="H76" s="39">
        <f t="shared" ca="1" si="22"/>
        <v>1.5960000000000026E-2</v>
      </c>
      <c r="I76" s="1"/>
      <c r="J76" s="26">
        <f t="shared" ca="1" si="27"/>
        <v>47690</v>
      </c>
      <c r="K76" s="30">
        <f t="shared" ca="1" si="20"/>
        <v>1.8140000000000003E-2</v>
      </c>
      <c r="L76" s="39">
        <f t="shared" ca="1" si="23"/>
        <v>1.8040000000000004E-2</v>
      </c>
      <c r="M76" s="1"/>
      <c r="N76" s="26">
        <f t="shared" ca="1" si="28"/>
        <v>47690</v>
      </c>
      <c r="O76" s="30">
        <v>5.0000000000000001E-3</v>
      </c>
      <c r="P76" s="39">
        <f t="shared" ca="1" si="24"/>
        <v>4.8999999999999998E-3</v>
      </c>
    </row>
    <row r="77" spans="1:16" x14ac:dyDescent="0.3">
      <c r="A77" s="2">
        <f t="shared" ca="1" si="29"/>
        <v>70</v>
      </c>
      <c r="B77" s="26">
        <f t="shared" ca="1" si="25"/>
        <v>47740</v>
      </c>
      <c r="C77" s="30">
        <f t="shared" ca="1" si="30"/>
        <v>1.4287331127726146E-2</v>
      </c>
      <c r="D77" s="39">
        <f t="shared" ca="1" si="21"/>
        <v>1.4187331127726147E-2</v>
      </c>
      <c r="E77" s="1"/>
      <c r="F77" s="26">
        <f t="shared" ca="1" si="26"/>
        <v>47740</v>
      </c>
      <c r="G77" s="30">
        <f t="shared" ca="1" si="31"/>
        <v>1.6255000000000026E-2</v>
      </c>
      <c r="H77" s="39">
        <f t="shared" ca="1" si="22"/>
        <v>1.6155000000000027E-2</v>
      </c>
      <c r="I77" s="1"/>
      <c r="J77" s="26">
        <f t="shared" ca="1" si="27"/>
        <v>47740</v>
      </c>
      <c r="K77" s="30">
        <f t="shared" ca="1" si="20"/>
        <v>1.8220000000000004E-2</v>
      </c>
      <c r="L77" s="39">
        <f t="shared" ca="1" si="23"/>
        <v>1.8120000000000004E-2</v>
      </c>
      <c r="M77" s="1"/>
      <c r="N77" s="26">
        <f t="shared" ca="1" si="28"/>
        <v>47740</v>
      </c>
      <c r="O77" s="30">
        <v>5.0000000000000001E-3</v>
      </c>
      <c r="P77" s="39">
        <f t="shared" ca="1" si="24"/>
        <v>4.8999999999999998E-3</v>
      </c>
    </row>
    <row r="78" spans="1:16" x14ac:dyDescent="0.3">
      <c r="A78" s="2">
        <f t="shared" ca="1" si="29"/>
        <v>71</v>
      </c>
      <c r="B78" s="26">
        <f t="shared" ca="1" si="25"/>
        <v>47790</v>
      </c>
      <c r="C78" s="30">
        <f t="shared" ca="1" si="30"/>
        <v>1.4487331127726146E-2</v>
      </c>
      <c r="D78" s="39">
        <f t="shared" ca="1" si="21"/>
        <v>1.4387331127726147E-2</v>
      </c>
      <c r="E78" s="1"/>
      <c r="F78" s="26">
        <f t="shared" ca="1" si="26"/>
        <v>47790</v>
      </c>
      <c r="G78" s="30">
        <f t="shared" ca="1" si="31"/>
        <v>1.6450000000000027E-2</v>
      </c>
      <c r="H78" s="39">
        <f t="shared" ca="1" si="22"/>
        <v>1.6350000000000028E-2</v>
      </c>
      <c r="I78" s="1"/>
      <c r="J78" s="26">
        <f t="shared" ca="1" si="27"/>
        <v>47790</v>
      </c>
      <c r="K78" s="30">
        <f t="shared" ca="1" si="20"/>
        <v>1.8300000000000004E-2</v>
      </c>
      <c r="L78" s="39">
        <f t="shared" ca="1" si="23"/>
        <v>1.8200000000000004E-2</v>
      </c>
      <c r="M78" s="1"/>
      <c r="N78" s="26">
        <f t="shared" ca="1" si="28"/>
        <v>47790</v>
      </c>
      <c r="O78" s="30">
        <v>5.0000000000000001E-3</v>
      </c>
      <c r="P78" s="39">
        <f t="shared" ca="1" si="24"/>
        <v>4.8999999999999998E-3</v>
      </c>
    </row>
    <row r="79" spans="1:16" x14ac:dyDescent="0.3">
      <c r="A79" s="2">
        <f t="shared" ca="1" si="29"/>
        <v>72</v>
      </c>
      <c r="B79" s="26">
        <f t="shared" ca="1" si="25"/>
        <v>47840</v>
      </c>
      <c r="C79" s="30">
        <f t="shared" ca="1" si="30"/>
        <v>1.4687331127726147E-2</v>
      </c>
      <c r="D79" s="39">
        <f t="shared" ca="1" si="21"/>
        <v>1.4587331127726148E-2</v>
      </c>
      <c r="E79" s="1"/>
      <c r="F79" s="26">
        <f t="shared" ca="1" si="26"/>
        <v>47840</v>
      </c>
      <c r="G79" s="30">
        <f t="shared" ca="1" si="31"/>
        <v>1.6645000000000028E-2</v>
      </c>
      <c r="H79" s="39">
        <f t="shared" ca="1" si="22"/>
        <v>1.6545000000000028E-2</v>
      </c>
      <c r="I79" s="1"/>
      <c r="J79" s="26">
        <f t="shared" ca="1" si="27"/>
        <v>47840</v>
      </c>
      <c r="K79" s="30">
        <f t="shared" ca="1" si="20"/>
        <v>1.8380000000000004E-2</v>
      </c>
      <c r="L79" s="39">
        <f t="shared" ca="1" si="23"/>
        <v>1.8280000000000005E-2</v>
      </c>
      <c r="M79" s="1"/>
      <c r="N79" s="26">
        <f t="shared" ca="1" si="28"/>
        <v>47840</v>
      </c>
      <c r="O79" s="30">
        <v>5.0000000000000001E-3</v>
      </c>
      <c r="P79" s="39">
        <f t="shared" ca="1" si="24"/>
        <v>4.8999999999999998E-3</v>
      </c>
    </row>
    <row r="80" spans="1:16" x14ac:dyDescent="0.3">
      <c r="A80" s="2">
        <f t="shared" ca="1" si="29"/>
        <v>73</v>
      </c>
      <c r="B80" s="26">
        <f t="shared" ca="1" si="25"/>
        <v>47890</v>
      </c>
      <c r="C80" s="30">
        <f t="shared" ca="1" si="30"/>
        <v>1.4887331127726148E-2</v>
      </c>
      <c r="D80" s="39">
        <f t="shared" ca="1" si="21"/>
        <v>1.4787331127726148E-2</v>
      </c>
      <c r="E80" s="1"/>
      <c r="F80" s="26">
        <f t="shared" ca="1" si="26"/>
        <v>47890</v>
      </c>
      <c r="G80" s="30">
        <f t="shared" ca="1" si="31"/>
        <v>1.6840000000000029E-2</v>
      </c>
      <c r="H80" s="39">
        <f t="shared" ca="1" si="22"/>
        <v>1.6740000000000029E-2</v>
      </c>
      <c r="I80" s="1"/>
      <c r="J80" s="26">
        <f t="shared" ca="1" si="27"/>
        <v>47890</v>
      </c>
      <c r="K80" s="30">
        <f t="shared" ca="1" si="20"/>
        <v>1.8460000000000004E-2</v>
      </c>
      <c r="L80" s="39">
        <f t="shared" ca="1" si="23"/>
        <v>1.8360000000000005E-2</v>
      </c>
      <c r="M80" s="1"/>
      <c r="N80" s="26">
        <f t="shared" ca="1" si="28"/>
        <v>47890</v>
      </c>
      <c r="O80" s="30">
        <v>5.0000000000000001E-3</v>
      </c>
      <c r="P80" s="39">
        <f t="shared" ca="1" si="24"/>
        <v>4.8999999999999998E-3</v>
      </c>
    </row>
    <row r="81" spans="1:16" x14ac:dyDescent="0.3">
      <c r="A81" s="2">
        <f t="shared" ca="1" si="29"/>
        <v>74</v>
      </c>
      <c r="B81" s="26">
        <f t="shared" ca="1" si="25"/>
        <v>47940</v>
      </c>
      <c r="C81" s="30">
        <f t="shared" ca="1" si="30"/>
        <v>1.5087331127726148E-2</v>
      </c>
      <c r="D81" s="39">
        <f t="shared" ca="1" si="21"/>
        <v>1.4987331127726149E-2</v>
      </c>
      <c r="E81" s="1"/>
      <c r="F81" s="26">
        <f t="shared" ca="1" si="26"/>
        <v>47940</v>
      </c>
      <c r="G81" s="30">
        <f t="shared" ca="1" si="31"/>
        <v>1.7035000000000029E-2</v>
      </c>
      <c r="H81" s="39">
        <f t="shared" ca="1" si="22"/>
        <v>1.693500000000003E-2</v>
      </c>
      <c r="I81" s="1"/>
      <c r="J81" s="26">
        <f t="shared" ca="1" si="27"/>
        <v>47940</v>
      </c>
      <c r="K81" s="30">
        <f t="shared" ca="1" si="20"/>
        <v>1.8540000000000004E-2</v>
      </c>
      <c r="L81" s="39">
        <f t="shared" ca="1" si="23"/>
        <v>1.8440000000000005E-2</v>
      </c>
      <c r="M81" s="1"/>
      <c r="N81" s="26">
        <f t="shared" ca="1" si="28"/>
        <v>47940</v>
      </c>
      <c r="O81" s="30">
        <v>5.0000000000000001E-3</v>
      </c>
      <c r="P81" s="39">
        <f t="shared" ca="1" si="24"/>
        <v>4.8999999999999998E-3</v>
      </c>
    </row>
    <row r="82" spans="1:16" x14ac:dyDescent="0.3">
      <c r="A82" s="2">
        <f t="shared" ca="1" si="29"/>
        <v>75</v>
      </c>
      <c r="B82" s="26">
        <f t="shared" ca="1" si="25"/>
        <v>47990</v>
      </c>
      <c r="C82" s="30">
        <f t="shared" ca="1" si="30"/>
        <v>1.5287331127726149E-2</v>
      </c>
      <c r="D82" s="39">
        <f t="shared" ca="1" si="21"/>
        <v>1.5187331127726149E-2</v>
      </c>
      <c r="E82" s="1"/>
      <c r="F82" s="26">
        <f t="shared" ca="1" si="26"/>
        <v>47990</v>
      </c>
      <c r="G82" s="30">
        <f t="shared" ca="1" si="31"/>
        <v>1.723000000000003E-2</v>
      </c>
      <c r="H82" s="39">
        <f t="shared" ca="1" si="22"/>
        <v>1.7130000000000031E-2</v>
      </c>
      <c r="I82" s="1"/>
      <c r="J82" s="26">
        <f t="shared" ca="1" si="27"/>
        <v>47990</v>
      </c>
      <c r="K82" s="30">
        <f t="shared" ca="1" si="20"/>
        <v>1.8620000000000005E-2</v>
      </c>
      <c r="L82" s="39">
        <f t="shared" ca="1" si="23"/>
        <v>1.8520000000000005E-2</v>
      </c>
      <c r="M82" s="1"/>
      <c r="N82" s="26">
        <f t="shared" ca="1" si="28"/>
        <v>47990</v>
      </c>
      <c r="O82" s="30">
        <v>5.0000000000000001E-3</v>
      </c>
      <c r="P82" s="39">
        <f t="shared" ca="1" si="24"/>
        <v>4.8999999999999998E-3</v>
      </c>
    </row>
    <row r="83" spans="1:16" x14ac:dyDescent="0.3">
      <c r="A83" s="2">
        <f t="shared" ca="1" si="29"/>
        <v>76</v>
      </c>
      <c r="B83" s="26">
        <f t="shared" ca="1" si="25"/>
        <v>48040</v>
      </c>
      <c r="C83" s="30">
        <f t="shared" ca="1" si="30"/>
        <v>1.5487331127726149E-2</v>
      </c>
      <c r="D83" s="39">
        <f t="shared" ca="1" si="21"/>
        <v>1.538733112772615E-2</v>
      </c>
      <c r="E83" s="1"/>
      <c r="F83" s="26">
        <f t="shared" ca="1" si="26"/>
        <v>48040</v>
      </c>
      <c r="G83" s="30">
        <f t="shared" ca="1" si="31"/>
        <v>1.7425000000000031E-2</v>
      </c>
      <c r="H83" s="39">
        <f t="shared" ca="1" si="22"/>
        <v>1.7325000000000031E-2</v>
      </c>
      <c r="I83" s="1"/>
      <c r="J83" s="26">
        <f t="shared" ca="1" si="27"/>
        <v>48040</v>
      </c>
      <c r="K83" s="30">
        <f t="shared" ca="1" si="20"/>
        <v>1.8700000000000005E-2</v>
      </c>
      <c r="L83" s="39">
        <f t="shared" ca="1" si="23"/>
        <v>1.8600000000000005E-2</v>
      </c>
      <c r="M83" s="1"/>
      <c r="N83" s="26">
        <f t="shared" ca="1" si="28"/>
        <v>48040</v>
      </c>
      <c r="O83" s="30">
        <v>5.0000000000000001E-3</v>
      </c>
      <c r="P83" s="39">
        <f t="shared" ca="1" si="24"/>
        <v>4.8999999999999998E-3</v>
      </c>
    </row>
    <row r="84" spans="1:16" x14ac:dyDescent="0.3">
      <c r="A84" s="2">
        <f t="shared" ca="1" si="29"/>
        <v>77</v>
      </c>
      <c r="B84" s="26">
        <f t="shared" ca="1" si="25"/>
        <v>48090</v>
      </c>
      <c r="C84" s="30">
        <f t="shared" ca="1" si="30"/>
        <v>1.5687331127726148E-2</v>
      </c>
      <c r="D84" s="39">
        <f t="shared" ca="1" si="21"/>
        <v>1.5587331127726149E-2</v>
      </c>
      <c r="E84" s="1"/>
      <c r="F84" s="26">
        <f t="shared" ca="1" si="26"/>
        <v>48090</v>
      </c>
      <c r="G84" s="30">
        <f t="shared" ca="1" si="31"/>
        <v>1.7620000000000031E-2</v>
      </c>
      <c r="H84" s="39">
        <f t="shared" ca="1" si="22"/>
        <v>1.7520000000000032E-2</v>
      </c>
      <c r="I84" s="1"/>
      <c r="J84" s="26">
        <f t="shared" ca="1" si="27"/>
        <v>48090</v>
      </c>
      <c r="K84" s="30">
        <f t="shared" ca="1" si="20"/>
        <v>1.8780000000000005E-2</v>
      </c>
      <c r="L84" s="39">
        <f t="shared" ca="1" si="23"/>
        <v>1.8680000000000006E-2</v>
      </c>
      <c r="M84" s="1"/>
      <c r="N84" s="26">
        <f t="shared" ca="1" si="28"/>
        <v>48090</v>
      </c>
      <c r="O84" s="30">
        <v>5.0000000000000001E-3</v>
      </c>
      <c r="P84" s="39">
        <f t="shared" ca="1" si="24"/>
        <v>4.8999999999999998E-3</v>
      </c>
    </row>
    <row r="85" spans="1:16" x14ac:dyDescent="0.3">
      <c r="A85" s="2">
        <f t="shared" ca="1" si="29"/>
        <v>78</v>
      </c>
      <c r="B85" s="26">
        <f t="shared" ca="1" si="25"/>
        <v>48140</v>
      </c>
      <c r="C85" s="30">
        <f t="shared" ca="1" si="30"/>
        <v>1.5887331127726147E-2</v>
      </c>
      <c r="D85" s="39">
        <f t="shared" ca="1" si="21"/>
        <v>1.5787331127726147E-2</v>
      </c>
      <c r="E85" s="1"/>
      <c r="F85" s="26">
        <f t="shared" ca="1" si="26"/>
        <v>48140</v>
      </c>
      <c r="G85" s="30">
        <f t="shared" ca="1" si="31"/>
        <v>1.7815000000000032E-2</v>
      </c>
      <c r="H85" s="39">
        <f t="shared" ca="1" si="22"/>
        <v>1.7715000000000033E-2</v>
      </c>
      <c r="I85" s="1"/>
      <c r="J85" s="26">
        <f t="shared" ca="1" si="27"/>
        <v>48140</v>
      </c>
      <c r="K85" s="30">
        <f t="shared" ca="1" si="20"/>
        <v>1.8860000000000005E-2</v>
      </c>
      <c r="L85" s="39">
        <f t="shared" ca="1" si="23"/>
        <v>1.8760000000000006E-2</v>
      </c>
      <c r="M85" s="1"/>
      <c r="N85" s="26">
        <f t="shared" ca="1" si="28"/>
        <v>48140</v>
      </c>
      <c r="O85" s="30">
        <v>5.0000000000000001E-3</v>
      </c>
      <c r="P85" s="39">
        <f t="shared" ca="1" si="24"/>
        <v>4.8999999999999998E-3</v>
      </c>
    </row>
    <row r="86" spans="1:16" x14ac:dyDescent="0.3">
      <c r="A86" s="2">
        <f t="shared" ca="1" si="29"/>
        <v>79</v>
      </c>
      <c r="B86" s="26">
        <f t="shared" ca="1" si="25"/>
        <v>48190</v>
      </c>
      <c r="C86" s="30">
        <f t="shared" ca="1" si="30"/>
        <v>1.6087331127726145E-2</v>
      </c>
      <c r="D86" s="39">
        <f t="shared" ca="1" si="21"/>
        <v>1.5987331127726146E-2</v>
      </c>
      <c r="E86" s="1"/>
      <c r="F86" s="26">
        <f t="shared" ca="1" si="26"/>
        <v>48190</v>
      </c>
      <c r="G86" s="30">
        <f t="shared" ca="1" si="31"/>
        <v>1.8010000000000033E-2</v>
      </c>
      <c r="H86" s="39">
        <f t="shared" ca="1" si="22"/>
        <v>1.7910000000000034E-2</v>
      </c>
      <c r="I86" s="1"/>
      <c r="J86" s="26">
        <f t="shared" ca="1" si="27"/>
        <v>48190</v>
      </c>
      <c r="K86" s="30">
        <f t="shared" ca="1" si="20"/>
        <v>1.8940000000000005E-2</v>
      </c>
      <c r="L86" s="39">
        <f t="shared" ca="1" si="23"/>
        <v>1.8840000000000006E-2</v>
      </c>
      <c r="M86" s="1"/>
      <c r="N86" s="26">
        <f t="shared" ca="1" si="28"/>
        <v>48190</v>
      </c>
      <c r="O86" s="30">
        <v>5.0000000000000001E-3</v>
      </c>
      <c r="P86" s="39">
        <f t="shared" ca="1" si="24"/>
        <v>4.8999999999999998E-3</v>
      </c>
    </row>
    <row r="87" spans="1:16" x14ac:dyDescent="0.3">
      <c r="A87" s="2">
        <f t="shared" ca="1" si="29"/>
        <v>80</v>
      </c>
      <c r="B87" s="26">
        <f t="shared" ca="1" si="25"/>
        <v>48240</v>
      </c>
      <c r="C87" s="30">
        <f t="shared" ca="1" si="30"/>
        <v>1.6287331127726144E-2</v>
      </c>
      <c r="D87" s="39">
        <f t="shared" ca="1" si="21"/>
        <v>1.6187331127726145E-2</v>
      </c>
      <c r="E87" s="1"/>
      <c r="F87" s="26">
        <f t="shared" ca="1" si="26"/>
        <v>48240</v>
      </c>
      <c r="G87" s="30">
        <f t="shared" ca="1" si="31"/>
        <v>1.8205000000000034E-2</v>
      </c>
      <c r="H87" s="39">
        <f t="shared" ca="1" si="22"/>
        <v>1.8105000000000034E-2</v>
      </c>
      <c r="I87" s="1"/>
      <c r="J87" s="26">
        <f t="shared" ca="1" si="27"/>
        <v>48240</v>
      </c>
      <c r="K87" s="30">
        <f t="shared" ca="1" si="20"/>
        <v>1.9020000000000006E-2</v>
      </c>
      <c r="L87" s="39">
        <f t="shared" ca="1" si="23"/>
        <v>1.8920000000000006E-2</v>
      </c>
      <c r="M87" s="1"/>
      <c r="N87" s="26">
        <f t="shared" ca="1" si="28"/>
        <v>48240</v>
      </c>
      <c r="O87" s="30">
        <v>5.0000000000000001E-3</v>
      </c>
      <c r="P87" s="39">
        <f t="shared" ca="1" si="24"/>
        <v>4.8999999999999998E-3</v>
      </c>
    </row>
    <row r="88" spans="1:16" x14ac:dyDescent="0.3">
      <c r="A88" s="2">
        <f t="shared" ca="1" si="29"/>
        <v>81</v>
      </c>
      <c r="B88" s="26">
        <f t="shared" ca="1" si="25"/>
        <v>48290</v>
      </c>
      <c r="C88" s="30">
        <f t="shared" ca="1" si="30"/>
        <v>1.6487331127726143E-2</v>
      </c>
      <c r="D88" s="39">
        <f t="shared" ca="1" si="21"/>
        <v>1.6387331127726144E-2</v>
      </c>
      <c r="E88" s="1"/>
      <c r="F88" s="26">
        <f t="shared" ca="1" si="26"/>
        <v>48290</v>
      </c>
      <c r="G88" s="30">
        <f t="shared" ca="1" si="31"/>
        <v>1.8400000000000034E-2</v>
      </c>
      <c r="H88" s="39">
        <f t="shared" ca="1" si="22"/>
        <v>1.8300000000000035E-2</v>
      </c>
      <c r="I88" s="1"/>
      <c r="J88" s="26">
        <f t="shared" ca="1" si="27"/>
        <v>48290</v>
      </c>
      <c r="K88" s="30">
        <f t="shared" ca="1" si="20"/>
        <v>1.9100000000000006E-2</v>
      </c>
      <c r="L88" s="39">
        <f t="shared" ca="1" si="23"/>
        <v>1.9000000000000006E-2</v>
      </c>
      <c r="M88" s="1"/>
      <c r="N88" s="26">
        <f t="shared" ca="1" si="28"/>
        <v>48290</v>
      </c>
      <c r="O88" s="30">
        <v>5.0000000000000001E-3</v>
      </c>
      <c r="P88" s="39">
        <f t="shared" ca="1" si="24"/>
        <v>4.8999999999999998E-3</v>
      </c>
    </row>
    <row r="89" spans="1:16" x14ac:dyDescent="0.3">
      <c r="A89" s="2">
        <f t="shared" ca="1" si="29"/>
        <v>82</v>
      </c>
      <c r="B89" s="26">
        <f t="shared" ca="1" si="25"/>
        <v>48340</v>
      </c>
      <c r="C89" s="30">
        <f t="shared" ca="1" si="30"/>
        <v>1.6687331127726142E-2</v>
      </c>
      <c r="D89" s="39">
        <f t="shared" ca="1" si="21"/>
        <v>1.6587331127726142E-2</v>
      </c>
      <c r="E89" s="1"/>
      <c r="F89" s="26">
        <f t="shared" ca="1" si="26"/>
        <v>48340</v>
      </c>
      <c r="G89" s="30">
        <f t="shared" ca="1" si="31"/>
        <v>1.8595000000000035E-2</v>
      </c>
      <c r="H89" s="39">
        <f t="shared" ca="1" si="22"/>
        <v>1.8495000000000036E-2</v>
      </c>
      <c r="I89" s="1"/>
      <c r="J89" s="26">
        <f t="shared" ca="1" si="27"/>
        <v>48340</v>
      </c>
      <c r="K89" s="30">
        <f t="shared" ca="1" si="20"/>
        <v>1.9180000000000006E-2</v>
      </c>
      <c r="L89" s="39">
        <f t="shared" ca="1" si="23"/>
        <v>1.9080000000000007E-2</v>
      </c>
      <c r="M89" s="1"/>
      <c r="N89" s="26">
        <f t="shared" ca="1" si="28"/>
        <v>48340</v>
      </c>
      <c r="O89" s="30">
        <v>5.0000000000000001E-3</v>
      </c>
      <c r="P89" s="39">
        <f t="shared" ca="1" si="24"/>
        <v>4.8999999999999998E-3</v>
      </c>
    </row>
    <row r="90" spans="1:16" x14ac:dyDescent="0.3">
      <c r="A90" s="2">
        <f t="shared" ca="1" si="29"/>
        <v>83</v>
      </c>
      <c r="B90" s="26">
        <f t="shared" ca="1" si="25"/>
        <v>48390</v>
      </c>
      <c r="C90" s="30">
        <f t="shared" ca="1" si="30"/>
        <v>1.6887331127726141E-2</v>
      </c>
      <c r="D90" s="39">
        <f t="shared" ca="1" si="21"/>
        <v>1.6787331127726141E-2</v>
      </c>
      <c r="E90" s="1"/>
      <c r="F90" s="26">
        <f t="shared" ca="1" si="26"/>
        <v>48390</v>
      </c>
      <c r="G90" s="30">
        <f t="shared" ca="1" si="31"/>
        <v>1.8790000000000036E-2</v>
      </c>
      <c r="H90" s="39">
        <f t="shared" ca="1" si="22"/>
        <v>1.8690000000000036E-2</v>
      </c>
      <c r="I90" s="1"/>
      <c r="J90" s="26">
        <f t="shared" ca="1" si="27"/>
        <v>48390</v>
      </c>
      <c r="K90" s="30">
        <f t="shared" ca="1" si="20"/>
        <v>1.9260000000000006E-2</v>
      </c>
      <c r="L90" s="39">
        <f t="shared" ca="1" si="23"/>
        <v>1.9160000000000007E-2</v>
      </c>
      <c r="M90" s="1"/>
      <c r="N90" s="26">
        <f t="shared" ca="1" si="28"/>
        <v>48390</v>
      </c>
      <c r="O90" s="30">
        <v>5.0000000000000001E-3</v>
      </c>
      <c r="P90" s="39">
        <f t="shared" ca="1" si="24"/>
        <v>4.8999999999999998E-3</v>
      </c>
    </row>
    <row r="91" spans="1:16" x14ac:dyDescent="0.3">
      <c r="A91" s="2">
        <f t="shared" ca="1" si="29"/>
        <v>84</v>
      </c>
      <c r="B91" s="26">
        <f t="shared" ca="1" si="25"/>
        <v>48440</v>
      </c>
      <c r="C91" s="30">
        <f t="shared" ca="1" si="30"/>
        <v>1.7087331127726139E-2</v>
      </c>
      <c r="D91" s="39">
        <f t="shared" ca="1" si="21"/>
        <v>1.698733112772614E-2</v>
      </c>
      <c r="E91" s="1"/>
      <c r="F91" s="26">
        <f t="shared" ca="1" si="26"/>
        <v>48440</v>
      </c>
      <c r="G91" s="30">
        <f t="shared" ca="1" si="31"/>
        <v>1.8985000000000037E-2</v>
      </c>
      <c r="H91" s="39">
        <f t="shared" ca="1" si="22"/>
        <v>1.8885000000000037E-2</v>
      </c>
      <c r="I91" s="1"/>
      <c r="J91" s="26">
        <f t="shared" ca="1" si="27"/>
        <v>48440</v>
      </c>
      <c r="K91" s="30">
        <f t="shared" ca="1" si="20"/>
        <v>1.9340000000000006E-2</v>
      </c>
      <c r="L91" s="39">
        <f t="shared" ca="1" si="23"/>
        <v>1.9240000000000007E-2</v>
      </c>
      <c r="M91" s="1"/>
      <c r="N91" s="26">
        <f t="shared" ca="1" si="28"/>
        <v>48440</v>
      </c>
      <c r="O91" s="30">
        <v>5.0000000000000001E-3</v>
      </c>
      <c r="P91" s="39">
        <f t="shared" ca="1" si="24"/>
        <v>4.8999999999999998E-3</v>
      </c>
    </row>
    <row r="92" spans="1:16" x14ac:dyDescent="0.3">
      <c r="A92" s="2">
        <f t="shared" ca="1" si="29"/>
        <v>85</v>
      </c>
      <c r="B92" s="26">
        <f t="shared" ca="1" si="25"/>
        <v>48490</v>
      </c>
      <c r="C92" s="30">
        <f t="shared" ca="1" si="30"/>
        <v>1.7287331127726138E-2</v>
      </c>
      <c r="D92" s="39">
        <f t="shared" ca="1" si="21"/>
        <v>1.7187331127726139E-2</v>
      </c>
      <c r="E92" s="1"/>
      <c r="F92" s="26">
        <f t="shared" ca="1" si="26"/>
        <v>48490</v>
      </c>
      <c r="G92" s="30">
        <f t="shared" ca="1" si="31"/>
        <v>1.9180000000000037E-2</v>
      </c>
      <c r="H92" s="39">
        <f t="shared" ca="1" si="22"/>
        <v>1.9080000000000038E-2</v>
      </c>
      <c r="I92" s="1"/>
      <c r="J92" s="26">
        <f t="shared" ca="1" si="27"/>
        <v>48490</v>
      </c>
      <c r="K92" s="30">
        <f t="shared" ca="1" si="20"/>
        <v>1.9420000000000007E-2</v>
      </c>
      <c r="L92" s="39">
        <f t="shared" ca="1" si="23"/>
        <v>1.9320000000000007E-2</v>
      </c>
      <c r="M92" s="1"/>
      <c r="N92" s="26">
        <f t="shared" ca="1" si="28"/>
        <v>48490</v>
      </c>
      <c r="O92" s="30">
        <v>5.0000000000000001E-3</v>
      </c>
      <c r="P92" s="39">
        <f t="shared" ca="1" si="24"/>
        <v>4.8999999999999998E-3</v>
      </c>
    </row>
    <row r="93" spans="1:16" x14ac:dyDescent="0.3">
      <c r="A93" s="2">
        <f t="shared" ca="1" si="29"/>
        <v>86</v>
      </c>
      <c r="B93" s="26">
        <f t="shared" ca="1" si="25"/>
        <v>48540</v>
      </c>
      <c r="C93" s="30">
        <f t="shared" ca="1" si="30"/>
        <v>1.7487331127726137E-2</v>
      </c>
      <c r="D93" s="39">
        <f t="shared" ca="1" si="21"/>
        <v>1.7387331127726138E-2</v>
      </c>
      <c r="E93" s="1"/>
      <c r="F93" s="26">
        <f t="shared" ca="1" si="26"/>
        <v>48540</v>
      </c>
      <c r="G93" s="30">
        <f t="shared" ca="1" si="31"/>
        <v>1.9375000000000038E-2</v>
      </c>
      <c r="H93" s="39">
        <f t="shared" ca="1" si="22"/>
        <v>1.9275000000000039E-2</v>
      </c>
      <c r="I93" s="1"/>
      <c r="J93" s="26">
        <f t="shared" ca="1" si="27"/>
        <v>48540</v>
      </c>
      <c r="K93" s="30">
        <f t="shared" ca="1" si="20"/>
        <v>1.9500000000000007E-2</v>
      </c>
      <c r="L93" s="39">
        <f t="shared" ca="1" si="23"/>
        <v>1.9400000000000008E-2</v>
      </c>
      <c r="M93" s="1"/>
      <c r="N93" s="26">
        <f t="shared" ca="1" si="28"/>
        <v>48540</v>
      </c>
      <c r="O93" s="30">
        <v>5.0000000000000001E-3</v>
      </c>
      <c r="P93" s="39">
        <f t="shared" ca="1" si="24"/>
        <v>4.8999999999999998E-3</v>
      </c>
    </row>
    <row r="94" spans="1:16" x14ac:dyDescent="0.3">
      <c r="A94" s="2">
        <f t="shared" ca="1" si="29"/>
        <v>87</v>
      </c>
      <c r="B94" s="26">
        <f t="shared" ca="1" si="25"/>
        <v>48590</v>
      </c>
      <c r="C94" s="30">
        <f t="shared" ca="1" si="30"/>
        <v>1.7687331127726136E-2</v>
      </c>
      <c r="D94" s="39">
        <f t="shared" ca="1" si="21"/>
        <v>1.7587331127726136E-2</v>
      </c>
      <c r="E94" s="1"/>
      <c r="F94" s="26">
        <f t="shared" ca="1" si="26"/>
        <v>48590</v>
      </c>
      <c r="G94" s="30">
        <f t="shared" ca="1" si="31"/>
        <v>1.9570000000000039E-2</v>
      </c>
      <c r="H94" s="39">
        <f t="shared" ca="1" si="22"/>
        <v>1.9470000000000039E-2</v>
      </c>
      <c r="I94" s="1"/>
      <c r="J94" s="26">
        <f t="shared" ca="1" si="27"/>
        <v>48590</v>
      </c>
      <c r="K94" s="30">
        <f t="shared" ca="1" si="20"/>
        <v>1.9580000000000007E-2</v>
      </c>
      <c r="L94" s="39">
        <f t="shared" ca="1" si="23"/>
        <v>1.9480000000000008E-2</v>
      </c>
      <c r="M94" s="1"/>
      <c r="N94" s="26">
        <f t="shared" ca="1" si="28"/>
        <v>48590</v>
      </c>
      <c r="O94" s="30">
        <v>5.0000000000000001E-3</v>
      </c>
      <c r="P94" s="39">
        <f t="shared" ca="1" si="24"/>
        <v>4.8999999999999998E-3</v>
      </c>
    </row>
    <row r="95" spans="1:16" x14ac:dyDescent="0.3">
      <c r="A95" s="2">
        <f t="shared" ca="1" si="29"/>
        <v>88</v>
      </c>
      <c r="B95" s="26">
        <f t="shared" ca="1" si="25"/>
        <v>48640</v>
      </c>
      <c r="C95" s="30">
        <f t="shared" ca="1" si="30"/>
        <v>1.7887331127726135E-2</v>
      </c>
      <c r="D95" s="39">
        <f t="shared" ca="1" si="21"/>
        <v>1.7787331127726135E-2</v>
      </c>
      <c r="E95" s="1"/>
      <c r="F95" s="26">
        <f t="shared" ca="1" si="26"/>
        <v>48640</v>
      </c>
      <c r="G95" s="30">
        <f t="shared" ca="1" si="31"/>
        <v>1.9765000000000039E-2</v>
      </c>
      <c r="H95" s="39">
        <f t="shared" ca="1" si="22"/>
        <v>1.966500000000004E-2</v>
      </c>
      <c r="I95" s="1"/>
      <c r="J95" s="26">
        <f t="shared" ca="1" si="27"/>
        <v>48640</v>
      </c>
      <c r="K95" s="30">
        <f t="shared" ca="1" si="20"/>
        <v>1.9660000000000007E-2</v>
      </c>
      <c r="L95" s="39">
        <f t="shared" ca="1" si="23"/>
        <v>1.9560000000000008E-2</v>
      </c>
      <c r="M95" s="1"/>
      <c r="N95" s="26">
        <f t="shared" ca="1" si="28"/>
        <v>48640</v>
      </c>
      <c r="O95" s="30">
        <v>5.0000000000000001E-3</v>
      </c>
      <c r="P95" s="39">
        <f t="shared" ca="1" si="24"/>
        <v>4.8999999999999998E-3</v>
      </c>
    </row>
    <row r="96" spans="1:16" x14ac:dyDescent="0.3">
      <c r="A96" s="2">
        <f t="shared" ca="1" si="29"/>
        <v>89</v>
      </c>
      <c r="B96" s="26">
        <f t="shared" ca="1" si="25"/>
        <v>48690</v>
      </c>
      <c r="C96" s="30">
        <f t="shared" ca="1" si="30"/>
        <v>1.8087331127726133E-2</v>
      </c>
      <c r="D96" s="39">
        <f t="shared" ca="1" si="21"/>
        <v>1.7987331127726134E-2</v>
      </c>
      <c r="E96" s="1"/>
      <c r="F96" s="26">
        <f t="shared" ca="1" si="26"/>
        <v>48690</v>
      </c>
      <c r="G96" s="30">
        <f t="shared" ca="1" si="31"/>
        <v>1.996000000000004E-2</v>
      </c>
      <c r="H96" s="39">
        <f t="shared" ca="1" si="22"/>
        <v>1.9860000000000041E-2</v>
      </c>
      <c r="I96" s="1"/>
      <c r="J96" s="26">
        <f t="shared" ca="1" si="27"/>
        <v>48690</v>
      </c>
      <c r="K96" s="30">
        <f t="shared" ca="1" si="20"/>
        <v>1.9740000000000008E-2</v>
      </c>
      <c r="L96" s="39">
        <f t="shared" ca="1" si="23"/>
        <v>1.9640000000000008E-2</v>
      </c>
      <c r="M96" s="1"/>
      <c r="N96" s="26">
        <f t="shared" ca="1" si="28"/>
        <v>48690</v>
      </c>
      <c r="O96" s="30">
        <v>5.0000000000000001E-3</v>
      </c>
      <c r="P96" s="39">
        <f t="shared" ca="1" si="24"/>
        <v>4.8999999999999998E-3</v>
      </c>
    </row>
    <row r="97" spans="1:16" x14ac:dyDescent="0.3">
      <c r="A97" s="2">
        <f t="shared" ca="1" si="29"/>
        <v>90</v>
      </c>
      <c r="B97" s="26">
        <f t="shared" ca="1" si="25"/>
        <v>48740</v>
      </c>
      <c r="C97" s="30">
        <f t="shared" ca="1" si="30"/>
        <v>1.8287331127726132E-2</v>
      </c>
      <c r="D97" s="39">
        <f t="shared" ca="1" si="21"/>
        <v>1.8187331127726133E-2</v>
      </c>
      <c r="E97" s="1"/>
      <c r="F97" s="26">
        <f t="shared" ca="1" si="26"/>
        <v>48740</v>
      </c>
      <c r="G97" s="30">
        <f t="shared" ca="1" si="31"/>
        <v>2.0155000000000041E-2</v>
      </c>
      <c r="H97" s="39">
        <f t="shared" ca="1" si="22"/>
        <v>2.0055000000000042E-2</v>
      </c>
      <c r="I97" s="1"/>
      <c r="J97" s="26">
        <f t="shared" ca="1" si="27"/>
        <v>48740</v>
      </c>
      <c r="K97" s="30">
        <f t="shared" ca="1" si="20"/>
        <v>1.9820000000000008E-2</v>
      </c>
      <c r="L97" s="39">
        <f t="shared" ca="1" si="23"/>
        <v>1.9720000000000008E-2</v>
      </c>
      <c r="M97" s="1"/>
      <c r="N97" s="26">
        <f t="shared" ca="1" si="28"/>
        <v>48740</v>
      </c>
      <c r="O97" s="30">
        <v>5.0000000000000001E-3</v>
      </c>
      <c r="P97" s="39">
        <f t="shared" ca="1" si="24"/>
        <v>4.8999999999999998E-3</v>
      </c>
    </row>
    <row r="98" spans="1:16" x14ac:dyDescent="0.3">
      <c r="A98" s="2">
        <f t="shared" ca="1" si="29"/>
        <v>91</v>
      </c>
      <c r="B98" s="26">
        <f t="shared" ca="1" si="25"/>
        <v>48790</v>
      </c>
      <c r="C98" s="30">
        <f t="shared" ca="1" si="30"/>
        <v>1.8487331127726131E-2</v>
      </c>
      <c r="D98" s="39">
        <f t="shared" ca="1" si="21"/>
        <v>1.8387331127726132E-2</v>
      </c>
      <c r="E98" s="1"/>
      <c r="F98" s="26">
        <f t="shared" ca="1" si="26"/>
        <v>48790</v>
      </c>
      <c r="G98" s="30">
        <f t="shared" ca="1" si="31"/>
        <v>2.0350000000000042E-2</v>
      </c>
      <c r="H98" s="39">
        <f t="shared" ca="1" si="22"/>
        <v>2.0250000000000042E-2</v>
      </c>
      <c r="I98" s="1"/>
      <c r="J98" s="26">
        <f t="shared" ca="1" si="27"/>
        <v>48790</v>
      </c>
      <c r="K98" s="30">
        <f t="shared" ca="1" si="20"/>
        <v>1.9900000000000008E-2</v>
      </c>
      <c r="L98" s="39">
        <f t="shared" ca="1" si="23"/>
        <v>1.9800000000000009E-2</v>
      </c>
      <c r="M98" s="1"/>
      <c r="N98" s="26">
        <f t="shared" ca="1" si="28"/>
        <v>48790</v>
      </c>
      <c r="O98" s="30">
        <v>5.0000000000000001E-3</v>
      </c>
      <c r="P98" s="39">
        <f t="shared" ca="1" si="24"/>
        <v>4.8999999999999998E-3</v>
      </c>
    </row>
    <row r="99" spans="1:16" x14ac:dyDescent="0.3">
      <c r="A99" s="2">
        <f t="shared" ca="1" si="29"/>
        <v>92</v>
      </c>
      <c r="B99" s="26">
        <f t="shared" ca="1" si="25"/>
        <v>48840</v>
      </c>
      <c r="C99" s="30">
        <f t="shared" ca="1" si="30"/>
        <v>1.868733112772613E-2</v>
      </c>
      <c r="D99" s="39">
        <f t="shared" ca="1" si="21"/>
        <v>1.858733112772613E-2</v>
      </c>
      <c r="E99" s="1"/>
      <c r="F99" s="26">
        <f t="shared" ca="1" si="26"/>
        <v>48840</v>
      </c>
      <c r="G99" s="30">
        <f t="shared" ca="1" si="31"/>
        <v>2.0545000000000042E-2</v>
      </c>
      <c r="H99" s="39">
        <f t="shared" ca="1" si="22"/>
        <v>2.0445000000000043E-2</v>
      </c>
      <c r="I99" s="1"/>
      <c r="J99" s="26">
        <f t="shared" ca="1" si="27"/>
        <v>48840</v>
      </c>
      <c r="K99" s="30">
        <f t="shared" ca="1" si="20"/>
        <v>1.9980000000000008E-2</v>
      </c>
      <c r="L99" s="39">
        <f t="shared" ca="1" si="23"/>
        <v>1.9880000000000009E-2</v>
      </c>
      <c r="M99" s="1"/>
      <c r="N99" s="26">
        <f t="shared" ca="1" si="28"/>
        <v>48840</v>
      </c>
      <c r="O99" s="30">
        <v>5.0000000000000001E-3</v>
      </c>
      <c r="P99" s="39">
        <f t="shared" ca="1" si="24"/>
        <v>4.8999999999999998E-3</v>
      </c>
    </row>
    <row r="100" spans="1:16" x14ac:dyDescent="0.3">
      <c r="A100" s="2">
        <f t="shared" ca="1" si="29"/>
        <v>93</v>
      </c>
      <c r="B100" s="26">
        <f t="shared" ca="1" si="25"/>
        <v>48890</v>
      </c>
      <c r="C100" s="30">
        <f t="shared" ca="1" si="30"/>
        <v>1.8887331127726129E-2</v>
      </c>
      <c r="D100" s="39">
        <f t="shared" ca="1" si="21"/>
        <v>1.8787331127726129E-2</v>
      </c>
      <c r="E100" s="1"/>
      <c r="F100" s="26">
        <f t="shared" ca="1" si="26"/>
        <v>48890</v>
      </c>
      <c r="G100" s="30">
        <f t="shared" ca="1" si="31"/>
        <v>2.0740000000000043E-2</v>
      </c>
      <c r="H100" s="39">
        <f t="shared" ca="1" si="22"/>
        <v>2.0640000000000044E-2</v>
      </c>
      <c r="I100" s="1"/>
      <c r="J100" s="26">
        <f t="shared" ca="1" si="27"/>
        <v>48890</v>
      </c>
      <c r="K100" s="30">
        <f t="shared" ca="1" si="20"/>
        <v>2.0060000000000008E-2</v>
      </c>
      <c r="L100" s="39">
        <f t="shared" ca="1" si="23"/>
        <v>1.9960000000000009E-2</v>
      </c>
      <c r="M100" s="1"/>
      <c r="N100" s="26">
        <f t="shared" ca="1" si="28"/>
        <v>48890</v>
      </c>
      <c r="O100" s="30">
        <v>5.0000000000000001E-3</v>
      </c>
      <c r="P100" s="39">
        <f t="shared" ca="1" si="24"/>
        <v>4.8999999999999998E-3</v>
      </c>
    </row>
    <row r="101" spans="1:16" x14ac:dyDescent="0.3">
      <c r="A101" s="2">
        <f t="shared" ca="1" si="29"/>
        <v>94</v>
      </c>
      <c r="B101" s="26">
        <f t="shared" ca="1" si="25"/>
        <v>48940</v>
      </c>
      <c r="C101" s="30">
        <f t="shared" ca="1" si="30"/>
        <v>1.9087331127726127E-2</v>
      </c>
      <c r="D101" s="39">
        <f t="shared" ca="1" si="21"/>
        <v>1.8987331127726128E-2</v>
      </c>
      <c r="E101" s="1"/>
      <c r="F101" s="26">
        <f t="shared" ca="1" si="26"/>
        <v>48940</v>
      </c>
      <c r="G101" s="30">
        <f t="shared" ca="1" si="31"/>
        <v>2.0935000000000044E-2</v>
      </c>
      <c r="H101" s="39">
        <f t="shared" ca="1" si="22"/>
        <v>2.0835000000000044E-2</v>
      </c>
      <c r="I101" s="1"/>
      <c r="J101" s="26">
        <f t="shared" ca="1" si="27"/>
        <v>48940</v>
      </c>
      <c r="K101" s="30">
        <f t="shared" ca="1" si="20"/>
        <v>2.0140000000000009E-2</v>
      </c>
      <c r="L101" s="39">
        <f t="shared" ca="1" si="23"/>
        <v>2.0040000000000009E-2</v>
      </c>
      <c r="M101" s="1"/>
      <c r="N101" s="26">
        <f t="shared" ca="1" si="28"/>
        <v>48940</v>
      </c>
      <c r="O101" s="30">
        <v>5.0000000000000001E-3</v>
      </c>
      <c r="P101" s="39">
        <f t="shared" ca="1" si="24"/>
        <v>4.8999999999999998E-3</v>
      </c>
    </row>
    <row r="102" spans="1:16" x14ac:dyDescent="0.3">
      <c r="A102" s="2">
        <f t="shared" ca="1" si="29"/>
        <v>95</v>
      </c>
      <c r="B102" s="26">
        <f t="shared" ca="1" si="25"/>
        <v>48990</v>
      </c>
      <c r="C102" s="30">
        <f t="shared" ca="1" si="30"/>
        <v>1.9287331127726126E-2</v>
      </c>
      <c r="D102" s="39">
        <f t="shared" ca="1" si="21"/>
        <v>1.9187331127726127E-2</v>
      </c>
      <c r="E102" s="1"/>
      <c r="F102" s="26">
        <f t="shared" ca="1" si="26"/>
        <v>48990</v>
      </c>
      <c r="G102" s="30">
        <f t="shared" ca="1" si="31"/>
        <v>2.1130000000000045E-2</v>
      </c>
      <c r="H102" s="39">
        <f t="shared" ca="1" si="22"/>
        <v>2.1030000000000045E-2</v>
      </c>
      <c r="I102" s="1"/>
      <c r="J102" s="26">
        <f t="shared" ca="1" si="27"/>
        <v>48990</v>
      </c>
      <c r="K102" s="30">
        <f t="shared" ca="1" si="20"/>
        <v>2.0220000000000009E-2</v>
      </c>
      <c r="L102" s="39">
        <f t="shared" ca="1" si="23"/>
        <v>2.0120000000000009E-2</v>
      </c>
      <c r="M102" s="1"/>
      <c r="N102" s="26">
        <f t="shared" ca="1" si="28"/>
        <v>48990</v>
      </c>
      <c r="O102" s="30">
        <v>5.0000000000000001E-3</v>
      </c>
      <c r="P102" s="39">
        <f t="shared" ca="1" si="24"/>
        <v>4.8999999999999998E-3</v>
      </c>
    </row>
    <row r="103" spans="1:16" x14ac:dyDescent="0.3">
      <c r="A103" s="2">
        <f t="shared" ca="1" si="29"/>
        <v>96</v>
      </c>
      <c r="B103" s="26">
        <f t="shared" ca="1" si="25"/>
        <v>49040</v>
      </c>
      <c r="C103" s="30">
        <f t="shared" ca="1" si="30"/>
        <v>1.9487331127726125E-2</v>
      </c>
      <c r="D103" s="39">
        <f t="shared" ca="1" si="21"/>
        <v>1.9387331127726126E-2</v>
      </c>
      <c r="E103" s="1"/>
      <c r="F103" s="26">
        <f t="shared" ca="1" si="26"/>
        <v>49040</v>
      </c>
      <c r="G103" s="30">
        <f t="shared" ca="1" si="31"/>
        <v>2.1325000000000045E-2</v>
      </c>
      <c r="H103" s="39">
        <f t="shared" ca="1" si="22"/>
        <v>2.1225000000000046E-2</v>
      </c>
      <c r="I103" s="1"/>
      <c r="J103" s="26">
        <f t="shared" ca="1" si="27"/>
        <v>49040</v>
      </c>
      <c r="K103" s="30">
        <f t="shared" ca="1" si="20"/>
        <v>2.0300000000000009E-2</v>
      </c>
      <c r="L103" s="39">
        <f t="shared" ca="1" si="23"/>
        <v>2.020000000000001E-2</v>
      </c>
      <c r="M103" s="1"/>
      <c r="N103" s="26">
        <f t="shared" ca="1" si="28"/>
        <v>49040</v>
      </c>
      <c r="O103" s="30">
        <v>5.0000000000000001E-3</v>
      </c>
      <c r="P103" s="39">
        <f t="shared" ca="1" si="24"/>
        <v>4.8999999999999998E-3</v>
      </c>
    </row>
    <row r="104" spans="1:16" x14ac:dyDescent="0.3">
      <c r="A104" s="2">
        <f t="shared" ca="1" si="29"/>
        <v>97</v>
      </c>
      <c r="B104" s="26">
        <f t="shared" ca="1" si="25"/>
        <v>49090</v>
      </c>
      <c r="C104" s="30">
        <f t="shared" ca="1" si="30"/>
        <v>1.9687331127726124E-2</v>
      </c>
      <c r="D104" s="39">
        <f t="shared" ref="D104:D107" ca="1" si="32">C104+(BumpSizeLiborRates*0.0001)</f>
        <v>1.9587331127726124E-2</v>
      </c>
      <c r="E104" s="1"/>
      <c r="F104" s="26">
        <f t="shared" ca="1" si="26"/>
        <v>49090</v>
      </c>
      <c r="G104" s="30">
        <f t="shared" ca="1" si="31"/>
        <v>2.1520000000000046E-2</v>
      </c>
      <c r="H104" s="39">
        <f t="shared" ref="H104:H107" ca="1" si="33">G104+(BumpSizeLiborRates*0.0001)</f>
        <v>2.1420000000000047E-2</v>
      </c>
      <c r="I104" s="1"/>
      <c r="J104" s="26">
        <f t="shared" ca="1" si="27"/>
        <v>49090</v>
      </c>
      <c r="K104" s="30">
        <f t="shared" ca="1" si="20"/>
        <v>2.0380000000000009E-2</v>
      </c>
      <c r="L104" s="39">
        <f t="shared" ref="L104:L107" ca="1" si="34">K104+(BumpSizeLiborRates*0.0001)</f>
        <v>2.028000000000001E-2</v>
      </c>
      <c r="M104" s="1"/>
      <c r="N104" s="26">
        <f t="shared" ca="1" si="28"/>
        <v>49090</v>
      </c>
      <c r="O104" s="30">
        <v>5.0000000000000001E-3</v>
      </c>
      <c r="P104" s="39">
        <f t="shared" ref="P104:P107" ca="1" si="35">O104+(BumpSizeLiborRates*0.0001)</f>
        <v>4.8999999999999998E-3</v>
      </c>
    </row>
    <row r="105" spans="1:16" x14ac:dyDescent="0.3">
      <c r="A105" s="2">
        <f t="shared" ca="1" si="29"/>
        <v>98</v>
      </c>
      <c r="B105" s="26">
        <f t="shared" ca="1" si="25"/>
        <v>49140</v>
      </c>
      <c r="C105" s="30">
        <f t="shared" ca="1" si="30"/>
        <v>1.9887331127726122E-2</v>
      </c>
      <c r="D105" s="39">
        <f t="shared" ca="1" si="32"/>
        <v>1.9787331127726123E-2</v>
      </c>
      <c r="E105" s="1"/>
      <c r="F105" s="26">
        <f t="shared" ca="1" si="26"/>
        <v>49140</v>
      </c>
      <c r="G105" s="30">
        <f t="shared" ca="1" si="31"/>
        <v>2.1715000000000047E-2</v>
      </c>
      <c r="H105" s="39">
        <f t="shared" ca="1" si="33"/>
        <v>2.1615000000000047E-2</v>
      </c>
      <c r="I105" s="1"/>
      <c r="J105" s="26">
        <f t="shared" ca="1" si="27"/>
        <v>49140</v>
      </c>
      <c r="K105" s="30">
        <f t="shared" ca="1" si="20"/>
        <v>2.0460000000000009E-2</v>
      </c>
      <c r="L105" s="39">
        <f t="shared" ca="1" si="34"/>
        <v>2.036000000000001E-2</v>
      </c>
      <c r="M105" s="1"/>
      <c r="N105" s="26">
        <f t="shared" ca="1" si="28"/>
        <v>49140</v>
      </c>
      <c r="O105" s="30">
        <v>5.0000000000000001E-3</v>
      </c>
      <c r="P105" s="39">
        <f t="shared" ca="1" si="35"/>
        <v>4.8999999999999998E-3</v>
      </c>
    </row>
    <row r="106" spans="1:16" x14ac:dyDescent="0.3">
      <c r="A106" s="2">
        <f t="shared" ca="1" si="29"/>
        <v>99</v>
      </c>
      <c r="B106" s="26">
        <f t="shared" ca="1" si="25"/>
        <v>49190</v>
      </c>
      <c r="C106" s="30">
        <f t="shared" ca="1" si="30"/>
        <v>2.0087331127726121E-2</v>
      </c>
      <c r="D106" s="39">
        <f t="shared" ca="1" si="32"/>
        <v>1.9987331127726122E-2</v>
      </c>
      <c r="E106" s="1"/>
      <c r="F106" s="26">
        <f t="shared" ca="1" si="26"/>
        <v>49190</v>
      </c>
      <c r="G106" s="30">
        <f t="shared" ca="1" si="31"/>
        <v>2.1910000000000047E-2</v>
      </c>
      <c r="H106" s="39">
        <f t="shared" ca="1" si="33"/>
        <v>2.1810000000000048E-2</v>
      </c>
      <c r="I106" s="1"/>
      <c r="J106" s="26">
        <f t="shared" ca="1" si="27"/>
        <v>49190</v>
      </c>
      <c r="K106" s="30">
        <f t="shared" ca="1" si="20"/>
        <v>2.054000000000001E-2</v>
      </c>
      <c r="L106" s="39">
        <f t="shared" ca="1" si="34"/>
        <v>2.044000000000001E-2</v>
      </c>
      <c r="M106" s="1"/>
      <c r="N106" s="26">
        <f t="shared" ca="1" si="28"/>
        <v>49190</v>
      </c>
      <c r="O106" s="30">
        <v>5.0000000000000001E-3</v>
      </c>
      <c r="P106" s="39">
        <f t="shared" ca="1" si="35"/>
        <v>4.8999999999999998E-3</v>
      </c>
    </row>
    <row r="107" spans="1:16" x14ac:dyDescent="0.3">
      <c r="A107" s="2">
        <f t="shared" ca="1" si="29"/>
        <v>100</v>
      </c>
      <c r="B107" s="32">
        <f t="shared" ca="1" si="25"/>
        <v>49240</v>
      </c>
      <c r="C107" s="36">
        <f t="shared" ca="1" si="30"/>
        <v>2.028733112772612E-2</v>
      </c>
      <c r="D107" s="40">
        <f t="shared" ca="1" si="32"/>
        <v>2.0187331127726121E-2</v>
      </c>
      <c r="E107" s="1"/>
      <c r="F107" s="32">
        <f t="shared" ca="1" si="26"/>
        <v>49240</v>
      </c>
      <c r="G107" s="36">
        <f t="shared" ca="1" si="31"/>
        <v>2.2105000000000048E-2</v>
      </c>
      <c r="H107" s="40">
        <f t="shared" ca="1" si="33"/>
        <v>2.2005000000000049E-2</v>
      </c>
      <c r="I107" s="1"/>
      <c r="J107" s="32">
        <f t="shared" ca="1" si="27"/>
        <v>49240</v>
      </c>
      <c r="K107" s="36">
        <f t="shared" ca="1" si="20"/>
        <v>2.062000000000001E-2</v>
      </c>
      <c r="L107" s="40">
        <f t="shared" ca="1" si="34"/>
        <v>2.052000000000001E-2</v>
      </c>
      <c r="M107" s="1"/>
      <c r="N107" s="32">
        <f t="shared" ca="1" si="28"/>
        <v>49240</v>
      </c>
      <c r="O107" s="36">
        <v>5.0000000000000001E-3</v>
      </c>
      <c r="P107" s="40">
        <f t="shared" ca="1" si="35"/>
        <v>4.8999999999999998E-3</v>
      </c>
    </row>
    <row r="108" spans="1:16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1:16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1:16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1:16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1:16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1:16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1:16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1:16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1:16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1:16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1:16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1:16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74"/>
  <sheetViews>
    <sheetView showGridLines="0" tabSelected="1" workbookViewId="0"/>
  </sheetViews>
  <sheetFormatPr defaultColWidth="9.109375" defaultRowHeight="14.4" x14ac:dyDescent="0.3"/>
  <cols>
    <col min="1" max="1" width="4.6640625" style="6" customWidth="1"/>
    <col min="2" max="2" width="17" style="6" bestFit="1" customWidth="1"/>
    <col min="3" max="3" width="19.44140625" style="6" bestFit="1" customWidth="1"/>
    <col min="4" max="4" width="9.109375" style="6" customWidth="1"/>
    <col min="5" max="13" width="11.6640625" style="6" customWidth="1"/>
    <col min="14" max="14" width="10.6640625" style="6" hidden="1" customWidth="1"/>
    <col min="15" max="15" width="9.109375" style="6"/>
    <col min="16" max="27" width="11.6640625" style="6" customWidth="1"/>
    <col min="28" max="28" width="10.6640625" style="6" hidden="1" customWidth="1"/>
    <col min="29" max="16384" width="9.109375" style="6"/>
  </cols>
  <sheetData>
    <row r="1" spans="1:32" x14ac:dyDescent="0.3">
      <c r="J1" s="1"/>
      <c r="K1" s="1"/>
    </row>
    <row r="2" spans="1:32" x14ac:dyDescent="0.3">
      <c r="A2" s="1"/>
      <c r="B2" s="111" t="s">
        <v>105</v>
      </c>
      <c r="E2" s="1"/>
    </row>
    <row r="3" spans="1:32" x14ac:dyDescent="0.3">
      <c r="A3" s="1"/>
      <c r="AD3" s="1"/>
    </row>
    <row r="4" spans="1:32" x14ac:dyDescent="0.3">
      <c r="B4" s="77" t="s">
        <v>109</v>
      </c>
      <c r="E4" s="5" t="s">
        <v>13</v>
      </c>
      <c r="K4" s="7"/>
      <c r="L4" s="7"/>
      <c r="M4" s="7"/>
      <c r="P4" s="5" t="s">
        <v>14</v>
      </c>
      <c r="AA4" s="7"/>
    </row>
    <row r="5" spans="1:32" ht="16.2" x14ac:dyDescent="0.3">
      <c r="B5" s="106" t="s">
        <v>39</v>
      </c>
      <c r="C5" s="57" t="s">
        <v>115</v>
      </c>
      <c r="D5" s="4" t="s">
        <v>38</v>
      </c>
      <c r="E5" s="18" t="s">
        <v>44</v>
      </c>
      <c r="F5" s="19" t="s">
        <v>45</v>
      </c>
      <c r="G5" s="19" t="s">
        <v>117</v>
      </c>
      <c r="H5" s="16" t="s">
        <v>22</v>
      </c>
      <c r="I5" s="16" t="s">
        <v>15</v>
      </c>
      <c r="J5" s="16" t="s">
        <v>19</v>
      </c>
      <c r="K5" s="16" t="s">
        <v>20</v>
      </c>
      <c r="L5" s="16" t="s">
        <v>42</v>
      </c>
      <c r="M5" s="16" t="s">
        <v>23</v>
      </c>
      <c r="N5" s="17" t="s">
        <v>24</v>
      </c>
      <c r="O5" s="58" t="s">
        <v>38</v>
      </c>
      <c r="P5" s="15" t="s">
        <v>28</v>
      </c>
      <c r="Q5" s="19" t="s">
        <v>44</v>
      </c>
      <c r="R5" s="19" t="s">
        <v>45</v>
      </c>
      <c r="S5" s="19" t="s">
        <v>117</v>
      </c>
      <c r="T5" s="16" t="s">
        <v>29</v>
      </c>
      <c r="U5" s="16" t="s">
        <v>15</v>
      </c>
      <c r="V5" s="16" t="s">
        <v>30</v>
      </c>
      <c r="W5" s="19" t="s">
        <v>66</v>
      </c>
      <c r="X5" s="19" t="s">
        <v>51</v>
      </c>
      <c r="Y5" s="16" t="s">
        <v>31</v>
      </c>
      <c r="Z5" s="16" t="s">
        <v>43</v>
      </c>
      <c r="AA5" s="16" t="s">
        <v>32</v>
      </c>
      <c r="AC5" s="59"/>
      <c r="AF5" s="1"/>
    </row>
    <row r="6" spans="1:32" x14ac:dyDescent="0.3">
      <c r="B6" s="71" t="s">
        <v>21</v>
      </c>
      <c r="C6" s="56" t="s">
        <v>5</v>
      </c>
      <c r="D6" s="4">
        <v>1</v>
      </c>
      <c r="E6" s="20">
        <f ca="1">IF(N6,AsOfDate,"")</f>
        <v>44290</v>
      </c>
      <c r="F6" s="21">
        <f ca="1">IF(N6,E6+K6*365.25,"")</f>
        <v>44472.625</v>
      </c>
      <c r="G6" s="21">
        <f ca="1">IF(N6,F6,"")</f>
        <v>44472.625</v>
      </c>
      <c r="H6" s="22">
        <f ca="1">IF(N6,t_i,"")</f>
        <v>0.5</v>
      </c>
      <c r="I6" s="23">
        <f t="shared" ref="I6:I37" ca="1" si="0">IF(N6,N,"")</f>
        <v>1000000</v>
      </c>
      <c r="J6" s="24">
        <f t="shared" ref="J6:J37" ca="1" si="1">IF(N6,r_fixed,"")</f>
        <v>0.01</v>
      </c>
      <c r="K6" s="22">
        <f t="shared" ref="K6:K37" ca="1" si="2">IF(N6,t_i,"")</f>
        <v>0.5</v>
      </c>
      <c r="L6" s="25">
        <f ca="1">IF(N6,IF(SetDiscFactToOne,1,VLOOKUP(G6,INDIRECT(DiscountCurve),2,TRUE)),"")</f>
        <v>0.99782428810802137</v>
      </c>
      <c r="M6" s="23">
        <f t="shared" ref="M6:M37" ca="1" si="3">IF(N6,I6*J6*K6*L6,"")</f>
        <v>4989.121440540107</v>
      </c>
      <c r="N6" s="13" t="b">
        <f ca="1">IF(t_i&lt;=T,TRUE,FALSE)</f>
        <v>1</v>
      </c>
      <c r="O6" s="58">
        <v>1</v>
      </c>
      <c r="P6" s="20">
        <f t="shared" ref="P6:P37" ca="1" si="4">IF(AB16,Q6,"")</f>
        <v>44290</v>
      </c>
      <c r="Q6" s="21">
        <f ca="1">IF(AB16,AsOfDate,"")</f>
        <v>44290</v>
      </c>
      <c r="R6" s="21">
        <f t="shared" ref="R6:R37" ca="1" si="5">IF(AB16,Q6+Y6*365.25,"")</f>
        <v>44381.3125</v>
      </c>
      <c r="S6" s="21">
        <f t="shared" ref="S6:S37" ca="1" si="6">IF(AB16,R6,"")</f>
        <v>44381.3125</v>
      </c>
      <c r="T6" s="22">
        <f ca="1">IF(AB16,t_j,"")</f>
        <v>0.25</v>
      </c>
      <c r="U6" s="23">
        <f t="shared" ref="U6:U37" ca="1" si="7">IF(AB16,N,"")</f>
        <v>1000000</v>
      </c>
      <c r="V6" s="24">
        <f t="shared" ref="V6:V37" ca="1" si="8">IF(AB16,VLOOKUP(P6,INDIRECT(ForecastCurve),IF(ApplyBump,3,2),TRUE),"")</f>
        <v>2.8E-3</v>
      </c>
      <c r="W6" s="22">
        <f t="shared" ref="W6:W37" ca="1" si="9">IF(AB16,s,"")</f>
        <v>0</v>
      </c>
      <c r="X6" s="24">
        <f t="shared" ref="X6:X37" ca="1" si="10">IF(AB16,V6+(W6*0.0001),"")</f>
        <v>2.8E-3</v>
      </c>
      <c r="Y6" s="22">
        <f t="shared" ref="Y6:Y37" ca="1" si="11">IF(AB16,t_j,"")</f>
        <v>0.25</v>
      </c>
      <c r="Z6" s="25">
        <f t="shared" ref="Z6:Z37" ca="1" si="12">IF(AB16,IF(SetDiscFactToOne,1,VLOOKUP(S6,INDIRECT(DiscountCurve),2,TRUE)),"")</f>
        <v>0.99930161384822602</v>
      </c>
      <c r="AA6" s="23">
        <f t="shared" ref="AA6:AA37" ca="1" si="13">IF(AB16,U6*X6*Y6*Z6,"")</f>
        <v>699.51112969375822</v>
      </c>
      <c r="AC6" s="59"/>
      <c r="AF6" s="115"/>
    </row>
    <row r="7" spans="1:32" x14ac:dyDescent="0.3">
      <c r="B7" s="71" t="s">
        <v>16</v>
      </c>
      <c r="C7" s="9">
        <v>1000000</v>
      </c>
      <c r="D7" s="4">
        <f ca="1">D6+1</f>
        <v>2</v>
      </c>
      <c r="E7" s="26">
        <f ca="1">IF(N7,F6,"")</f>
        <v>44472.625</v>
      </c>
      <c r="F7" s="27">
        <f t="shared" ref="F7:F55" ca="1" si="14">IF(N7,E7+K7*365.25,"")</f>
        <v>44655.25</v>
      </c>
      <c r="G7" s="27">
        <f t="shared" ref="G7:G55" ca="1" si="15">IF(N7,F7,"")</f>
        <v>44655.25</v>
      </c>
      <c r="H7" s="28">
        <f t="shared" ref="H7:H38" ca="1" si="16">IF(N7,H6+t_i,"")</f>
        <v>1</v>
      </c>
      <c r="I7" s="29">
        <f t="shared" ca="1" si="0"/>
        <v>1000000</v>
      </c>
      <c r="J7" s="30">
        <f t="shared" ca="1" si="1"/>
        <v>0.01</v>
      </c>
      <c r="K7" s="28">
        <f t="shared" ca="1" si="2"/>
        <v>0.5</v>
      </c>
      <c r="L7" s="31">
        <f ca="1">IF(N7,IF(SetDiscFactToOne,1,VLOOKUP(G7,INDIRECT(DiscountCurve),2,TRUE)),"")</f>
        <v>0.99454915662833243</v>
      </c>
      <c r="M7" s="29">
        <f t="shared" ca="1" si="3"/>
        <v>4972.7457831416623</v>
      </c>
      <c r="N7" s="14" t="b">
        <f ca="1">IF(SUM(K$6:K6)+t_i&lt;=T,TRUE,FALSE)</f>
        <v>1</v>
      </c>
      <c r="O7" s="58">
        <f ca="1">O6+1</f>
        <v>2</v>
      </c>
      <c r="P7" s="26">
        <f t="shared" ca="1" si="4"/>
        <v>44381.3125</v>
      </c>
      <c r="Q7" s="27">
        <f t="shared" ref="Q7:Q38" ca="1" si="17">IF(AB17,R6,"")</f>
        <v>44381.3125</v>
      </c>
      <c r="R7" s="27">
        <f t="shared" ca="1" si="5"/>
        <v>44472.625</v>
      </c>
      <c r="S7" s="27">
        <f t="shared" ca="1" si="6"/>
        <v>44472.625</v>
      </c>
      <c r="T7" s="28">
        <f t="shared" ref="T7:T38" ca="1" si="18">IF(AB17,T6+t_j,"")</f>
        <v>0.5</v>
      </c>
      <c r="U7" s="29">
        <f t="shared" ca="1" si="7"/>
        <v>1000000</v>
      </c>
      <c r="V7" s="30">
        <f t="shared" ca="1" si="8"/>
        <v>2.9949999999999998E-3</v>
      </c>
      <c r="W7" s="28">
        <f t="shared" ca="1" si="9"/>
        <v>0</v>
      </c>
      <c r="X7" s="30">
        <f t="shared" ca="1" si="10"/>
        <v>2.9949999999999998E-3</v>
      </c>
      <c r="Y7" s="28">
        <f t="shared" ca="1" si="11"/>
        <v>0.25</v>
      </c>
      <c r="Z7" s="31">
        <f t="shared" ca="1" si="12"/>
        <v>0.99782428810802137</v>
      </c>
      <c r="AA7" s="29">
        <f t="shared" ca="1" si="13"/>
        <v>747.12093572088099</v>
      </c>
      <c r="AC7" s="59"/>
      <c r="AF7" s="115"/>
    </row>
    <row r="8" spans="1:32" ht="16.2" x14ac:dyDescent="0.3">
      <c r="B8" s="71" t="s">
        <v>18</v>
      </c>
      <c r="C8" s="10">
        <v>0.01</v>
      </c>
      <c r="D8" s="4">
        <f t="shared" ref="D8:D55" ca="1" si="19">D7+1</f>
        <v>3</v>
      </c>
      <c r="E8" s="26">
        <f t="shared" ref="E8:E55" ca="1" si="20">IF(N8,F7,"")</f>
        <v>44655.25</v>
      </c>
      <c r="F8" s="27">
        <f t="shared" ca="1" si="14"/>
        <v>44837.875</v>
      </c>
      <c r="G8" s="27">
        <f t="shared" ca="1" si="15"/>
        <v>44837.875</v>
      </c>
      <c r="H8" s="28">
        <f t="shared" ca="1" si="16"/>
        <v>1.5</v>
      </c>
      <c r="I8" s="29">
        <f t="shared" ca="1" si="0"/>
        <v>1000000</v>
      </c>
      <c r="J8" s="30">
        <f t="shared" ca="1" si="1"/>
        <v>0.01</v>
      </c>
      <c r="K8" s="28">
        <f t="shared" ca="1" si="2"/>
        <v>0.5</v>
      </c>
      <c r="L8" s="31">
        <f t="shared" ref="L8:L37" ca="1" si="21">IF(N8,IF(SetDiscFactToOne,1,VLOOKUP(G8,INDIRECT(DiscountCurve),2,TRUE)),"")</f>
        <v>0.99181450701087914</v>
      </c>
      <c r="M8" s="29">
        <f t="shared" ca="1" si="3"/>
        <v>4959.0725350543953</v>
      </c>
      <c r="N8" s="14" t="b">
        <f ca="1">IF(SUM(K$6:K7)+t_i&lt;=T,TRUE,FALSE)</f>
        <v>1</v>
      </c>
      <c r="O8" s="58">
        <f t="shared" ref="O8:O55" ca="1" si="22">O7+1</f>
        <v>3</v>
      </c>
      <c r="P8" s="26">
        <f t="shared" ca="1" si="4"/>
        <v>44472.625</v>
      </c>
      <c r="Q8" s="27">
        <f t="shared" ca="1" si="17"/>
        <v>44472.625</v>
      </c>
      <c r="R8" s="27">
        <f t="shared" ca="1" si="5"/>
        <v>44563.9375</v>
      </c>
      <c r="S8" s="27">
        <f t="shared" ca="1" si="6"/>
        <v>44563.9375</v>
      </c>
      <c r="T8" s="28">
        <f t="shared" ca="1" si="18"/>
        <v>0.75</v>
      </c>
      <c r="U8" s="29">
        <f t="shared" ca="1" si="7"/>
        <v>1000000</v>
      </c>
      <c r="V8" s="30">
        <f t="shared" ca="1" si="8"/>
        <v>3.3849999999999996E-3</v>
      </c>
      <c r="W8" s="28">
        <f t="shared" ca="1" si="9"/>
        <v>0</v>
      </c>
      <c r="X8" s="30">
        <f t="shared" ca="1" si="10"/>
        <v>3.3849999999999996E-3</v>
      </c>
      <c r="Y8" s="28">
        <f t="shared" ca="1" si="11"/>
        <v>0.25</v>
      </c>
      <c r="Z8" s="31">
        <f t="shared" ca="1" si="12"/>
        <v>0.99623996341963472</v>
      </c>
      <c r="AA8" s="29">
        <f t="shared" ca="1" si="13"/>
        <v>843.06806904386576</v>
      </c>
      <c r="AC8" s="59"/>
      <c r="AF8" s="115"/>
    </row>
    <row r="9" spans="1:32" x14ac:dyDescent="0.3">
      <c r="B9" s="73" t="s">
        <v>56</v>
      </c>
      <c r="C9" s="110" t="str">
        <f ca="1">FixedLegFrequencySelected</f>
        <v>SEMI-ANNUAL</v>
      </c>
      <c r="D9" s="4">
        <f t="shared" ca="1" si="19"/>
        <v>4</v>
      </c>
      <c r="E9" s="26">
        <f t="shared" ca="1" si="20"/>
        <v>44837.875</v>
      </c>
      <c r="F9" s="27">
        <f t="shared" ca="1" si="14"/>
        <v>45020.5</v>
      </c>
      <c r="G9" s="27">
        <f t="shared" ca="1" si="15"/>
        <v>45020.5</v>
      </c>
      <c r="H9" s="28">
        <f t="shared" ca="1" si="16"/>
        <v>2</v>
      </c>
      <c r="I9" s="29">
        <f t="shared" ca="1" si="0"/>
        <v>1000000</v>
      </c>
      <c r="J9" s="30">
        <f t="shared" ca="1" si="1"/>
        <v>0.01</v>
      </c>
      <c r="K9" s="28">
        <f t="shared" ca="1" si="2"/>
        <v>0.5</v>
      </c>
      <c r="L9" s="31">
        <f t="shared" ca="1" si="21"/>
        <v>0.98780104536249691</v>
      </c>
      <c r="M9" s="29">
        <f t="shared" ca="1" si="3"/>
        <v>4939.0052268124846</v>
      </c>
      <c r="N9" s="14" t="b">
        <f ca="1">IF(SUM(K$6:K8)+t_i&lt;=T,TRUE,FALSE)</f>
        <v>1</v>
      </c>
      <c r="O9" s="58">
        <f t="shared" ca="1" si="22"/>
        <v>4</v>
      </c>
      <c r="P9" s="26">
        <f t="shared" ca="1" si="4"/>
        <v>44563.9375</v>
      </c>
      <c r="Q9" s="27">
        <f t="shared" ca="1" si="17"/>
        <v>44563.9375</v>
      </c>
      <c r="R9" s="27">
        <f t="shared" ca="1" si="5"/>
        <v>44655.25</v>
      </c>
      <c r="S9" s="27">
        <f t="shared" ca="1" si="6"/>
        <v>44655.25</v>
      </c>
      <c r="T9" s="28">
        <f t="shared" ca="1" si="18"/>
        <v>1</v>
      </c>
      <c r="U9" s="29">
        <f t="shared" ca="1" si="7"/>
        <v>1000000</v>
      </c>
      <c r="V9" s="30">
        <f t="shared" ca="1" si="8"/>
        <v>3.7749999999999993E-3</v>
      </c>
      <c r="W9" s="28">
        <f t="shared" ca="1" si="9"/>
        <v>0</v>
      </c>
      <c r="X9" s="30">
        <f t="shared" ca="1" si="10"/>
        <v>3.7749999999999993E-3</v>
      </c>
      <c r="Y9" s="28">
        <f t="shared" ca="1" si="11"/>
        <v>0.25</v>
      </c>
      <c r="Z9" s="31">
        <f t="shared" ca="1" si="12"/>
        <v>0.99454915662833243</v>
      </c>
      <c r="AA9" s="29">
        <f t="shared" ca="1" si="13"/>
        <v>938.60576656798855</v>
      </c>
      <c r="AC9" s="59"/>
      <c r="AF9" s="115"/>
    </row>
    <row r="10" spans="1:32" x14ac:dyDescent="0.3">
      <c r="B10" s="73" t="s">
        <v>62</v>
      </c>
      <c r="C10" s="110" t="str">
        <f ca="1">FloatLegFrequencySelected</f>
        <v>QUARTERLY</v>
      </c>
      <c r="D10" s="4">
        <f t="shared" ca="1" si="19"/>
        <v>5</v>
      </c>
      <c r="E10" s="26">
        <f t="shared" ca="1" si="20"/>
        <v>45020.5</v>
      </c>
      <c r="F10" s="27">
        <f t="shared" ca="1" si="14"/>
        <v>45203.125</v>
      </c>
      <c r="G10" s="27">
        <f t="shared" ca="1" si="15"/>
        <v>45203.125</v>
      </c>
      <c r="H10" s="28">
        <f t="shared" ca="1" si="16"/>
        <v>2.5</v>
      </c>
      <c r="I10" s="29">
        <f t="shared" ca="1" si="0"/>
        <v>1000000</v>
      </c>
      <c r="J10" s="30">
        <f t="shared" ca="1" si="1"/>
        <v>0.01</v>
      </c>
      <c r="K10" s="28">
        <f t="shared" ca="1" si="2"/>
        <v>0.5</v>
      </c>
      <c r="L10" s="31">
        <f t="shared" ca="1" si="21"/>
        <v>0.98337266256471312</v>
      </c>
      <c r="M10" s="29">
        <f t="shared" ca="1" si="3"/>
        <v>4916.8633128235651</v>
      </c>
      <c r="N10" s="14" t="b">
        <f ca="1">IF(SUM(K$6:K9)+t_i&lt;=T,TRUE,FALSE)</f>
        <v>1</v>
      </c>
      <c r="O10" s="58">
        <f t="shared" ca="1" si="22"/>
        <v>5</v>
      </c>
      <c r="P10" s="26">
        <f t="shared" ca="1" si="4"/>
        <v>44655.25</v>
      </c>
      <c r="Q10" s="27">
        <f t="shared" ca="1" si="17"/>
        <v>44655.25</v>
      </c>
      <c r="R10" s="27">
        <f t="shared" ca="1" si="5"/>
        <v>44746.5625</v>
      </c>
      <c r="S10" s="27">
        <f t="shared" ca="1" si="6"/>
        <v>44746.5625</v>
      </c>
      <c r="T10" s="28">
        <f t="shared" ca="1" si="18"/>
        <v>1.25</v>
      </c>
      <c r="U10" s="29">
        <f t="shared" ca="1" si="7"/>
        <v>1000000</v>
      </c>
      <c r="V10" s="30">
        <f t="shared" ca="1" si="8"/>
        <v>4.1649999999999994E-3</v>
      </c>
      <c r="W10" s="28">
        <f t="shared" ca="1" si="9"/>
        <v>0</v>
      </c>
      <c r="X10" s="30">
        <f t="shared" ca="1" si="10"/>
        <v>4.1649999999999994E-3</v>
      </c>
      <c r="Y10" s="28">
        <f t="shared" ca="1" si="11"/>
        <v>0.25</v>
      </c>
      <c r="Z10" s="31">
        <f t="shared" ca="1" si="12"/>
        <v>0.99275241870731468</v>
      </c>
      <c r="AA10" s="29">
        <f t="shared" ca="1" si="13"/>
        <v>1033.7034559789911</v>
      </c>
      <c r="AC10" s="59"/>
      <c r="AF10" s="115"/>
    </row>
    <row r="11" spans="1:32" x14ac:dyDescent="0.3">
      <c r="B11" s="73" t="s">
        <v>65</v>
      </c>
      <c r="C11" s="11">
        <v>0</v>
      </c>
      <c r="D11" s="4">
        <f t="shared" ca="1" si="19"/>
        <v>6</v>
      </c>
      <c r="E11" s="26">
        <f t="shared" ca="1" si="20"/>
        <v>45203.125</v>
      </c>
      <c r="F11" s="27">
        <f t="shared" ca="1" si="14"/>
        <v>45385.75</v>
      </c>
      <c r="G11" s="27">
        <f t="shared" ca="1" si="15"/>
        <v>45385.75</v>
      </c>
      <c r="H11" s="28">
        <f t="shared" ca="1" si="16"/>
        <v>3</v>
      </c>
      <c r="I11" s="29">
        <f t="shared" ca="1" si="0"/>
        <v>1000000</v>
      </c>
      <c r="J11" s="30">
        <f t="shared" ca="1" si="1"/>
        <v>0.01</v>
      </c>
      <c r="K11" s="28">
        <f t="shared" ca="1" si="2"/>
        <v>0.5</v>
      </c>
      <c r="L11" s="31">
        <f t="shared" ca="1" si="21"/>
        <v>0.97978251292415208</v>
      </c>
      <c r="M11" s="29">
        <f t="shared" ca="1" si="3"/>
        <v>4898.9125646207603</v>
      </c>
      <c r="N11" s="14" t="b">
        <f ca="1">IF(SUM(K$6:K10)+t_i&lt;=T,TRUE,FALSE)</f>
        <v>1</v>
      </c>
      <c r="O11" s="58">
        <f t="shared" ca="1" si="22"/>
        <v>6</v>
      </c>
      <c r="P11" s="26">
        <f t="shared" ca="1" si="4"/>
        <v>44746.5625</v>
      </c>
      <c r="Q11" s="27">
        <f t="shared" ca="1" si="17"/>
        <v>44746.5625</v>
      </c>
      <c r="R11" s="27">
        <f t="shared" ca="1" si="5"/>
        <v>44837.875</v>
      </c>
      <c r="S11" s="27">
        <f t="shared" ca="1" si="6"/>
        <v>44837.875</v>
      </c>
      <c r="T11" s="28">
        <f t="shared" ca="1" si="18"/>
        <v>1.5</v>
      </c>
      <c r="U11" s="29">
        <f t="shared" ca="1" si="7"/>
        <v>1000000</v>
      </c>
      <c r="V11" s="30">
        <f t="shared" ca="1" si="8"/>
        <v>4.5549999999999992E-3</v>
      </c>
      <c r="W11" s="28">
        <f t="shared" ca="1" si="9"/>
        <v>0</v>
      </c>
      <c r="X11" s="30">
        <f t="shared" ca="1" si="10"/>
        <v>4.5549999999999992E-3</v>
      </c>
      <c r="Y11" s="28">
        <f t="shared" ca="1" si="11"/>
        <v>0.25</v>
      </c>
      <c r="Z11" s="31">
        <f t="shared" ca="1" si="12"/>
        <v>0.99181450701087914</v>
      </c>
      <c r="AA11" s="29">
        <f t="shared" ca="1" si="13"/>
        <v>1129.4287698586384</v>
      </c>
      <c r="AC11" s="59"/>
      <c r="AF11" s="115"/>
    </row>
    <row r="12" spans="1:32" x14ac:dyDescent="0.3">
      <c r="B12" s="74" t="s">
        <v>17</v>
      </c>
      <c r="C12" s="12">
        <v>5</v>
      </c>
      <c r="D12" s="4">
        <f t="shared" ca="1" si="19"/>
        <v>7</v>
      </c>
      <c r="E12" s="26">
        <f t="shared" ca="1" si="20"/>
        <v>45385.75</v>
      </c>
      <c r="F12" s="27">
        <f t="shared" ca="1" si="14"/>
        <v>45568.375</v>
      </c>
      <c r="G12" s="27">
        <f t="shared" ca="1" si="15"/>
        <v>45568.375</v>
      </c>
      <c r="H12" s="28">
        <f t="shared" ca="1" si="16"/>
        <v>3.5</v>
      </c>
      <c r="I12" s="29">
        <f t="shared" ca="1" si="0"/>
        <v>1000000</v>
      </c>
      <c r="J12" s="30">
        <f t="shared" ca="1" si="1"/>
        <v>0.01</v>
      </c>
      <c r="K12" s="28">
        <f t="shared" ca="1" si="2"/>
        <v>0.5</v>
      </c>
      <c r="L12" s="31">
        <f t="shared" ca="1" si="21"/>
        <v>0.97464212026255903</v>
      </c>
      <c r="M12" s="29">
        <f t="shared" ca="1" si="3"/>
        <v>4873.210601312795</v>
      </c>
      <c r="N12" s="14" t="b">
        <f ca="1">IF(SUM(K$6:K11)+t_i&lt;=T,TRUE,FALSE)</f>
        <v>1</v>
      </c>
      <c r="O12" s="58">
        <f t="shared" ca="1" si="22"/>
        <v>7</v>
      </c>
      <c r="P12" s="26">
        <f t="shared" ca="1" si="4"/>
        <v>44837.875</v>
      </c>
      <c r="Q12" s="27">
        <f t="shared" ca="1" si="17"/>
        <v>44837.875</v>
      </c>
      <c r="R12" s="27">
        <f t="shared" ca="1" si="5"/>
        <v>44929.1875</v>
      </c>
      <c r="S12" s="27">
        <f t="shared" ca="1" si="6"/>
        <v>44929.1875</v>
      </c>
      <c r="T12" s="28">
        <f t="shared" ca="1" si="18"/>
        <v>1.75</v>
      </c>
      <c r="U12" s="29">
        <f t="shared" ca="1" si="7"/>
        <v>1000000</v>
      </c>
      <c r="V12" s="30">
        <f t="shared" ca="1" si="8"/>
        <v>4.749999999999999E-3</v>
      </c>
      <c r="W12" s="28">
        <f t="shared" ca="1" si="9"/>
        <v>0</v>
      </c>
      <c r="X12" s="30">
        <f t="shared" ca="1" si="10"/>
        <v>4.749999999999999E-3</v>
      </c>
      <c r="Y12" s="28">
        <f t="shared" ca="1" si="11"/>
        <v>0.25</v>
      </c>
      <c r="Z12" s="31">
        <f t="shared" ca="1" si="12"/>
        <v>0.98985997938410708</v>
      </c>
      <c r="AA12" s="29">
        <f t="shared" ca="1" si="13"/>
        <v>1175.458725518627</v>
      </c>
      <c r="AC12" s="59"/>
    </row>
    <row r="13" spans="1:32" x14ac:dyDescent="0.3">
      <c r="D13" s="4">
        <f t="shared" ca="1" si="19"/>
        <v>8</v>
      </c>
      <c r="E13" s="26">
        <f t="shared" ca="1" si="20"/>
        <v>45568.375</v>
      </c>
      <c r="F13" s="27">
        <f t="shared" ca="1" si="14"/>
        <v>45751</v>
      </c>
      <c r="G13" s="27">
        <f t="shared" ca="1" si="15"/>
        <v>45751</v>
      </c>
      <c r="H13" s="28">
        <f t="shared" ca="1" si="16"/>
        <v>4</v>
      </c>
      <c r="I13" s="29">
        <f t="shared" ca="1" si="0"/>
        <v>1000000</v>
      </c>
      <c r="J13" s="30">
        <f t="shared" ca="1" si="1"/>
        <v>0.01</v>
      </c>
      <c r="K13" s="28">
        <f t="shared" ca="1" si="2"/>
        <v>0.5</v>
      </c>
      <c r="L13" s="31">
        <f t="shared" ca="1" si="21"/>
        <v>0.96910379073683905</v>
      </c>
      <c r="M13" s="29">
        <f t="shared" ca="1" si="3"/>
        <v>4845.5189536841954</v>
      </c>
      <c r="N13" s="14" t="b">
        <f ca="1">IF(SUM(K$6:K12)+t_i&lt;=T,TRUE,FALSE)</f>
        <v>1</v>
      </c>
      <c r="O13" s="58">
        <f t="shared" ca="1" si="22"/>
        <v>8</v>
      </c>
      <c r="P13" s="26">
        <f t="shared" ca="1" si="4"/>
        <v>44929.1875</v>
      </c>
      <c r="Q13" s="27">
        <f t="shared" ca="1" si="17"/>
        <v>44929.1875</v>
      </c>
      <c r="R13" s="27">
        <f t="shared" ca="1" si="5"/>
        <v>45020.5</v>
      </c>
      <c r="S13" s="27">
        <f t="shared" ca="1" si="6"/>
        <v>45020.5</v>
      </c>
      <c r="T13" s="28">
        <f t="shared" ca="1" si="18"/>
        <v>2</v>
      </c>
      <c r="U13" s="29">
        <f t="shared" ca="1" si="7"/>
        <v>1000000</v>
      </c>
      <c r="V13" s="30">
        <f t="shared" ca="1" si="8"/>
        <v>5.1399999999999987E-3</v>
      </c>
      <c r="W13" s="28">
        <f t="shared" ca="1" si="9"/>
        <v>0</v>
      </c>
      <c r="X13" s="30">
        <f t="shared" ca="1" si="10"/>
        <v>5.1399999999999987E-3</v>
      </c>
      <c r="Y13" s="28">
        <f t="shared" ca="1" si="11"/>
        <v>0.25</v>
      </c>
      <c r="Z13" s="31">
        <f t="shared" ca="1" si="12"/>
        <v>0.98780104536249691</v>
      </c>
      <c r="AA13" s="29">
        <f t="shared" ca="1" si="13"/>
        <v>1269.3243432908082</v>
      </c>
      <c r="AC13" s="59"/>
    </row>
    <row r="14" spans="1:32" x14ac:dyDescent="0.3">
      <c r="B14" s="5" t="s">
        <v>119</v>
      </c>
      <c r="C14" s="112" t="b">
        <v>0</v>
      </c>
      <c r="D14" s="4">
        <f t="shared" ca="1" si="19"/>
        <v>9</v>
      </c>
      <c r="E14" s="26">
        <f t="shared" ca="1" si="20"/>
        <v>45751</v>
      </c>
      <c r="F14" s="27">
        <f t="shared" ca="1" si="14"/>
        <v>45933.625</v>
      </c>
      <c r="G14" s="27">
        <f t="shared" ca="1" si="15"/>
        <v>45933.625</v>
      </c>
      <c r="H14" s="28">
        <f t="shared" ca="1" si="16"/>
        <v>4.5</v>
      </c>
      <c r="I14" s="29">
        <f t="shared" ca="1" si="0"/>
        <v>1000000</v>
      </c>
      <c r="J14" s="30">
        <f t="shared" ca="1" si="1"/>
        <v>0.01</v>
      </c>
      <c r="K14" s="28">
        <f t="shared" ca="1" si="2"/>
        <v>0.5</v>
      </c>
      <c r="L14" s="31">
        <f t="shared" ca="1" si="21"/>
        <v>0.96469315193366922</v>
      </c>
      <c r="M14" s="29">
        <f t="shared" ca="1" si="3"/>
        <v>4823.4657596683464</v>
      </c>
      <c r="N14" s="14" t="b">
        <f ca="1">IF(SUM(K$6:K13)+t_i&lt;=T,TRUE,FALSE)</f>
        <v>1</v>
      </c>
      <c r="O14" s="58">
        <f t="shared" ca="1" si="22"/>
        <v>9</v>
      </c>
      <c r="P14" s="26">
        <f t="shared" ca="1" si="4"/>
        <v>45020.5</v>
      </c>
      <c r="Q14" s="27">
        <f t="shared" ca="1" si="17"/>
        <v>45020.5</v>
      </c>
      <c r="R14" s="27">
        <f t="shared" ca="1" si="5"/>
        <v>45111.8125</v>
      </c>
      <c r="S14" s="27">
        <f t="shared" ca="1" si="6"/>
        <v>45111.8125</v>
      </c>
      <c r="T14" s="28">
        <f t="shared" ca="1" si="18"/>
        <v>2.25</v>
      </c>
      <c r="U14" s="29">
        <f t="shared" ca="1" si="7"/>
        <v>1000000</v>
      </c>
      <c r="V14" s="30">
        <f t="shared" ca="1" si="8"/>
        <v>5.5299999999999985E-3</v>
      </c>
      <c r="W14" s="28">
        <f t="shared" ca="1" si="9"/>
        <v>0</v>
      </c>
      <c r="X14" s="30">
        <f t="shared" ca="1" si="10"/>
        <v>5.5299999999999985E-3</v>
      </c>
      <c r="Y14" s="28">
        <f t="shared" ca="1" si="11"/>
        <v>0.25</v>
      </c>
      <c r="Z14" s="31">
        <f t="shared" ca="1" si="12"/>
        <v>0.98563837289319456</v>
      </c>
      <c r="AA14" s="29">
        <f t="shared" ca="1" si="13"/>
        <v>1362.6450505248411</v>
      </c>
      <c r="AC14" s="59"/>
    </row>
    <row r="15" spans="1:32" x14ac:dyDescent="0.3">
      <c r="D15" s="4">
        <f t="shared" ca="1" si="19"/>
        <v>10</v>
      </c>
      <c r="E15" s="26">
        <f t="shared" ca="1" si="20"/>
        <v>45933.625</v>
      </c>
      <c r="F15" s="27">
        <f t="shared" ca="1" si="14"/>
        <v>46116.25</v>
      </c>
      <c r="G15" s="27">
        <f t="shared" ca="1" si="15"/>
        <v>46116.25</v>
      </c>
      <c r="H15" s="28">
        <f t="shared" ca="1" si="16"/>
        <v>5</v>
      </c>
      <c r="I15" s="29">
        <f t="shared" ca="1" si="0"/>
        <v>1000000</v>
      </c>
      <c r="J15" s="30">
        <f t="shared" ca="1" si="1"/>
        <v>0.01</v>
      </c>
      <c r="K15" s="28">
        <f t="shared" ca="1" si="2"/>
        <v>0.5</v>
      </c>
      <c r="L15" s="31">
        <f t="shared" ca="1" si="21"/>
        <v>0.95847580545761224</v>
      </c>
      <c r="M15" s="29">
        <f t="shared" ca="1" si="3"/>
        <v>4792.3790272880615</v>
      </c>
      <c r="N15" s="14" t="b">
        <f ca="1">IF(SUM(K$6:K14)+t_i&lt;=T,TRUE,FALSE)</f>
        <v>1</v>
      </c>
      <c r="O15" s="58">
        <f t="shared" ca="1" si="22"/>
        <v>10</v>
      </c>
      <c r="P15" s="26">
        <f t="shared" ca="1" si="4"/>
        <v>45111.8125</v>
      </c>
      <c r="Q15" s="27">
        <f t="shared" ca="1" si="17"/>
        <v>45111.8125</v>
      </c>
      <c r="R15" s="27">
        <f t="shared" ca="1" si="5"/>
        <v>45203.125</v>
      </c>
      <c r="S15" s="27">
        <f t="shared" ca="1" si="6"/>
        <v>45203.125</v>
      </c>
      <c r="T15" s="28">
        <f t="shared" ca="1" si="18"/>
        <v>2.5</v>
      </c>
      <c r="U15" s="29">
        <f t="shared" ca="1" si="7"/>
        <v>1000000</v>
      </c>
      <c r="V15" s="30">
        <f t="shared" ca="1" si="8"/>
        <v>5.9199999999999982E-3</v>
      </c>
      <c r="W15" s="28">
        <f t="shared" ca="1" si="9"/>
        <v>0</v>
      </c>
      <c r="X15" s="30">
        <f t="shared" ca="1" si="10"/>
        <v>5.9199999999999982E-3</v>
      </c>
      <c r="Y15" s="28">
        <f t="shared" ca="1" si="11"/>
        <v>0.25</v>
      </c>
      <c r="Z15" s="31">
        <f t="shared" ca="1" si="12"/>
        <v>0.98337266256471312</v>
      </c>
      <c r="AA15" s="29">
        <f t="shared" ca="1" si="13"/>
        <v>1455.391540595775</v>
      </c>
      <c r="AB15" s="114" t="s">
        <v>24</v>
      </c>
      <c r="AC15" s="59"/>
    </row>
    <row r="16" spans="1:32" x14ac:dyDescent="0.3">
      <c r="B16" s="5" t="s">
        <v>93</v>
      </c>
      <c r="D16" s="4">
        <f t="shared" ca="1" si="19"/>
        <v>11</v>
      </c>
      <c r="E16" s="26" t="str">
        <f t="shared" ca="1" si="20"/>
        <v/>
      </c>
      <c r="F16" s="27" t="str">
        <f t="shared" ca="1" si="14"/>
        <v/>
      </c>
      <c r="G16" s="27" t="str">
        <f t="shared" ca="1" si="15"/>
        <v/>
      </c>
      <c r="H16" s="28" t="str">
        <f t="shared" ca="1" si="16"/>
        <v/>
      </c>
      <c r="I16" s="29" t="str">
        <f t="shared" ca="1" si="0"/>
        <v/>
      </c>
      <c r="J16" s="30" t="str">
        <f t="shared" ca="1" si="1"/>
        <v/>
      </c>
      <c r="K16" s="28" t="str">
        <f t="shared" ca="1" si="2"/>
        <v/>
      </c>
      <c r="L16" s="31" t="str">
        <f t="shared" ca="1" si="21"/>
        <v/>
      </c>
      <c r="M16" s="29" t="str">
        <f t="shared" ca="1" si="3"/>
        <v/>
      </c>
      <c r="N16" s="14" t="b">
        <f ca="1">IF(SUM(K$6:K15)+t_i&lt;=T,TRUE,FALSE)</f>
        <v>0</v>
      </c>
      <c r="O16" s="58">
        <f t="shared" ca="1" si="22"/>
        <v>11</v>
      </c>
      <c r="P16" s="26">
        <f t="shared" ca="1" si="4"/>
        <v>45203.125</v>
      </c>
      <c r="Q16" s="27">
        <f t="shared" ca="1" si="17"/>
        <v>45203.125</v>
      </c>
      <c r="R16" s="27">
        <f t="shared" ca="1" si="5"/>
        <v>45294.4375</v>
      </c>
      <c r="S16" s="27">
        <f t="shared" ca="1" si="6"/>
        <v>45294.4375</v>
      </c>
      <c r="T16" s="28">
        <f t="shared" ca="1" si="18"/>
        <v>2.75</v>
      </c>
      <c r="U16" s="29">
        <f t="shared" ca="1" si="7"/>
        <v>1000000</v>
      </c>
      <c r="V16" s="30">
        <f t="shared" ca="1" si="8"/>
        <v>6.3099999999999979E-3</v>
      </c>
      <c r="W16" s="28">
        <f t="shared" ca="1" si="9"/>
        <v>0</v>
      </c>
      <c r="X16" s="30">
        <f t="shared" ca="1" si="10"/>
        <v>6.3099999999999979E-3</v>
      </c>
      <c r="Y16" s="28">
        <f t="shared" ca="1" si="11"/>
        <v>0.25</v>
      </c>
      <c r="Z16" s="31">
        <f t="shared" ca="1" si="12"/>
        <v>0.98100464722872571</v>
      </c>
      <c r="AA16" s="29">
        <f t="shared" ca="1" si="13"/>
        <v>1547.5348310033144</v>
      </c>
      <c r="AB16" s="13" t="b">
        <f ca="1">IF(t_j&lt;=T,TRUE,FALSE)</f>
        <v>1</v>
      </c>
      <c r="AC16" s="59"/>
    </row>
    <row r="17" spans="2:29" x14ac:dyDescent="0.3">
      <c r="B17" s="98" t="s">
        <v>116</v>
      </c>
      <c r="C17" s="89">
        <f ca="1">PV_Swap</f>
        <v>19280.560215669509</v>
      </c>
      <c r="D17" s="4">
        <f t="shared" ca="1" si="19"/>
        <v>12</v>
      </c>
      <c r="E17" s="26" t="str">
        <f t="shared" ca="1" si="20"/>
        <v/>
      </c>
      <c r="F17" s="27" t="str">
        <f t="shared" ca="1" si="14"/>
        <v/>
      </c>
      <c r="G17" s="27" t="str">
        <f t="shared" ca="1" si="15"/>
        <v/>
      </c>
      <c r="H17" s="28" t="str">
        <f t="shared" ca="1" si="16"/>
        <v/>
      </c>
      <c r="I17" s="29" t="str">
        <f t="shared" ca="1" si="0"/>
        <v/>
      </c>
      <c r="J17" s="30" t="str">
        <f t="shared" ca="1" si="1"/>
        <v/>
      </c>
      <c r="K17" s="28" t="str">
        <f t="shared" ca="1" si="2"/>
        <v/>
      </c>
      <c r="L17" s="31" t="str">
        <f t="shared" ca="1" si="21"/>
        <v/>
      </c>
      <c r="M17" s="29" t="str">
        <f t="shared" ca="1" si="3"/>
        <v/>
      </c>
      <c r="N17" s="14" t="b">
        <f ca="1">IF(SUM(K$6:K16)+t_i&lt;=T,TRUE,FALSE)</f>
        <v>0</v>
      </c>
      <c r="O17" s="58">
        <f t="shared" ca="1" si="22"/>
        <v>12</v>
      </c>
      <c r="P17" s="26">
        <f t="shared" ca="1" si="4"/>
        <v>45294.4375</v>
      </c>
      <c r="Q17" s="27">
        <f t="shared" ca="1" si="17"/>
        <v>45294.4375</v>
      </c>
      <c r="R17" s="27">
        <f t="shared" ca="1" si="5"/>
        <v>45385.75</v>
      </c>
      <c r="S17" s="27">
        <f t="shared" ca="1" si="6"/>
        <v>45385.75</v>
      </c>
      <c r="T17" s="28">
        <f t="shared" ca="1" si="18"/>
        <v>3</v>
      </c>
      <c r="U17" s="29">
        <f t="shared" ca="1" si="7"/>
        <v>1000000</v>
      </c>
      <c r="V17" s="30">
        <f t="shared" ca="1" si="8"/>
        <v>6.6999999999999976E-3</v>
      </c>
      <c r="W17" s="28">
        <f t="shared" ca="1" si="9"/>
        <v>0</v>
      </c>
      <c r="X17" s="30">
        <f t="shared" ca="1" si="10"/>
        <v>6.6999999999999976E-3</v>
      </c>
      <c r="Y17" s="28">
        <f t="shared" ca="1" si="11"/>
        <v>0.25</v>
      </c>
      <c r="Z17" s="31">
        <f t="shared" ca="1" si="12"/>
        <v>0.97978251292415208</v>
      </c>
      <c r="AA17" s="29">
        <f t="shared" ca="1" si="13"/>
        <v>1641.135709147954</v>
      </c>
      <c r="AB17" s="14" t="b">
        <f ca="1">IF(SUM(Y$6:Y6)+t_j&lt;=T,TRUE,FALSE)</f>
        <v>1</v>
      </c>
      <c r="AC17" s="59"/>
    </row>
    <row r="18" spans="2:29" x14ac:dyDescent="0.3">
      <c r="B18" s="99" t="s">
        <v>94</v>
      </c>
      <c r="C18" s="90">
        <f ca="1">PV_FixedLeg</f>
        <v>49010.295204946364</v>
      </c>
      <c r="D18" s="4">
        <f t="shared" ca="1" si="19"/>
        <v>13</v>
      </c>
      <c r="E18" s="26" t="str">
        <f t="shared" ca="1" si="20"/>
        <v/>
      </c>
      <c r="F18" s="27" t="str">
        <f t="shared" ca="1" si="14"/>
        <v/>
      </c>
      <c r="G18" s="27" t="str">
        <f t="shared" ca="1" si="15"/>
        <v/>
      </c>
      <c r="H18" s="28" t="str">
        <f t="shared" ca="1" si="16"/>
        <v/>
      </c>
      <c r="I18" s="29" t="str">
        <f t="shared" ca="1" si="0"/>
        <v/>
      </c>
      <c r="J18" s="30" t="str">
        <f t="shared" ca="1" si="1"/>
        <v/>
      </c>
      <c r="K18" s="28" t="str">
        <f t="shared" ca="1" si="2"/>
        <v/>
      </c>
      <c r="L18" s="31" t="str">
        <f t="shared" ca="1" si="21"/>
        <v/>
      </c>
      <c r="M18" s="29" t="str">
        <f t="shared" ca="1" si="3"/>
        <v/>
      </c>
      <c r="N18" s="14" t="b">
        <f ca="1">IF(SUM(K$6:K17)+t_i&lt;=T,TRUE,FALSE)</f>
        <v>0</v>
      </c>
      <c r="O18" s="58">
        <f t="shared" ca="1" si="22"/>
        <v>13</v>
      </c>
      <c r="P18" s="26">
        <f t="shared" ca="1" si="4"/>
        <v>45385.75</v>
      </c>
      <c r="Q18" s="27">
        <f t="shared" ca="1" si="17"/>
        <v>45385.75</v>
      </c>
      <c r="R18" s="27">
        <f t="shared" ca="1" si="5"/>
        <v>45477.0625</v>
      </c>
      <c r="S18" s="27">
        <f t="shared" ca="1" si="6"/>
        <v>45477.0625</v>
      </c>
      <c r="T18" s="28">
        <f t="shared" ca="1" si="18"/>
        <v>3.25</v>
      </c>
      <c r="U18" s="29">
        <f t="shared" ca="1" si="7"/>
        <v>1000000</v>
      </c>
      <c r="V18" s="30">
        <f t="shared" ca="1" si="8"/>
        <v>6.8949999999999975E-3</v>
      </c>
      <c r="W18" s="28">
        <f t="shared" ca="1" si="9"/>
        <v>0</v>
      </c>
      <c r="X18" s="30">
        <f t="shared" ca="1" si="10"/>
        <v>6.8949999999999975E-3</v>
      </c>
      <c r="Y18" s="28">
        <f t="shared" ca="1" si="11"/>
        <v>0.25</v>
      </c>
      <c r="Z18" s="31">
        <f t="shared" ca="1" si="12"/>
        <v>0.97726248377327707</v>
      </c>
      <c r="AA18" s="29">
        <f t="shared" ca="1" si="13"/>
        <v>1684.5562064041858</v>
      </c>
      <c r="AB18" s="14" t="b">
        <f ca="1">IF(SUM(Y$6:Y7)+t_j&lt;=T,TRUE,FALSE)</f>
        <v>1</v>
      </c>
      <c r="AC18" s="59"/>
    </row>
    <row r="19" spans="2:29" x14ac:dyDescent="0.3">
      <c r="B19" s="99" t="s">
        <v>95</v>
      </c>
      <c r="C19" s="90">
        <f ca="1">PV_FloatLeg</f>
        <v>-29729.734989276854</v>
      </c>
      <c r="D19" s="4">
        <f t="shared" ca="1" si="19"/>
        <v>14</v>
      </c>
      <c r="E19" s="26" t="str">
        <f t="shared" ca="1" si="20"/>
        <v/>
      </c>
      <c r="F19" s="27" t="str">
        <f t="shared" ca="1" si="14"/>
        <v/>
      </c>
      <c r="G19" s="27" t="str">
        <f t="shared" ca="1" si="15"/>
        <v/>
      </c>
      <c r="H19" s="28" t="str">
        <f t="shared" ca="1" si="16"/>
        <v/>
      </c>
      <c r="I19" s="29" t="str">
        <f t="shared" ca="1" si="0"/>
        <v/>
      </c>
      <c r="J19" s="30" t="str">
        <f t="shared" ca="1" si="1"/>
        <v/>
      </c>
      <c r="K19" s="28" t="str">
        <f t="shared" ca="1" si="2"/>
        <v/>
      </c>
      <c r="L19" s="31" t="str">
        <f t="shared" ca="1" si="21"/>
        <v/>
      </c>
      <c r="M19" s="29" t="str">
        <f t="shared" ca="1" si="3"/>
        <v/>
      </c>
      <c r="N19" s="14" t="b">
        <f ca="1">IF(SUM(K$6:K18)+t_i&lt;=T,TRUE,FALSE)</f>
        <v>0</v>
      </c>
      <c r="O19" s="58">
        <f t="shared" ca="1" si="22"/>
        <v>14</v>
      </c>
      <c r="P19" s="26">
        <f t="shared" ca="1" si="4"/>
        <v>45477.0625</v>
      </c>
      <c r="Q19" s="27">
        <f t="shared" ca="1" si="17"/>
        <v>45477.0625</v>
      </c>
      <c r="R19" s="27">
        <f t="shared" ca="1" si="5"/>
        <v>45568.375</v>
      </c>
      <c r="S19" s="27">
        <f t="shared" ca="1" si="6"/>
        <v>45568.375</v>
      </c>
      <c r="T19" s="28">
        <f t="shared" ca="1" si="18"/>
        <v>3.5</v>
      </c>
      <c r="U19" s="29">
        <f t="shared" ca="1" si="7"/>
        <v>1000000</v>
      </c>
      <c r="V19" s="30">
        <f t="shared" ca="1" si="8"/>
        <v>7.2849999999999972E-3</v>
      </c>
      <c r="W19" s="28">
        <f t="shared" ca="1" si="9"/>
        <v>0</v>
      </c>
      <c r="X19" s="30">
        <f t="shared" ca="1" si="10"/>
        <v>7.2849999999999972E-3</v>
      </c>
      <c r="Y19" s="28">
        <f t="shared" ca="1" si="11"/>
        <v>0.25</v>
      </c>
      <c r="Z19" s="31">
        <f t="shared" ca="1" si="12"/>
        <v>0.97464212026255903</v>
      </c>
      <c r="AA19" s="29">
        <f t="shared" ca="1" si="13"/>
        <v>1775.0669615281849</v>
      </c>
      <c r="AB19" s="14" t="b">
        <f ca="1">IF(SUM(Y$6:Y8)+t_j&lt;=T,TRUE,FALSE)</f>
        <v>1</v>
      </c>
      <c r="AC19" s="59"/>
    </row>
    <row r="20" spans="2:29" x14ac:dyDescent="0.3">
      <c r="B20" s="100" t="s">
        <v>102</v>
      </c>
      <c r="C20" s="105">
        <f ca="1">p</f>
        <v>6.0660183467485772E-3</v>
      </c>
      <c r="D20" s="4">
        <f t="shared" ca="1" si="19"/>
        <v>15</v>
      </c>
      <c r="E20" s="26" t="str">
        <f t="shared" ca="1" si="20"/>
        <v/>
      </c>
      <c r="F20" s="27" t="str">
        <f t="shared" ca="1" si="14"/>
        <v/>
      </c>
      <c r="G20" s="27" t="str">
        <f t="shared" ca="1" si="15"/>
        <v/>
      </c>
      <c r="H20" s="28" t="str">
        <f t="shared" ca="1" si="16"/>
        <v/>
      </c>
      <c r="I20" s="29" t="str">
        <f t="shared" ca="1" si="0"/>
        <v/>
      </c>
      <c r="J20" s="30" t="str">
        <f t="shared" ca="1" si="1"/>
        <v/>
      </c>
      <c r="K20" s="28" t="str">
        <f t="shared" ca="1" si="2"/>
        <v/>
      </c>
      <c r="L20" s="31" t="str">
        <f t="shared" ca="1" si="21"/>
        <v/>
      </c>
      <c r="M20" s="29" t="str">
        <f t="shared" ca="1" si="3"/>
        <v/>
      </c>
      <c r="N20" s="14" t="b">
        <f ca="1">IF(SUM(K$6:K19)+t_i&lt;=T,TRUE,FALSE)</f>
        <v>0</v>
      </c>
      <c r="O20" s="58">
        <f t="shared" ca="1" si="22"/>
        <v>15</v>
      </c>
      <c r="P20" s="26">
        <f t="shared" ca="1" si="4"/>
        <v>45568.375</v>
      </c>
      <c r="Q20" s="27">
        <f t="shared" ca="1" si="17"/>
        <v>45568.375</v>
      </c>
      <c r="R20" s="27">
        <f t="shared" ca="1" si="5"/>
        <v>45659.6875</v>
      </c>
      <c r="S20" s="27">
        <f t="shared" ca="1" si="6"/>
        <v>45659.6875</v>
      </c>
      <c r="T20" s="28">
        <f t="shared" ca="1" si="18"/>
        <v>3.75</v>
      </c>
      <c r="U20" s="29">
        <f t="shared" ca="1" si="7"/>
        <v>1000000</v>
      </c>
      <c r="V20" s="30">
        <f t="shared" ca="1" si="8"/>
        <v>7.6749999999999969E-3</v>
      </c>
      <c r="W20" s="28">
        <f t="shared" ca="1" si="9"/>
        <v>0</v>
      </c>
      <c r="X20" s="30">
        <f t="shared" ca="1" si="10"/>
        <v>7.6749999999999969E-3</v>
      </c>
      <c r="Y20" s="28">
        <f t="shared" ca="1" si="11"/>
        <v>0.25</v>
      </c>
      <c r="Z20" s="31">
        <f t="shared" ca="1" si="12"/>
        <v>0.97192226494640055</v>
      </c>
      <c r="AA20" s="29">
        <f t="shared" ca="1" si="13"/>
        <v>1864.8758458659054</v>
      </c>
      <c r="AB20" s="14" t="b">
        <f ca="1">IF(SUM(Y$6:Y9)+t_j&lt;=T,TRUE,FALSE)</f>
        <v>1</v>
      </c>
      <c r="AC20" s="59"/>
    </row>
    <row r="21" spans="2:29" x14ac:dyDescent="0.3">
      <c r="D21" s="4">
        <f t="shared" ca="1" si="19"/>
        <v>16</v>
      </c>
      <c r="E21" s="26" t="str">
        <f t="shared" ca="1" si="20"/>
        <v/>
      </c>
      <c r="F21" s="27" t="str">
        <f t="shared" ca="1" si="14"/>
        <v/>
      </c>
      <c r="G21" s="27" t="str">
        <f t="shared" ca="1" si="15"/>
        <v/>
      </c>
      <c r="H21" s="28" t="str">
        <f t="shared" ca="1" si="16"/>
        <v/>
      </c>
      <c r="I21" s="29" t="str">
        <f t="shared" ca="1" si="0"/>
        <v/>
      </c>
      <c r="J21" s="30" t="str">
        <f t="shared" ca="1" si="1"/>
        <v/>
      </c>
      <c r="K21" s="28" t="str">
        <f t="shared" ca="1" si="2"/>
        <v/>
      </c>
      <c r="L21" s="31" t="str">
        <f t="shared" ca="1" si="21"/>
        <v/>
      </c>
      <c r="M21" s="29" t="str">
        <f t="shared" ca="1" si="3"/>
        <v/>
      </c>
      <c r="N21" s="14" t="b">
        <f ca="1">IF(SUM(K$6:K20)+t_i&lt;=T,TRUE,FALSE)</f>
        <v>0</v>
      </c>
      <c r="O21" s="58">
        <f t="shared" ca="1" si="22"/>
        <v>16</v>
      </c>
      <c r="P21" s="26">
        <f t="shared" ca="1" si="4"/>
        <v>45659.6875</v>
      </c>
      <c r="Q21" s="27">
        <f t="shared" ca="1" si="17"/>
        <v>45659.6875</v>
      </c>
      <c r="R21" s="27">
        <f t="shared" ca="1" si="5"/>
        <v>45751</v>
      </c>
      <c r="S21" s="27">
        <f t="shared" ca="1" si="6"/>
        <v>45751</v>
      </c>
      <c r="T21" s="28">
        <f t="shared" ca="1" si="18"/>
        <v>4</v>
      </c>
      <c r="U21" s="29">
        <f t="shared" ca="1" si="7"/>
        <v>1000000</v>
      </c>
      <c r="V21" s="30">
        <f t="shared" ca="1" si="8"/>
        <v>8.0649999999999975E-3</v>
      </c>
      <c r="W21" s="28">
        <f t="shared" ca="1" si="9"/>
        <v>0</v>
      </c>
      <c r="X21" s="30">
        <f t="shared" ca="1" si="10"/>
        <v>8.0649999999999975E-3</v>
      </c>
      <c r="Y21" s="28">
        <f t="shared" ca="1" si="11"/>
        <v>0.25</v>
      </c>
      <c r="Z21" s="31">
        <f t="shared" ca="1" si="12"/>
        <v>0.96910379073683905</v>
      </c>
      <c r="AA21" s="29">
        <f t="shared" ca="1" si="13"/>
        <v>1953.9555180731511</v>
      </c>
      <c r="AB21" s="14" t="b">
        <f ca="1">IF(SUM(Y$6:Y10)+t_j&lt;=T,TRUE,FALSE)</f>
        <v>1</v>
      </c>
      <c r="AC21" s="59"/>
    </row>
    <row r="22" spans="2:29" x14ac:dyDescent="0.3">
      <c r="B22" s="5" t="s">
        <v>91</v>
      </c>
      <c r="D22" s="4">
        <f t="shared" ca="1" si="19"/>
        <v>17</v>
      </c>
      <c r="E22" s="26" t="str">
        <f t="shared" ca="1" si="20"/>
        <v/>
      </c>
      <c r="F22" s="27" t="str">
        <f t="shared" ca="1" si="14"/>
        <v/>
      </c>
      <c r="G22" s="27" t="str">
        <f t="shared" ca="1" si="15"/>
        <v/>
      </c>
      <c r="H22" s="28" t="str">
        <f t="shared" ca="1" si="16"/>
        <v/>
      </c>
      <c r="I22" s="29" t="str">
        <f t="shared" ca="1" si="0"/>
        <v/>
      </c>
      <c r="J22" s="30" t="str">
        <f t="shared" ca="1" si="1"/>
        <v/>
      </c>
      <c r="K22" s="28" t="str">
        <f t="shared" ca="1" si="2"/>
        <v/>
      </c>
      <c r="L22" s="31" t="str">
        <f t="shared" ca="1" si="21"/>
        <v/>
      </c>
      <c r="M22" s="29" t="str">
        <f t="shared" ca="1" si="3"/>
        <v/>
      </c>
      <c r="N22" s="14" t="b">
        <f ca="1">IF(SUM(K$6:K21)+t_i&lt;=T,TRUE,FALSE)</f>
        <v>0</v>
      </c>
      <c r="O22" s="58">
        <f t="shared" ca="1" si="22"/>
        <v>17</v>
      </c>
      <c r="P22" s="26">
        <f t="shared" ca="1" si="4"/>
        <v>45751</v>
      </c>
      <c r="Q22" s="27">
        <f t="shared" ca="1" si="17"/>
        <v>45751</v>
      </c>
      <c r="R22" s="27">
        <f t="shared" ca="1" si="5"/>
        <v>45842.3125</v>
      </c>
      <c r="S22" s="27">
        <f t="shared" ca="1" si="6"/>
        <v>45842.3125</v>
      </c>
      <c r="T22" s="28">
        <f t="shared" ca="1" si="18"/>
        <v>4.25</v>
      </c>
      <c r="U22" s="29">
        <f t="shared" ca="1" si="7"/>
        <v>1000000</v>
      </c>
      <c r="V22" s="30">
        <f t="shared" ca="1" si="8"/>
        <v>8.454999999999999E-3</v>
      </c>
      <c r="W22" s="28">
        <f t="shared" ca="1" si="9"/>
        <v>0</v>
      </c>
      <c r="X22" s="30">
        <f t="shared" ca="1" si="10"/>
        <v>8.454999999999999E-3</v>
      </c>
      <c r="Y22" s="28">
        <f t="shared" ca="1" si="11"/>
        <v>0.25</v>
      </c>
      <c r="Z22" s="31">
        <f t="shared" ca="1" si="12"/>
        <v>0.96618760043675311</v>
      </c>
      <c r="AA22" s="29">
        <f t="shared" ca="1" si="13"/>
        <v>2042.2790404231864</v>
      </c>
      <c r="AB22" s="14" t="b">
        <f ca="1">IF(SUM(Y$6:Y11)+t_j&lt;=T,TRUE,FALSE)</f>
        <v>1</v>
      </c>
      <c r="AC22" s="59"/>
    </row>
    <row r="23" spans="2:29" x14ac:dyDescent="0.3">
      <c r="B23" s="98" t="s">
        <v>72</v>
      </c>
      <c r="C23" s="89">
        <f ca="1">PV01_</f>
        <v>490.10295204946379</v>
      </c>
      <c r="D23" s="4">
        <f t="shared" ca="1" si="19"/>
        <v>18</v>
      </c>
      <c r="E23" s="26" t="str">
        <f t="shared" ca="1" si="20"/>
        <v/>
      </c>
      <c r="F23" s="27" t="str">
        <f t="shared" ca="1" si="14"/>
        <v/>
      </c>
      <c r="G23" s="27" t="str">
        <f t="shared" ca="1" si="15"/>
        <v/>
      </c>
      <c r="H23" s="28" t="str">
        <f t="shared" ca="1" si="16"/>
        <v/>
      </c>
      <c r="I23" s="29" t="str">
        <f t="shared" ca="1" si="0"/>
        <v/>
      </c>
      <c r="J23" s="30" t="str">
        <f t="shared" ca="1" si="1"/>
        <v/>
      </c>
      <c r="K23" s="28" t="str">
        <f t="shared" ca="1" si="2"/>
        <v/>
      </c>
      <c r="L23" s="31" t="str">
        <f t="shared" ca="1" si="21"/>
        <v/>
      </c>
      <c r="M23" s="29" t="str">
        <f t="shared" ca="1" si="3"/>
        <v/>
      </c>
      <c r="N23" s="14" t="b">
        <f ca="1">IF(SUM(K$6:K22)+t_i&lt;=T,TRUE,FALSE)</f>
        <v>0</v>
      </c>
      <c r="O23" s="58">
        <f t="shared" ca="1" si="22"/>
        <v>18</v>
      </c>
      <c r="P23" s="26">
        <f t="shared" ca="1" si="4"/>
        <v>45842.3125</v>
      </c>
      <c r="Q23" s="27">
        <f t="shared" ca="1" si="17"/>
        <v>45842.3125</v>
      </c>
      <c r="R23" s="27">
        <f t="shared" ca="1" si="5"/>
        <v>45933.625</v>
      </c>
      <c r="S23" s="27">
        <f t="shared" ca="1" si="6"/>
        <v>45933.625</v>
      </c>
      <c r="T23" s="28">
        <f t="shared" ca="1" si="18"/>
        <v>4.5</v>
      </c>
      <c r="U23" s="29">
        <f t="shared" ca="1" si="7"/>
        <v>1000000</v>
      </c>
      <c r="V23" s="30">
        <f t="shared" ca="1" si="8"/>
        <v>8.8450000000000004E-3</v>
      </c>
      <c r="W23" s="28">
        <f t="shared" ca="1" si="9"/>
        <v>0</v>
      </c>
      <c r="X23" s="30">
        <f t="shared" ca="1" si="10"/>
        <v>8.8450000000000004E-3</v>
      </c>
      <c r="Y23" s="28">
        <f t="shared" ca="1" si="11"/>
        <v>0.25</v>
      </c>
      <c r="Z23" s="31">
        <f t="shared" ca="1" si="12"/>
        <v>0.96469315193366922</v>
      </c>
      <c r="AA23" s="29">
        <f t="shared" ca="1" si="13"/>
        <v>2133.1777322133262</v>
      </c>
      <c r="AB23" s="14" t="b">
        <f ca="1">IF(SUM(Y$6:Y12)+t_j&lt;=T,TRUE,FALSE)</f>
        <v>1</v>
      </c>
      <c r="AC23" s="59"/>
    </row>
    <row r="24" spans="2:29" x14ac:dyDescent="0.3">
      <c r="B24" s="99" t="s">
        <v>98</v>
      </c>
      <c r="C24" s="90">
        <f ca="1">NumericalDV01</f>
        <v>494.72923064363204</v>
      </c>
      <c r="D24" s="4">
        <f t="shared" ca="1" si="19"/>
        <v>19</v>
      </c>
      <c r="E24" s="26" t="str">
        <f t="shared" ca="1" si="20"/>
        <v/>
      </c>
      <c r="F24" s="27" t="str">
        <f t="shared" ca="1" si="14"/>
        <v/>
      </c>
      <c r="G24" s="27" t="str">
        <f t="shared" ca="1" si="15"/>
        <v/>
      </c>
      <c r="H24" s="28" t="str">
        <f t="shared" ca="1" si="16"/>
        <v/>
      </c>
      <c r="I24" s="29" t="str">
        <f t="shared" ca="1" si="0"/>
        <v/>
      </c>
      <c r="J24" s="30" t="str">
        <f t="shared" ca="1" si="1"/>
        <v/>
      </c>
      <c r="K24" s="28" t="str">
        <f t="shared" ca="1" si="2"/>
        <v/>
      </c>
      <c r="L24" s="31" t="str">
        <f t="shared" ca="1" si="21"/>
        <v/>
      </c>
      <c r="M24" s="29" t="str">
        <f t="shared" ca="1" si="3"/>
        <v/>
      </c>
      <c r="N24" s="14" t="b">
        <f ca="1">IF(SUM(K$6:K23)+t_i&lt;=T,TRUE,FALSE)</f>
        <v>0</v>
      </c>
      <c r="O24" s="58">
        <f t="shared" ca="1" si="22"/>
        <v>19</v>
      </c>
      <c r="P24" s="26">
        <f t="shared" ca="1" si="4"/>
        <v>45933.625</v>
      </c>
      <c r="Q24" s="27">
        <f t="shared" ca="1" si="17"/>
        <v>45933.625</v>
      </c>
      <c r="R24" s="27">
        <f t="shared" ca="1" si="5"/>
        <v>46024.9375</v>
      </c>
      <c r="S24" s="27">
        <f t="shared" ca="1" si="6"/>
        <v>46024.9375</v>
      </c>
      <c r="T24" s="28">
        <f t="shared" ca="1" si="18"/>
        <v>4.75</v>
      </c>
      <c r="U24" s="29">
        <f t="shared" ca="1" si="7"/>
        <v>1000000</v>
      </c>
      <c r="V24" s="30">
        <f t="shared" ca="1" si="8"/>
        <v>9.0400000000000012E-3</v>
      </c>
      <c r="W24" s="28">
        <f t="shared" ca="1" si="9"/>
        <v>0</v>
      </c>
      <c r="X24" s="30">
        <f t="shared" ca="1" si="10"/>
        <v>9.0400000000000012E-3</v>
      </c>
      <c r="Y24" s="28">
        <f t="shared" ca="1" si="11"/>
        <v>0.25</v>
      </c>
      <c r="Z24" s="31">
        <f t="shared" ca="1" si="12"/>
        <v>0.96163214445006229</v>
      </c>
      <c r="AA24" s="29">
        <f t="shared" ca="1" si="13"/>
        <v>2173.2886464571411</v>
      </c>
      <c r="AB24" s="14" t="b">
        <f ca="1">IF(SUM(Y$6:Y13)+t_j&lt;=T,TRUE,FALSE)</f>
        <v>1</v>
      </c>
      <c r="AC24" s="59"/>
    </row>
    <row r="25" spans="2:29" x14ac:dyDescent="0.3">
      <c r="B25" s="99" t="s">
        <v>103</v>
      </c>
      <c r="C25" s="90">
        <f ca="1">AnalyticalDV01</f>
        <v>495.40166088877731</v>
      </c>
      <c r="D25" s="4">
        <f t="shared" ca="1" si="19"/>
        <v>20</v>
      </c>
      <c r="E25" s="26" t="str">
        <f t="shared" ca="1" si="20"/>
        <v/>
      </c>
      <c r="F25" s="27" t="str">
        <f t="shared" ca="1" si="14"/>
        <v/>
      </c>
      <c r="G25" s="27" t="str">
        <f t="shared" ca="1" si="15"/>
        <v/>
      </c>
      <c r="H25" s="28" t="str">
        <f t="shared" ca="1" si="16"/>
        <v/>
      </c>
      <c r="I25" s="29" t="str">
        <f t="shared" ca="1" si="0"/>
        <v/>
      </c>
      <c r="J25" s="30" t="str">
        <f t="shared" ca="1" si="1"/>
        <v/>
      </c>
      <c r="K25" s="28" t="str">
        <f t="shared" ca="1" si="2"/>
        <v/>
      </c>
      <c r="L25" s="31" t="str">
        <f t="shared" ca="1" si="21"/>
        <v/>
      </c>
      <c r="M25" s="29" t="str">
        <f t="shared" ca="1" si="3"/>
        <v/>
      </c>
      <c r="N25" s="14" t="b">
        <f ca="1">IF(SUM(K$6:K24)+t_i&lt;=T,TRUE,FALSE)</f>
        <v>0</v>
      </c>
      <c r="O25" s="58">
        <f t="shared" ca="1" si="22"/>
        <v>20</v>
      </c>
      <c r="P25" s="26">
        <f t="shared" ca="1" si="4"/>
        <v>46024.9375</v>
      </c>
      <c r="Q25" s="27">
        <f t="shared" ca="1" si="17"/>
        <v>46024.9375</v>
      </c>
      <c r="R25" s="27">
        <f t="shared" ca="1" si="5"/>
        <v>46116.25</v>
      </c>
      <c r="S25" s="27">
        <f t="shared" ca="1" si="6"/>
        <v>46116.25</v>
      </c>
      <c r="T25" s="28">
        <f t="shared" ca="1" si="18"/>
        <v>5</v>
      </c>
      <c r="U25" s="29">
        <f t="shared" ca="1" si="7"/>
        <v>1000000</v>
      </c>
      <c r="V25" s="30">
        <f t="shared" ca="1" si="8"/>
        <v>9.4300000000000026E-3</v>
      </c>
      <c r="W25" s="28">
        <f t="shared" ca="1" si="9"/>
        <v>0</v>
      </c>
      <c r="X25" s="30">
        <f t="shared" ca="1" si="10"/>
        <v>9.4300000000000026E-3</v>
      </c>
      <c r="Y25" s="28">
        <f t="shared" ca="1" si="11"/>
        <v>0.25</v>
      </c>
      <c r="Z25" s="31">
        <f t="shared" ca="1" si="12"/>
        <v>0.95847580545761224</v>
      </c>
      <c r="AA25" s="29">
        <f t="shared" ca="1" si="13"/>
        <v>2259.6067113663212</v>
      </c>
      <c r="AB25" s="14" t="b">
        <f ca="1">IF(SUM(Y$6:Y14)+t_j&lt;=T,TRUE,FALSE)</f>
        <v>1</v>
      </c>
      <c r="AC25" s="59"/>
    </row>
    <row r="26" spans="2:29" x14ac:dyDescent="0.3">
      <c r="B26" s="100" t="s">
        <v>99</v>
      </c>
      <c r="C26" s="91">
        <f ca="1">C25-C24</f>
        <v>0.6724302451452786</v>
      </c>
      <c r="D26" s="4">
        <f t="shared" ca="1" si="19"/>
        <v>21</v>
      </c>
      <c r="E26" s="26" t="str">
        <f t="shared" ca="1" si="20"/>
        <v/>
      </c>
      <c r="F26" s="27" t="str">
        <f t="shared" ca="1" si="14"/>
        <v/>
      </c>
      <c r="G26" s="27" t="str">
        <f t="shared" ca="1" si="15"/>
        <v/>
      </c>
      <c r="H26" s="28" t="str">
        <f t="shared" ca="1" si="16"/>
        <v/>
      </c>
      <c r="I26" s="29" t="str">
        <f t="shared" ca="1" si="0"/>
        <v/>
      </c>
      <c r="J26" s="30" t="str">
        <f t="shared" ca="1" si="1"/>
        <v/>
      </c>
      <c r="K26" s="28" t="str">
        <f t="shared" ca="1" si="2"/>
        <v/>
      </c>
      <c r="L26" s="31" t="str">
        <f t="shared" ca="1" si="21"/>
        <v/>
      </c>
      <c r="M26" s="29" t="str">
        <f t="shared" ca="1" si="3"/>
        <v/>
      </c>
      <c r="N26" s="14" t="b">
        <f ca="1">IF(SUM(K$6:K25)+t_i&lt;=T,TRUE,FALSE)</f>
        <v>0</v>
      </c>
      <c r="O26" s="58">
        <f t="shared" ca="1" si="22"/>
        <v>21</v>
      </c>
      <c r="P26" s="26" t="str">
        <f t="shared" ca="1" si="4"/>
        <v/>
      </c>
      <c r="Q26" s="27" t="str">
        <f t="shared" ca="1" si="17"/>
        <v/>
      </c>
      <c r="R26" s="27" t="str">
        <f t="shared" ca="1" si="5"/>
        <v/>
      </c>
      <c r="S26" s="27" t="str">
        <f t="shared" ca="1" si="6"/>
        <v/>
      </c>
      <c r="T26" s="28" t="str">
        <f t="shared" ca="1" si="18"/>
        <v/>
      </c>
      <c r="U26" s="29" t="str">
        <f t="shared" ca="1" si="7"/>
        <v/>
      </c>
      <c r="V26" s="30" t="str">
        <f t="shared" ca="1" si="8"/>
        <v/>
      </c>
      <c r="W26" s="28" t="str">
        <f t="shared" ca="1" si="9"/>
        <v/>
      </c>
      <c r="X26" s="30" t="str">
        <f t="shared" ca="1" si="10"/>
        <v/>
      </c>
      <c r="Y26" s="28" t="str">
        <f t="shared" ca="1" si="11"/>
        <v/>
      </c>
      <c r="Z26" s="31" t="str">
        <f t="shared" ca="1" si="12"/>
        <v/>
      </c>
      <c r="AA26" s="29" t="str">
        <f t="shared" ca="1" si="13"/>
        <v/>
      </c>
      <c r="AB26" s="14" t="b">
        <f ca="1">IF(SUM(Y$6:Y15)+t_j&lt;=T,TRUE,FALSE)</f>
        <v>1</v>
      </c>
      <c r="AC26" s="59"/>
    </row>
    <row r="27" spans="2:29" x14ac:dyDescent="0.3">
      <c r="D27" s="4">
        <f t="shared" ca="1" si="19"/>
        <v>22</v>
      </c>
      <c r="E27" s="26" t="str">
        <f t="shared" ca="1" si="20"/>
        <v/>
      </c>
      <c r="F27" s="27" t="str">
        <f t="shared" ca="1" si="14"/>
        <v/>
      </c>
      <c r="G27" s="27" t="str">
        <f t="shared" ca="1" si="15"/>
        <v/>
      </c>
      <c r="H27" s="28" t="str">
        <f t="shared" ca="1" si="16"/>
        <v/>
      </c>
      <c r="I27" s="29" t="str">
        <f t="shared" ca="1" si="0"/>
        <v/>
      </c>
      <c r="J27" s="30" t="str">
        <f t="shared" ca="1" si="1"/>
        <v/>
      </c>
      <c r="K27" s="28" t="str">
        <f t="shared" ca="1" si="2"/>
        <v/>
      </c>
      <c r="L27" s="31" t="str">
        <f t="shared" ca="1" si="21"/>
        <v/>
      </c>
      <c r="M27" s="29" t="str">
        <f t="shared" ca="1" si="3"/>
        <v/>
      </c>
      <c r="N27" s="14" t="b">
        <f ca="1">IF(SUM(K$6:K26)+t_i&lt;=T,TRUE,FALSE)</f>
        <v>0</v>
      </c>
      <c r="O27" s="58">
        <f t="shared" ca="1" si="22"/>
        <v>22</v>
      </c>
      <c r="P27" s="26" t="str">
        <f t="shared" ca="1" si="4"/>
        <v/>
      </c>
      <c r="Q27" s="27" t="str">
        <f t="shared" ca="1" si="17"/>
        <v/>
      </c>
      <c r="R27" s="27" t="str">
        <f t="shared" ca="1" si="5"/>
        <v/>
      </c>
      <c r="S27" s="27" t="str">
        <f t="shared" ca="1" si="6"/>
        <v/>
      </c>
      <c r="T27" s="28" t="str">
        <f t="shared" ca="1" si="18"/>
        <v/>
      </c>
      <c r="U27" s="29" t="str">
        <f t="shared" ca="1" si="7"/>
        <v/>
      </c>
      <c r="V27" s="30" t="str">
        <f t="shared" ca="1" si="8"/>
        <v/>
      </c>
      <c r="W27" s="28" t="str">
        <f t="shared" ca="1" si="9"/>
        <v/>
      </c>
      <c r="X27" s="30" t="str">
        <f t="shared" ca="1" si="10"/>
        <v/>
      </c>
      <c r="Y27" s="28" t="str">
        <f t="shared" ca="1" si="11"/>
        <v/>
      </c>
      <c r="Z27" s="31" t="str">
        <f t="shared" ca="1" si="12"/>
        <v/>
      </c>
      <c r="AA27" s="29" t="str">
        <f t="shared" ca="1" si="13"/>
        <v/>
      </c>
      <c r="AB27" s="14" t="b">
        <f ca="1">IF(SUM(Y$6:Y16)+t_j&lt;=T,TRUE,FALSE)</f>
        <v>1</v>
      </c>
      <c r="AC27" s="59"/>
    </row>
    <row r="28" spans="2:29" x14ac:dyDescent="0.3">
      <c r="B28" s="5" t="s">
        <v>104</v>
      </c>
      <c r="D28" s="4">
        <f t="shared" ca="1" si="19"/>
        <v>23</v>
      </c>
      <c r="E28" s="26" t="str">
        <f t="shared" ca="1" si="20"/>
        <v/>
      </c>
      <c r="F28" s="27" t="str">
        <f t="shared" ca="1" si="14"/>
        <v/>
      </c>
      <c r="G28" s="27" t="str">
        <f t="shared" ca="1" si="15"/>
        <v/>
      </c>
      <c r="H28" s="28" t="str">
        <f t="shared" ca="1" si="16"/>
        <v/>
      </c>
      <c r="I28" s="29" t="str">
        <f t="shared" ca="1" si="0"/>
        <v/>
      </c>
      <c r="J28" s="30" t="str">
        <f t="shared" ca="1" si="1"/>
        <v/>
      </c>
      <c r="K28" s="28" t="str">
        <f t="shared" ca="1" si="2"/>
        <v/>
      </c>
      <c r="L28" s="31" t="str">
        <f t="shared" ca="1" si="21"/>
        <v/>
      </c>
      <c r="M28" s="29" t="str">
        <f t="shared" ca="1" si="3"/>
        <v/>
      </c>
      <c r="N28" s="14" t="b">
        <f ca="1">IF(SUM(K$6:K27)+t_i&lt;=T,TRUE,FALSE)</f>
        <v>0</v>
      </c>
      <c r="O28" s="58">
        <f t="shared" ca="1" si="22"/>
        <v>23</v>
      </c>
      <c r="P28" s="26" t="str">
        <f t="shared" ca="1" si="4"/>
        <v/>
      </c>
      <c r="Q28" s="27" t="str">
        <f t="shared" ca="1" si="17"/>
        <v/>
      </c>
      <c r="R28" s="27" t="str">
        <f t="shared" ca="1" si="5"/>
        <v/>
      </c>
      <c r="S28" s="27" t="str">
        <f t="shared" ca="1" si="6"/>
        <v/>
      </c>
      <c r="T28" s="28" t="str">
        <f t="shared" ca="1" si="18"/>
        <v/>
      </c>
      <c r="U28" s="29" t="str">
        <f t="shared" ca="1" si="7"/>
        <v/>
      </c>
      <c r="V28" s="30" t="str">
        <f t="shared" ca="1" si="8"/>
        <v/>
      </c>
      <c r="W28" s="28" t="str">
        <f t="shared" ca="1" si="9"/>
        <v/>
      </c>
      <c r="X28" s="30" t="str">
        <f t="shared" ca="1" si="10"/>
        <v/>
      </c>
      <c r="Y28" s="28" t="str">
        <f t="shared" ca="1" si="11"/>
        <v/>
      </c>
      <c r="Z28" s="31" t="str">
        <f t="shared" ca="1" si="12"/>
        <v/>
      </c>
      <c r="AA28" s="29" t="str">
        <f t="shared" ca="1" si="13"/>
        <v/>
      </c>
      <c r="AB28" s="14" t="b">
        <f ca="1">IF(SUM(Y$6:Y17)+t_j&lt;=T,TRUE,FALSE)</f>
        <v>1</v>
      </c>
      <c r="AC28" s="59"/>
    </row>
    <row r="29" spans="2:29" x14ac:dyDescent="0.3">
      <c r="B29" s="101" t="s">
        <v>27</v>
      </c>
      <c r="C29" s="102" t="str">
        <f ca="1">Currency&amp;IF(Currency="USD","3ML","6ML")</f>
        <v>USD3ML</v>
      </c>
      <c r="D29" s="4">
        <f t="shared" ca="1" si="19"/>
        <v>24</v>
      </c>
      <c r="E29" s="26" t="str">
        <f t="shared" ca="1" si="20"/>
        <v/>
      </c>
      <c r="F29" s="27" t="str">
        <f t="shared" ca="1" si="14"/>
        <v/>
      </c>
      <c r="G29" s="27" t="str">
        <f t="shared" ca="1" si="15"/>
        <v/>
      </c>
      <c r="H29" s="28" t="str">
        <f t="shared" ca="1" si="16"/>
        <v/>
      </c>
      <c r="I29" s="29" t="str">
        <f t="shared" ca="1" si="0"/>
        <v/>
      </c>
      <c r="J29" s="30" t="str">
        <f t="shared" ca="1" si="1"/>
        <v/>
      </c>
      <c r="K29" s="28" t="str">
        <f t="shared" ca="1" si="2"/>
        <v/>
      </c>
      <c r="L29" s="31" t="str">
        <f t="shared" ca="1" si="21"/>
        <v/>
      </c>
      <c r="M29" s="29" t="str">
        <f t="shared" ca="1" si="3"/>
        <v/>
      </c>
      <c r="N29" s="14" t="b">
        <f ca="1">IF(SUM(K$6:K28)+t_i&lt;=T,TRUE,FALSE)</f>
        <v>0</v>
      </c>
      <c r="O29" s="58">
        <f t="shared" ca="1" si="22"/>
        <v>24</v>
      </c>
      <c r="P29" s="26" t="str">
        <f t="shared" ca="1" si="4"/>
        <v/>
      </c>
      <c r="Q29" s="27" t="str">
        <f t="shared" ca="1" si="17"/>
        <v/>
      </c>
      <c r="R29" s="27" t="str">
        <f t="shared" ca="1" si="5"/>
        <v/>
      </c>
      <c r="S29" s="27" t="str">
        <f t="shared" ca="1" si="6"/>
        <v/>
      </c>
      <c r="T29" s="28" t="str">
        <f t="shared" ca="1" si="18"/>
        <v/>
      </c>
      <c r="U29" s="29" t="str">
        <f t="shared" ca="1" si="7"/>
        <v/>
      </c>
      <c r="V29" s="30" t="str">
        <f t="shared" ca="1" si="8"/>
        <v/>
      </c>
      <c r="W29" s="28" t="str">
        <f t="shared" ca="1" si="9"/>
        <v/>
      </c>
      <c r="X29" s="30" t="str">
        <f t="shared" ca="1" si="10"/>
        <v/>
      </c>
      <c r="Y29" s="28" t="str">
        <f t="shared" ca="1" si="11"/>
        <v/>
      </c>
      <c r="Z29" s="31" t="str">
        <f t="shared" ca="1" si="12"/>
        <v/>
      </c>
      <c r="AA29" s="29" t="str">
        <f t="shared" ca="1" si="13"/>
        <v/>
      </c>
      <c r="AB29" s="14" t="b">
        <f ca="1">IF(SUM(Y$6:Y18)+t_j&lt;=T,TRUE,FALSE)</f>
        <v>1</v>
      </c>
      <c r="AC29" s="59"/>
    </row>
    <row r="30" spans="2:29" x14ac:dyDescent="0.3">
      <c r="B30" s="103" t="s">
        <v>26</v>
      </c>
      <c r="C30" s="84" t="str">
        <f ca="1">Currency&amp;"DiscFact"&amp;IF(ApplyBump,"Bumped","")</f>
        <v>USDDiscFact</v>
      </c>
      <c r="D30" s="4">
        <f t="shared" ca="1" si="19"/>
        <v>25</v>
      </c>
      <c r="E30" s="26" t="str">
        <f t="shared" ca="1" si="20"/>
        <v/>
      </c>
      <c r="F30" s="27" t="str">
        <f t="shared" ca="1" si="14"/>
        <v/>
      </c>
      <c r="G30" s="27" t="str">
        <f t="shared" ca="1" si="15"/>
        <v/>
      </c>
      <c r="H30" s="28" t="str">
        <f t="shared" ca="1" si="16"/>
        <v/>
      </c>
      <c r="I30" s="29" t="str">
        <f t="shared" ca="1" si="0"/>
        <v/>
      </c>
      <c r="J30" s="30" t="str">
        <f t="shared" ca="1" si="1"/>
        <v/>
      </c>
      <c r="K30" s="28" t="str">
        <f t="shared" ca="1" si="2"/>
        <v/>
      </c>
      <c r="L30" s="31" t="str">
        <f t="shared" ca="1" si="21"/>
        <v/>
      </c>
      <c r="M30" s="29" t="str">
        <f t="shared" ca="1" si="3"/>
        <v/>
      </c>
      <c r="N30" s="14" t="b">
        <f ca="1">IF(SUM(K$6:K29)+t_i&lt;=T,TRUE,FALSE)</f>
        <v>0</v>
      </c>
      <c r="O30" s="58">
        <f t="shared" ca="1" si="22"/>
        <v>25</v>
      </c>
      <c r="P30" s="26" t="str">
        <f t="shared" ca="1" si="4"/>
        <v/>
      </c>
      <c r="Q30" s="27" t="str">
        <f t="shared" ca="1" si="17"/>
        <v/>
      </c>
      <c r="R30" s="27" t="str">
        <f t="shared" ca="1" si="5"/>
        <v/>
      </c>
      <c r="S30" s="27" t="str">
        <f t="shared" ca="1" si="6"/>
        <v/>
      </c>
      <c r="T30" s="28" t="str">
        <f t="shared" ca="1" si="18"/>
        <v/>
      </c>
      <c r="U30" s="29" t="str">
        <f t="shared" ca="1" si="7"/>
        <v/>
      </c>
      <c r="V30" s="30" t="str">
        <f t="shared" ca="1" si="8"/>
        <v/>
      </c>
      <c r="W30" s="28" t="str">
        <f t="shared" ca="1" si="9"/>
        <v/>
      </c>
      <c r="X30" s="30" t="str">
        <f t="shared" ca="1" si="10"/>
        <v/>
      </c>
      <c r="Y30" s="28" t="str">
        <f t="shared" ca="1" si="11"/>
        <v/>
      </c>
      <c r="Z30" s="31" t="str">
        <f t="shared" ca="1" si="12"/>
        <v/>
      </c>
      <c r="AA30" s="29" t="str">
        <f t="shared" ca="1" si="13"/>
        <v/>
      </c>
      <c r="AB30" s="14" t="b">
        <f ca="1">IF(SUM(Y$6:Y19)+t_j&lt;=T,TRUE,FALSE)</f>
        <v>1</v>
      </c>
      <c r="AC30" s="59"/>
    </row>
    <row r="31" spans="2:29" x14ac:dyDescent="0.3">
      <c r="B31" s="104" t="s">
        <v>40</v>
      </c>
      <c r="C31" s="113" t="b">
        <f ca="1">Approximate</f>
        <v>0</v>
      </c>
      <c r="D31" s="4">
        <f t="shared" ca="1" si="19"/>
        <v>26</v>
      </c>
      <c r="E31" s="26" t="str">
        <f t="shared" ca="1" si="20"/>
        <v/>
      </c>
      <c r="F31" s="27" t="str">
        <f t="shared" ca="1" si="14"/>
        <v/>
      </c>
      <c r="G31" s="27" t="str">
        <f t="shared" ca="1" si="15"/>
        <v/>
      </c>
      <c r="H31" s="28" t="str">
        <f t="shared" ca="1" si="16"/>
        <v/>
      </c>
      <c r="I31" s="29" t="str">
        <f t="shared" ca="1" si="0"/>
        <v/>
      </c>
      <c r="J31" s="30" t="str">
        <f t="shared" ca="1" si="1"/>
        <v/>
      </c>
      <c r="K31" s="28" t="str">
        <f t="shared" ca="1" si="2"/>
        <v/>
      </c>
      <c r="L31" s="31" t="str">
        <f t="shared" ca="1" si="21"/>
        <v/>
      </c>
      <c r="M31" s="29" t="str">
        <f t="shared" ca="1" si="3"/>
        <v/>
      </c>
      <c r="N31" s="14" t="b">
        <f ca="1">IF(SUM(K$6:K30)+t_i&lt;=T,TRUE,FALSE)</f>
        <v>0</v>
      </c>
      <c r="O31" s="58">
        <f t="shared" ca="1" si="22"/>
        <v>26</v>
      </c>
      <c r="P31" s="26" t="str">
        <f t="shared" ca="1" si="4"/>
        <v/>
      </c>
      <c r="Q31" s="27" t="str">
        <f t="shared" ca="1" si="17"/>
        <v/>
      </c>
      <c r="R31" s="27" t="str">
        <f t="shared" ca="1" si="5"/>
        <v/>
      </c>
      <c r="S31" s="27" t="str">
        <f t="shared" ca="1" si="6"/>
        <v/>
      </c>
      <c r="T31" s="28" t="str">
        <f t="shared" ca="1" si="18"/>
        <v/>
      </c>
      <c r="U31" s="29" t="str">
        <f t="shared" ca="1" si="7"/>
        <v/>
      </c>
      <c r="V31" s="30" t="str">
        <f t="shared" ca="1" si="8"/>
        <v/>
      </c>
      <c r="W31" s="28" t="str">
        <f t="shared" ca="1" si="9"/>
        <v/>
      </c>
      <c r="X31" s="30" t="str">
        <f t="shared" ca="1" si="10"/>
        <v/>
      </c>
      <c r="Y31" s="28" t="str">
        <f t="shared" ca="1" si="11"/>
        <v/>
      </c>
      <c r="Z31" s="31" t="str">
        <f t="shared" ca="1" si="12"/>
        <v/>
      </c>
      <c r="AA31" s="29" t="str">
        <f t="shared" ca="1" si="13"/>
        <v/>
      </c>
      <c r="AB31" s="14" t="b">
        <f ca="1">IF(SUM(Y$6:Y20)+t_j&lt;=T,TRUE,FALSE)</f>
        <v>1</v>
      </c>
      <c r="AC31" s="59"/>
    </row>
    <row r="32" spans="2:29" x14ac:dyDescent="0.3">
      <c r="D32" s="4">
        <f t="shared" ca="1" si="19"/>
        <v>27</v>
      </c>
      <c r="E32" s="26" t="str">
        <f t="shared" ca="1" si="20"/>
        <v/>
      </c>
      <c r="F32" s="27" t="str">
        <f t="shared" ca="1" si="14"/>
        <v/>
      </c>
      <c r="G32" s="27" t="str">
        <f t="shared" ca="1" si="15"/>
        <v/>
      </c>
      <c r="H32" s="28" t="str">
        <f t="shared" ca="1" si="16"/>
        <v/>
      </c>
      <c r="I32" s="29" t="str">
        <f t="shared" ca="1" si="0"/>
        <v/>
      </c>
      <c r="J32" s="30" t="str">
        <f t="shared" ca="1" si="1"/>
        <v/>
      </c>
      <c r="K32" s="28" t="str">
        <f t="shared" ca="1" si="2"/>
        <v/>
      </c>
      <c r="L32" s="31" t="str">
        <f t="shared" ca="1" si="21"/>
        <v/>
      </c>
      <c r="M32" s="29" t="str">
        <f t="shared" ca="1" si="3"/>
        <v/>
      </c>
      <c r="N32" s="14" t="b">
        <f ca="1">IF(SUM(K$6:K31)+t_i&lt;=T,TRUE,FALSE)</f>
        <v>0</v>
      </c>
      <c r="O32" s="58">
        <f t="shared" ca="1" si="22"/>
        <v>27</v>
      </c>
      <c r="P32" s="26" t="str">
        <f t="shared" ca="1" si="4"/>
        <v/>
      </c>
      <c r="Q32" s="27" t="str">
        <f t="shared" ca="1" si="17"/>
        <v/>
      </c>
      <c r="R32" s="27" t="str">
        <f t="shared" ca="1" si="5"/>
        <v/>
      </c>
      <c r="S32" s="27" t="str">
        <f t="shared" ca="1" si="6"/>
        <v/>
      </c>
      <c r="T32" s="28" t="str">
        <f t="shared" ca="1" si="18"/>
        <v/>
      </c>
      <c r="U32" s="29" t="str">
        <f t="shared" ca="1" si="7"/>
        <v/>
      </c>
      <c r="V32" s="30" t="str">
        <f t="shared" ca="1" si="8"/>
        <v/>
      </c>
      <c r="W32" s="28" t="str">
        <f t="shared" ca="1" si="9"/>
        <v/>
      </c>
      <c r="X32" s="30" t="str">
        <f t="shared" ca="1" si="10"/>
        <v/>
      </c>
      <c r="Y32" s="28" t="str">
        <f t="shared" ca="1" si="11"/>
        <v/>
      </c>
      <c r="Z32" s="31" t="str">
        <f t="shared" ca="1" si="12"/>
        <v/>
      </c>
      <c r="AA32" s="29" t="str">
        <f t="shared" ca="1" si="13"/>
        <v/>
      </c>
      <c r="AB32" s="14" t="b">
        <f ca="1">IF(SUM(Y$6:Y21)+t_j&lt;=T,TRUE,FALSE)</f>
        <v>1</v>
      </c>
      <c r="AC32" s="59"/>
    </row>
    <row r="33" spans="2:29" x14ac:dyDescent="0.3">
      <c r="B33" s="5" t="s">
        <v>108</v>
      </c>
      <c r="D33" s="4">
        <f t="shared" ca="1" si="19"/>
        <v>28</v>
      </c>
      <c r="E33" s="26" t="str">
        <f t="shared" ca="1" si="20"/>
        <v/>
      </c>
      <c r="F33" s="27" t="str">
        <f t="shared" ca="1" si="14"/>
        <v/>
      </c>
      <c r="G33" s="27" t="str">
        <f t="shared" ca="1" si="15"/>
        <v/>
      </c>
      <c r="H33" s="28" t="str">
        <f t="shared" ca="1" si="16"/>
        <v/>
      </c>
      <c r="I33" s="29" t="str">
        <f t="shared" ca="1" si="0"/>
        <v/>
      </c>
      <c r="J33" s="30" t="str">
        <f t="shared" ca="1" si="1"/>
        <v/>
      </c>
      <c r="K33" s="28" t="str">
        <f t="shared" ca="1" si="2"/>
        <v/>
      </c>
      <c r="L33" s="31" t="str">
        <f t="shared" ca="1" si="21"/>
        <v/>
      </c>
      <c r="M33" s="29" t="str">
        <f t="shared" ca="1" si="3"/>
        <v/>
      </c>
      <c r="N33" s="14" t="b">
        <f ca="1">IF(SUM(K$6:K32)+t_i&lt;=T,TRUE,FALSE)</f>
        <v>0</v>
      </c>
      <c r="O33" s="58">
        <f t="shared" ca="1" si="22"/>
        <v>28</v>
      </c>
      <c r="P33" s="26" t="str">
        <f t="shared" ca="1" si="4"/>
        <v/>
      </c>
      <c r="Q33" s="27" t="str">
        <f t="shared" ca="1" si="17"/>
        <v/>
      </c>
      <c r="R33" s="27" t="str">
        <f t="shared" ca="1" si="5"/>
        <v/>
      </c>
      <c r="S33" s="27" t="str">
        <f t="shared" ca="1" si="6"/>
        <v/>
      </c>
      <c r="T33" s="28" t="str">
        <f t="shared" ca="1" si="18"/>
        <v/>
      </c>
      <c r="U33" s="29" t="str">
        <f t="shared" ca="1" si="7"/>
        <v/>
      </c>
      <c r="V33" s="30" t="str">
        <f t="shared" ca="1" si="8"/>
        <v/>
      </c>
      <c r="W33" s="28" t="str">
        <f t="shared" ca="1" si="9"/>
        <v/>
      </c>
      <c r="X33" s="30" t="str">
        <f t="shared" ca="1" si="10"/>
        <v/>
      </c>
      <c r="Y33" s="28" t="str">
        <f t="shared" ca="1" si="11"/>
        <v/>
      </c>
      <c r="Z33" s="31" t="str">
        <f t="shared" ca="1" si="12"/>
        <v/>
      </c>
      <c r="AA33" s="29" t="str">
        <f t="shared" ca="1" si="13"/>
        <v/>
      </c>
      <c r="AB33" s="14" t="b">
        <f ca="1">IF(SUM(Y$6:Y22)+t_j&lt;=T,TRUE,FALSE)</f>
        <v>1</v>
      </c>
      <c r="AC33" s="59"/>
    </row>
    <row r="34" spans="2:29" x14ac:dyDescent="0.3">
      <c r="B34" s="76" t="s">
        <v>107</v>
      </c>
      <c r="C34" s="92"/>
      <c r="D34" s="4">
        <f t="shared" ca="1" si="19"/>
        <v>29</v>
      </c>
      <c r="E34" s="26" t="str">
        <f t="shared" ca="1" si="20"/>
        <v/>
      </c>
      <c r="F34" s="27" t="str">
        <f t="shared" ca="1" si="14"/>
        <v/>
      </c>
      <c r="G34" s="27" t="str">
        <f t="shared" ca="1" si="15"/>
        <v/>
      </c>
      <c r="H34" s="28" t="str">
        <f t="shared" ca="1" si="16"/>
        <v/>
      </c>
      <c r="I34" s="29" t="str">
        <f t="shared" ca="1" si="0"/>
        <v/>
      </c>
      <c r="J34" s="30" t="str">
        <f t="shared" ca="1" si="1"/>
        <v/>
      </c>
      <c r="K34" s="28" t="str">
        <f t="shared" ca="1" si="2"/>
        <v/>
      </c>
      <c r="L34" s="31" t="str">
        <f t="shared" ca="1" si="21"/>
        <v/>
      </c>
      <c r="M34" s="29" t="str">
        <f t="shared" ca="1" si="3"/>
        <v/>
      </c>
      <c r="N34" s="14" t="b">
        <f ca="1">IF(SUM(K$6:K33)+t_i&lt;=T,TRUE,FALSE)</f>
        <v>0</v>
      </c>
      <c r="O34" s="58">
        <f t="shared" ca="1" si="22"/>
        <v>29</v>
      </c>
      <c r="P34" s="26" t="str">
        <f t="shared" ca="1" si="4"/>
        <v/>
      </c>
      <c r="Q34" s="27" t="str">
        <f t="shared" ca="1" si="17"/>
        <v/>
      </c>
      <c r="R34" s="27" t="str">
        <f t="shared" ca="1" si="5"/>
        <v/>
      </c>
      <c r="S34" s="27" t="str">
        <f t="shared" ca="1" si="6"/>
        <v/>
      </c>
      <c r="T34" s="28" t="str">
        <f t="shared" ca="1" si="18"/>
        <v/>
      </c>
      <c r="U34" s="29" t="str">
        <f t="shared" ca="1" si="7"/>
        <v/>
      </c>
      <c r="V34" s="30" t="str">
        <f t="shared" ca="1" si="8"/>
        <v/>
      </c>
      <c r="W34" s="28" t="str">
        <f t="shared" ca="1" si="9"/>
        <v/>
      </c>
      <c r="X34" s="30" t="str">
        <f t="shared" ca="1" si="10"/>
        <v/>
      </c>
      <c r="Y34" s="28" t="str">
        <f t="shared" ca="1" si="11"/>
        <v/>
      </c>
      <c r="Z34" s="31" t="str">
        <f t="shared" ca="1" si="12"/>
        <v/>
      </c>
      <c r="AA34" s="29" t="str">
        <f t="shared" ca="1" si="13"/>
        <v/>
      </c>
      <c r="AB34" s="14" t="b">
        <f ca="1">IF(SUM(Y$6:Y23)+t_j&lt;=T,TRUE,FALSE)</f>
        <v>1</v>
      </c>
      <c r="AC34" s="59"/>
    </row>
    <row r="35" spans="2:29" x14ac:dyDescent="0.3">
      <c r="B35" s="107" t="s">
        <v>50</v>
      </c>
      <c r="C35" s="108">
        <f ca="1">IF(C5="PAYER",-1,1)</f>
        <v>1</v>
      </c>
      <c r="D35" s="4">
        <f t="shared" ca="1" si="19"/>
        <v>30</v>
      </c>
      <c r="E35" s="26" t="str">
        <f t="shared" ca="1" si="20"/>
        <v/>
      </c>
      <c r="F35" s="27" t="str">
        <f t="shared" ca="1" si="14"/>
        <v/>
      </c>
      <c r="G35" s="27" t="str">
        <f t="shared" ca="1" si="15"/>
        <v/>
      </c>
      <c r="H35" s="28" t="str">
        <f t="shared" ca="1" si="16"/>
        <v/>
      </c>
      <c r="I35" s="29" t="str">
        <f t="shared" ca="1" si="0"/>
        <v/>
      </c>
      <c r="J35" s="30" t="str">
        <f t="shared" ca="1" si="1"/>
        <v/>
      </c>
      <c r="K35" s="28" t="str">
        <f t="shared" ca="1" si="2"/>
        <v/>
      </c>
      <c r="L35" s="31" t="str">
        <f t="shared" ca="1" si="21"/>
        <v/>
      </c>
      <c r="M35" s="29" t="str">
        <f t="shared" ca="1" si="3"/>
        <v/>
      </c>
      <c r="N35" s="14" t="b">
        <f ca="1">IF(SUM(K$6:K34)+t_i&lt;=T,TRUE,FALSE)</f>
        <v>0</v>
      </c>
      <c r="O35" s="58">
        <f t="shared" ca="1" si="22"/>
        <v>30</v>
      </c>
      <c r="P35" s="26" t="str">
        <f t="shared" ca="1" si="4"/>
        <v/>
      </c>
      <c r="Q35" s="27" t="str">
        <f t="shared" ca="1" si="17"/>
        <v/>
      </c>
      <c r="R35" s="27" t="str">
        <f t="shared" ca="1" si="5"/>
        <v/>
      </c>
      <c r="S35" s="27" t="str">
        <f t="shared" ca="1" si="6"/>
        <v/>
      </c>
      <c r="T35" s="28" t="str">
        <f t="shared" ca="1" si="18"/>
        <v/>
      </c>
      <c r="U35" s="29" t="str">
        <f t="shared" ca="1" si="7"/>
        <v/>
      </c>
      <c r="V35" s="30" t="str">
        <f t="shared" ca="1" si="8"/>
        <v/>
      </c>
      <c r="W35" s="28" t="str">
        <f t="shared" ca="1" si="9"/>
        <v/>
      </c>
      <c r="X35" s="30" t="str">
        <f t="shared" ca="1" si="10"/>
        <v/>
      </c>
      <c r="Y35" s="28" t="str">
        <f t="shared" ca="1" si="11"/>
        <v/>
      </c>
      <c r="Z35" s="31" t="str">
        <f t="shared" ca="1" si="12"/>
        <v/>
      </c>
      <c r="AA35" s="29" t="str">
        <f t="shared" ca="1" si="13"/>
        <v/>
      </c>
      <c r="AB35" s="14" t="b">
        <f ca="1">IF(SUM(Y$6:Y24)+t_j&lt;=T,TRUE,FALSE)</f>
        <v>1</v>
      </c>
      <c r="AC35" s="59"/>
    </row>
    <row r="36" spans="2:29" x14ac:dyDescent="0.3">
      <c r="D36" s="4">
        <f t="shared" ca="1" si="19"/>
        <v>31</v>
      </c>
      <c r="E36" s="26" t="str">
        <f t="shared" ca="1" si="20"/>
        <v/>
      </c>
      <c r="F36" s="27" t="str">
        <f t="shared" ca="1" si="14"/>
        <v/>
      </c>
      <c r="G36" s="27" t="str">
        <f t="shared" ca="1" si="15"/>
        <v/>
      </c>
      <c r="H36" s="28" t="str">
        <f t="shared" ca="1" si="16"/>
        <v/>
      </c>
      <c r="I36" s="29" t="str">
        <f t="shared" ca="1" si="0"/>
        <v/>
      </c>
      <c r="J36" s="30" t="str">
        <f t="shared" ca="1" si="1"/>
        <v/>
      </c>
      <c r="K36" s="28" t="str">
        <f t="shared" ca="1" si="2"/>
        <v/>
      </c>
      <c r="L36" s="31" t="str">
        <f t="shared" ca="1" si="21"/>
        <v/>
      </c>
      <c r="M36" s="29" t="str">
        <f t="shared" ca="1" si="3"/>
        <v/>
      </c>
      <c r="N36" s="14" t="b">
        <f ca="1">IF(SUM(K$6:K35)+t_i&lt;=T,TRUE,FALSE)</f>
        <v>0</v>
      </c>
      <c r="O36" s="58">
        <f t="shared" ca="1" si="22"/>
        <v>31</v>
      </c>
      <c r="P36" s="26" t="str">
        <f t="shared" ca="1" si="4"/>
        <v/>
      </c>
      <c r="Q36" s="27" t="str">
        <f t="shared" ca="1" si="17"/>
        <v/>
      </c>
      <c r="R36" s="27" t="str">
        <f t="shared" ca="1" si="5"/>
        <v/>
      </c>
      <c r="S36" s="27" t="str">
        <f t="shared" ca="1" si="6"/>
        <v/>
      </c>
      <c r="T36" s="28" t="str">
        <f t="shared" ca="1" si="18"/>
        <v/>
      </c>
      <c r="U36" s="29" t="str">
        <f t="shared" ca="1" si="7"/>
        <v/>
      </c>
      <c r="V36" s="30" t="str">
        <f t="shared" ca="1" si="8"/>
        <v/>
      </c>
      <c r="W36" s="28" t="str">
        <f t="shared" ca="1" si="9"/>
        <v/>
      </c>
      <c r="X36" s="30" t="str">
        <f t="shared" ca="1" si="10"/>
        <v/>
      </c>
      <c r="Y36" s="28" t="str">
        <f t="shared" ca="1" si="11"/>
        <v/>
      </c>
      <c r="Z36" s="31" t="str">
        <f t="shared" ca="1" si="12"/>
        <v/>
      </c>
      <c r="AA36" s="29" t="str">
        <f t="shared" ca="1" si="13"/>
        <v/>
      </c>
      <c r="AB36" s="14" t="b">
        <f ca="1">IF(SUM(Y$6:Y25)+t_j&lt;=T,TRUE,FALSE)</f>
        <v>0</v>
      </c>
      <c r="AC36" s="59"/>
    </row>
    <row r="37" spans="2:29" x14ac:dyDescent="0.3">
      <c r="B37" s="80" t="s">
        <v>118</v>
      </c>
      <c r="C37" s="92"/>
      <c r="D37" s="4">
        <f t="shared" ca="1" si="19"/>
        <v>32</v>
      </c>
      <c r="E37" s="26" t="str">
        <f t="shared" ca="1" si="20"/>
        <v/>
      </c>
      <c r="F37" s="27" t="str">
        <f t="shared" ca="1" si="14"/>
        <v/>
      </c>
      <c r="G37" s="27" t="str">
        <f t="shared" ca="1" si="15"/>
        <v/>
      </c>
      <c r="H37" s="28" t="str">
        <f t="shared" ca="1" si="16"/>
        <v/>
      </c>
      <c r="I37" s="29" t="str">
        <f t="shared" ca="1" si="0"/>
        <v/>
      </c>
      <c r="J37" s="30" t="str">
        <f t="shared" ca="1" si="1"/>
        <v/>
      </c>
      <c r="K37" s="28" t="str">
        <f t="shared" ca="1" si="2"/>
        <v/>
      </c>
      <c r="L37" s="31" t="str">
        <f t="shared" ca="1" si="21"/>
        <v/>
      </c>
      <c r="M37" s="29" t="str">
        <f t="shared" ca="1" si="3"/>
        <v/>
      </c>
      <c r="N37" s="14" t="b">
        <f ca="1">IF(SUM(K$6:K36)+t_i&lt;=T,TRUE,FALSE)</f>
        <v>0</v>
      </c>
      <c r="O37" s="58">
        <f t="shared" ca="1" si="22"/>
        <v>32</v>
      </c>
      <c r="P37" s="26" t="str">
        <f t="shared" ca="1" si="4"/>
        <v/>
      </c>
      <c r="Q37" s="27" t="str">
        <f t="shared" ca="1" si="17"/>
        <v/>
      </c>
      <c r="R37" s="27" t="str">
        <f t="shared" ca="1" si="5"/>
        <v/>
      </c>
      <c r="S37" s="27" t="str">
        <f t="shared" ca="1" si="6"/>
        <v/>
      </c>
      <c r="T37" s="28" t="str">
        <f t="shared" ca="1" si="18"/>
        <v/>
      </c>
      <c r="U37" s="29" t="str">
        <f t="shared" ca="1" si="7"/>
        <v/>
      </c>
      <c r="V37" s="30" t="str">
        <f t="shared" ca="1" si="8"/>
        <v/>
      </c>
      <c r="W37" s="28" t="str">
        <f t="shared" ca="1" si="9"/>
        <v/>
      </c>
      <c r="X37" s="30" t="str">
        <f t="shared" ca="1" si="10"/>
        <v/>
      </c>
      <c r="Y37" s="28" t="str">
        <f t="shared" ca="1" si="11"/>
        <v/>
      </c>
      <c r="Z37" s="31" t="str">
        <f t="shared" ca="1" si="12"/>
        <v/>
      </c>
      <c r="AA37" s="29" t="str">
        <f t="shared" ca="1" si="13"/>
        <v/>
      </c>
      <c r="AB37" s="14" t="b">
        <f ca="1">IF(SUM(Y$6:Y26)+t_j&lt;=T,TRUE,FALSE)</f>
        <v>0</v>
      </c>
      <c r="AC37" s="59"/>
    </row>
    <row r="38" spans="2:29" x14ac:dyDescent="0.3">
      <c r="B38" s="79" t="s">
        <v>64</v>
      </c>
      <c r="C38" s="109" t="b">
        <f ca="1">Approximate</f>
        <v>0</v>
      </c>
      <c r="D38" s="4">
        <f t="shared" ca="1" si="19"/>
        <v>33</v>
      </c>
      <c r="E38" s="26" t="str">
        <f t="shared" ca="1" si="20"/>
        <v/>
      </c>
      <c r="F38" s="27" t="str">
        <f t="shared" ca="1" si="14"/>
        <v/>
      </c>
      <c r="G38" s="27" t="str">
        <f t="shared" ca="1" si="15"/>
        <v/>
      </c>
      <c r="H38" s="28" t="str">
        <f t="shared" ca="1" si="16"/>
        <v/>
      </c>
      <c r="I38" s="29" t="str">
        <f t="shared" ref="I38:I55" ca="1" si="23">IF(N38,N,"")</f>
        <v/>
      </c>
      <c r="J38" s="30" t="str">
        <f t="shared" ref="J38:J55" ca="1" si="24">IF(N38,r_fixed,"")</f>
        <v/>
      </c>
      <c r="K38" s="28" t="str">
        <f t="shared" ref="K38:K55" ca="1" si="25">IF(N38,t_i,"")</f>
        <v/>
      </c>
      <c r="L38" s="31" t="str">
        <f t="shared" ref="L38:L55" ca="1" si="26">IF(N38,IF(SetDiscFactToOne,1,VLOOKUP(G38,INDIRECT(DiscountCurve),2,TRUE)),"")</f>
        <v/>
      </c>
      <c r="M38" s="29" t="str">
        <f t="shared" ref="M38:M55" ca="1" si="27">IF(N38,I38*J38*K38*L38,"")</f>
        <v/>
      </c>
      <c r="N38" s="14" t="b">
        <f ca="1">IF(SUM(K$6:K37)+t_i&lt;=T,TRUE,FALSE)</f>
        <v>0</v>
      </c>
      <c r="O38" s="58">
        <f t="shared" ca="1" si="22"/>
        <v>33</v>
      </c>
      <c r="P38" s="26" t="str">
        <f t="shared" ref="P38:P55" ca="1" si="28">IF(AB48,Q38,"")</f>
        <v/>
      </c>
      <c r="Q38" s="27" t="str">
        <f t="shared" ca="1" si="17"/>
        <v/>
      </c>
      <c r="R38" s="27" t="str">
        <f t="shared" ref="R38:R55" ca="1" si="29">IF(AB48,Q38+Y38*365.25,"")</f>
        <v/>
      </c>
      <c r="S38" s="27" t="str">
        <f t="shared" ref="S38:S55" ca="1" si="30">IF(AB48,R38,"")</f>
        <v/>
      </c>
      <c r="T38" s="28" t="str">
        <f t="shared" ca="1" si="18"/>
        <v/>
      </c>
      <c r="U38" s="29" t="str">
        <f t="shared" ref="U38:U55" ca="1" si="31">IF(AB48,N,"")</f>
        <v/>
      </c>
      <c r="V38" s="30" t="str">
        <f t="shared" ref="V38:V55" ca="1" si="32">IF(AB48,VLOOKUP(P38,INDIRECT(ForecastCurve),IF(ApplyBump,3,2),TRUE),"")</f>
        <v/>
      </c>
      <c r="W38" s="28" t="str">
        <f t="shared" ref="W38:W55" ca="1" si="33">IF(AB48,s,"")</f>
        <v/>
      </c>
      <c r="X38" s="30" t="str">
        <f t="shared" ref="X38:X55" ca="1" si="34">IF(AB48,V38+(W38*0.0001),"")</f>
        <v/>
      </c>
      <c r="Y38" s="28" t="str">
        <f t="shared" ref="Y38:Y55" ca="1" si="35">IF(AB48,t_j,"")</f>
        <v/>
      </c>
      <c r="Z38" s="31" t="str">
        <f t="shared" ref="Z38:Z55" ca="1" si="36">IF(AB48,IF(SetDiscFactToOne,1,VLOOKUP(S38,INDIRECT(DiscountCurve),2,TRUE)),"")</f>
        <v/>
      </c>
      <c r="AA38" s="29" t="str">
        <f t="shared" ref="AA38:AA55" ca="1" si="37">IF(AB48,U38*X38*Y38*Z38,"")</f>
        <v/>
      </c>
      <c r="AB38" s="14" t="b">
        <f ca="1">IF(SUM(Y$6:Y27)+t_j&lt;=T,TRUE,FALSE)</f>
        <v>0</v>
      </c>
      <c r="AC38" s="59"/>
    </row>
    <row r="39" spans="2:29" x14ac:dyDescent="0.3">
      <c r="D39" s="4">
        <f t="shared" ca="1" si="19"/>
        <v>34</v>
      </c>
      <c r="E39" s="26" t="str">
        <f t="shared" ca="1" si="20"/>
        <v/>
      </c>
      <c r="F39" s="27" t="str">
        <f t="shared" ca="1" si="14"/>
        <v/>
      </c>
      <c r="G39" s="27" t="str">
        <f t="shared" ca="1" si="15"/>
        <v/>
      </c>
      <c r="H39" s="28" t="str">
        <f t="shared" ref="H39:H55" ca="1" si="38">IF(N39,H38+t_i,"")</f>
        <v/>
      </c>
      <c r="I39" s="29" t="str">
        <f t="shared" ca="1" si="23"/>
        <v/>
      </c>
      <c r="J39" s="30" t="str">
        <f t="shared" ca="1" si="24"/>
        <v/>
      </c>
      <c r="K39" s="28" t="str">
        <f t="shared" ca="1" si="25"/>
        <v/>
      </c>
      <c r="L39" s="31" t="str">
        <f t="shared" ca="1" si="26"/>
        <v/>
      </c>
      <c r="M39" s="29" t="str">
        <f t="shared" ca="1" si="27"/>
        <v/>
      </c>
      <c r="N39" s="14" t="b">
        <f ca="1">IF(SUM(K$6:K38)+t_i&lt;=T,TRUE,FALSE)</f>
        <v>0</v>
      </c>
      <c r="O39" s="58">
        <f t="shared" ca="1" si="22"/>
        <v>34</v>
      </c>
      <c r="P39" s="26" t="str">
        <f t="shared" ca="1" si="28"/>
        <v/>
      </c>
      <c r="Q39" s="27" t="str">
        <f t="shared" ref="Q39:Q55" ca="1" si="39">IF(AB49,R38,"")</f>
        <v/>
      </c>
      <c r="R39" s="27" t="str">
        <f t="shared" ca="1" si="29"/>
        <v/>
      </c>
      <c r="S39" s="27" t="str">
        <f t="shared" ca="1" si="30"/>
        <v/>
      </c>
      <c r="T39" s="28" t="str">
        <f t="shared" ref="T39:T55" ca="1" si="40">IF(AB49,T38+t_j,"")</f>
        <v/>
      </c>
      <c r="U39" s="29" t="str">
        <f t="shared" ca="1" si="31"/>
        <v/>
      </c>
      <c r="V39" s="30" t="str">
        <f t="shared" ca="1" si="32"/>
        <v/>
      </c>
      <c r="W39" s="28" t="str">
        <f t="shared" ca="1" si="33"/>
        <v/>
      </c>
      <c r="X39" s="30" t="str">
        <f t="shared" ca="1" si="34"/>
        <v/>
      </c>
      <c r="Y39" s="28" t="str">
        <f t="shared" ca="1" si="35"/>
        <v/>
      </c>
      <c r="Z39" s="31" t="str">
        <f t="shared" ca="1" si="36"/>
        <v/>
      </c>
      <c r="AA39" s="29" t="str">
        <f t="shared" ca="1" si="37"/>
        <v/>
      </c>
      <c r="AB39" s="14" t="b">
        <f ca="1">IF(SUM(Y$6:Y28)+t_j&lt;=T,TRUE,FALSE)</f>
        <v>0</v>
      </c>
      <c r="AC39" s="59"/>
    </row>
    <row r="40" spans="2:29" x14ac:dyDescent="0.3">
      <c r="B40" s="76" t="s">
        <v>13</v>
      </c>
      <c r="C40" s="92"/>
      <c r="D40" s="4">
        <f t="shared" ca="1" si="19"/>
        <v>35</v>
      </c>
      <c r="E40" s="26" t="str">
        <f t="shared" ca="1" si="20"/>
        <v/>
      </c>
      <c r="F40" s="27" t="str">
        <f t="shared" ca="1" si="14"/>
        <v/>
      </c>
      <c r="G40" s="27" t="str">
        <f t="shared" ca="1" si="15"/>
        <v/>
      </c>
      <c r="H40" s="28" t="str">
        <f t="shared" ca="1" si="38"/>
        <v/>
      </c>
      <c r="I40" s="29" t="str">
        <f t="shared" ca="1" si="23"/>
        <v/>
      </c>
      <c r="J40" s="30" t="str">
        <f t="shared" ca="1" si="24"/>
        <v/>
      </c>
      <c r="K40" s="28" t="str">
        <f t="shared" ca="1" si="25"/>
        <v/>
      </c>
      <c r="L40" s="31" t="str">
        <f t="shared" ca="1" si="26"/>
        <v/>
      </c>
      <c r="M40" s="29" t="str">
        <f t="shared" ca="1" si="27"/>
        <v/>
      </c>
      <c r="N40" s="14" t="b">
        <f ca="1">IF(SUM(K$6:K39)+t_i&lt;=T,TRUE,FALSE)</f>
        <v>0</v>
      </c>
      <c r="O40" s="58">
        <f t="shared" ca="1" si="22"/>
        <v>35</v>
      </c>
      <c r="P40" s="26" t="str">
        <f t="shared" ca="1" si="28"/>
        <v/>
      </c>
      <c r="Q40" s="27" t="str">
        <f t="shared" ca="1" si="39"/>
        <v/>
      </c>
      <c r="R40" s="27" t="str">
        <f t="shared" ca="1" si="29"/>
        <v/>
      </c>
      <c r="S40" s="27" t="str">
        <f t="shared" ca="1" si="30"/>
        <v/>
      </c>
      <c r="T40" s="28" t="str">
        <f t="shared" ca="1" si="40"/>
        <v/>
      </c>
      <c r="U40" s="29" t="str">
        <f t="shared" ca="1" si="31"/>
        <v/>
      </c>
      <c r="V40" s="30" t="str">
        <f t="shared" ca="1" si="32"/>
        <v/>
      </c>
      <c r="W40" s="28" t="str">
        <f t="shared" ca="1" si="33"/>
        <v/>
      </c>
      <c r="X40" s="30" t="str">
        <f t="shared" ca="1" si="34"/>
        <v/>
      </c>
      <c r="Y40" s="28" t="str">
        <f t="shared" ca="1" si="35"/>
        <v/>
      </c>
      <c r="Z40" s="31" t="str">
        <f t="shared" ca="1" si="36"/>
        <v/>
      </c>
      <c r="AA40" s="29" t="str">
        <f t="shared" ca="1" si="37"/>
        <v/>
      </c>
      <c r="AB40" s="14" t="b">
        <f ca="1">IF(SUM(Y$6:Y29)+t_j&lt;=T,TRUE,FALSE)</f>
        <v>0</v>
      </c>
      <c r="AC40" s="59"/>
    </row>
    <row r="41" spans="2:29" x14ac:dyDescent="0.3">
      <c r="B41" s="78" t="s">
        <v>63</v>
      </c>
      <c r="C41" s="14" t="str">
        <f ca="1">INDIRECT(Currency&amp;".Fixed.Period")</f>
        <v>SEMI-ANNUAL</v>
      </c>
      <c r="D41" s="4">
        <f t="shared" ca="1" si="19"/>
        <v>36</v>
      </c>
      <c r="E41" s="26" t="str">
        <f t="shared" ca="1" si="20"/>
        <v/>
      </c>
      <c r="F41" s="27" t="str">
        <f t="shared" ca="1" si="14"/>
        <v/>
      </c>
      <c r="G41" s="27" t="str">
        <f t="shared" ca="1" si="15"/>
        <v/>
      </c>
      <c r="H41" s="28" t="str">
        <f t="shared" ca="1" si="38"/>
        <v/>
      </c>
      <c r="I41" s="29" t="str">
        <f t="shared" ca="1" si="23"/>
        <v/>
      </c>
      <c r="J41" s="30" t="str">
        <f t="shared" ca="1" si="24"/>
        <v/>
      </c>
      <c r="K41" s="28" t="str">
        <f t="shared" ca="1" si="25"/>
        <v/>
      </c>
      <c r="L41" s="31" t="str">
        <f t="shared" ca="1" si="26"/>
        <v/>
      </c>
      <c r="M41" s="29" t="str">
        <f t="shared" ca="1" si="27"/>
        <v/>
      </c>
      <c r="N41" s="14" t="b">
        <f ca="1">IF(SUM(K$6:K40)+t_i&lt;=T,TRUE,FALSE)</f>
        <v>0</v>
      </c>
      <c r="O41" s="58">
        <f t="shared" ca="1" si="22"/>
        <v>36</v>
      </c>
      <c r="P41" s="26" t="str">
        <f t="shared" ca="1" si="28"/>
        <v/>
      </c>
      <c r="Q41" s="27" t="str">
        <f t="shared" ca="1" si="39"/>
        <v/>
      </c>
      <c r="R41" s="27" t="str">
        <f t="shared" ca="1" si="29"/>
        <v/>
      </c>
      <c r="S41" s="27" t="str">
        <f t="shared" ca="1" si="30"/>
        <v/>
      </c>
      <c r="T41" s="28" t="str">
        <f t="shared" ca="1" si="40"/>
        <v/>
      </c>
      <c r="U41" s="29" t="str">
        <f t="shared" ca="1" si="31"/>
        <v/>
      </c>
      <c r="V41" s="30" t="str">
        <f t="shared" ca="1" si="32"/>
        <v/>
      </c>
      <c r="W41" s="28" t="str">
        <f t="shared" ca="1" si="33"/>
        <v/>
      </c>
      <c r="X41" s="30" t="str">
        <f t="shared" ca="1" si="34"/>
        <v/>
      </c>
      <c r="Y41" s="28" t="str">
        <f t="shared" ca="1" si="35"/>
        <v/>
      </c>
      <c r="Z41" s="31" t="str">
        <f t="shared" ca="1" si="36"/>
        <v/>
      </c>
      <c r="AA41" s="29" t="str">
        <f t="shared" ca="1" si="37"/>
        <v/>
      </c>
      <c r="AB41" s="14" t="b">
        <f ca="1">IF(SUM(Y$6:Y30)+t_j&lt;=T,TRUE,FALSE)</f>
        <v>0</v>
      </c>
      <c r="AC41" s="59"/>
    </row>
    <row r="42" spans="2:29" x14ac:dyDescent="0.3">
      <c r="B42" s="78" t="s">
        <v>120</v>
      </c>
      <c r="C42" s="14" t="str">
        <f ca="1">IF(OverrideMarketFrequency,"ANNUAL",C41)</f>
        <v>SEMI-ANNUAL</v>
      </c>
      <c r="D42" s="4">
        <f t="shared" ca="1" si="19"/>
        <v>37</v>
      </c>
      <c r="E42" s="26" t="str">
        <f t="shared" ca="1" si="20"/>
        <v/>
      </c>
      <c r="F42" s="27" t="str">
        <f t="shared" ca="1" si="14"/>
        <v/>
      </c>
      <c r="G42" s="27" t="str">
        <f t="shared" ca="1" si="15"/>
        <v/>
      </c>
      <c r="H42" s="28" t="str">
        <f t="shared" ca="1" si="38"/>
        <v/>
      </c>
      <c r="I42" s="29" t="str">
        <f t="shared" ca="1" si="23"/>
        <v/>
      </c>
      <c r="J42" s="30" t="str">
        <f t="shared" ca="1" si="24"/>
        <v/>
      </c>
      <c r="K42" s="28" t="str">
        <f t="shared" ca="1" si="25"/>
        <v/>
      </c>
      <c r="L42" s="31" t="str">
        <f t="shared" ca="1" si="26"/>
        <v/>
      </c>
      <c r="M42" s="29" t="str">
        <f t="shared" ca="1" si="27"/>
        <v/>
      </c>
      <c r="N42" s="14" t="b">
        <f ca="1">IF(SUM(K$6:K41)+t_i&lt;=T,TRUE,FALSE)</f>
        <v>0</v>
      </c>
      <c r="O42" s="58">
        <f t="shared" ca="1" si="22"/>
        <v>37</v>
      </c>
      <c r="P42" s="26" t="str">
        <f t="shared" ca="1" si="28"/>
        <v/>
      </c>
      <c r="Q42" s="27" t="str">
        <f t="shared" ca="1" si="39"/>
        <v/>
      </c>
      <c r="R42" s="27" t="str">
        <f t="shared" ca="1" si="29"/>
        <v/>
      </c>
      <c r="S42" s="27" t="str">
        <f t="shared" ca="1" si="30"/>
        <v/>
      </c>
      <c r="T42" s="28" t="str">
        <f t="shared" ca="1" si="40"/>
        <v/>
      </c>
      <c r="U42" s="29" t="str">
        <f t="shared" ca="1" si="31"/>
        <v/>
      </c>
      <c r="V42" s="30" t="str">
        <f t="shared" ca="1" si="32"/>
        <v/>
      </c>
      <c r="W42" s="28" t="str">
        <f t="shared" ca="1" si="33"/>
        <v/>
      </c>
      <c r="X42" s="30" t="str">
        <f t="shared" ca="1" si="34"/>
        <v/>
      </c>
      <c r="Y42" s="28" t="str">
        <f t="shared" ca="1" si="35"/>
        <v/>
      </c>
      <c r="Z42" s="31" t="str">
        <f t="shared" ca="1" si="36"/>
        <v/>
      </c>
      <c r="AA42" s="29" t="str">
        <f t="shared" ca="1" si="37"/>
        <v/>
      </c>
      <c r="AB42" s="14" t="b">
        <f ca="1">IF(SUM(Y$6:Y31)+t_j&lt;=T,TRUE,FALSE)</f>
        <v>0</v>
      </c>
      <c r="AC42" s="59"/>
    </row>
    <row r="43" spans="2:29" x14ac:dyDescent="0.3">
      <c r="B43" s="79" t="s">
        <v>48</v>
      </c>
      <c r="C43" s="109">
        <f ca="1">IF(C42="ANNUAL",1,IF(C42="SEMI-ANNUAL",0.5,IF(C42="QUARTERLY",0.25,1/12)))</f>
        <v>0.5</v>
      </c>
      <c r="D43" s="4">
        <f t="shared" ca="1" si="19"/>
        <v>38</v>
      </c>
      <c r="E43" s="26" t="str">
        <f t="shared" ca="1" si="20"/>
        <v/>
      </c>
      <c r="F43" s="27" t="str">
        <f t="shared" ca="1" si="14"/>
        <v/>
      </c>
      <c r="G43" s="27" t="str">
        <f t="shared" ca="1" si="15"/>
        <v/>
      </c>
      <c r="H43" s="28" t="str">
        <f t="shared" ca="1" si="38"/>
        <v/>
      </c>
      <c r="I43" s="29" t="str">
        <f t="shared" ca="1" si="23"/>
        <v/>
      </c>
      <c r="J43" s="30" t="str">
        <f t="shared" ca="1" si="24"/>
        <v/>
      </c>
      <c r="K43" s="28" t="str">
        <f t="shared" ca="1" si="25"/>
        <v/>
      </c>
      <c r="L43" s="31" t="str">
        <f t="shared" ca="1" si="26"/>
        <v/>
      </c>
      <c r="M43" s="29" t="str">
        <f t="shared" ca="1" si="27"/>
        <v/>
      </c>
      <c r="N43" s="14" t="b">
        <f ca="1">IF(SUM(K$6:K42)+t_i&lt;=T,TRUE,FALSE)</f>
        <v>0</v>
      </c>
      <c r="O43" s="58">
        <f t="shared" ca="1" si="22"/>
        <v>38</v>
      </c>
      <c r="P43" s="26" t="str">
        <f t="shared" ca="1" si="28"/>
        <v/>
      </c>
      <c r="Q43" s="27" t="str">
        <f t="shared" ca="1" si="39"/>
        <v/>
      </c>
      <c r="R43" s="27" t="str">
        <f t="shared" ca="1" si="29"/>
        <v/>
      </c>
      <c r="S43" s="27" t="str">
        <f t="shared" ca="1" si="30"/>
        <v/>
      </c>
      <c r="T43" s="28" t="str">
        <f t="shared" ca="1" si="40"/>
        <v/>
      </c>
      <c r="U43" s="29" t="str">
        <f t="shared" ca="1" si="31"/>
        <v/>
      </c>
      <c r="V43" s="30" t="str">
        <f t="shared" ca="1" si="32"/>
        <v/>
      </c>
      <c r="W43" s="28" t="str">
        <f t="shared" ca="1" si="33"/>
        <v/>
      </c>
      <c r="X43" s="30" t="str">
        <f t="shared" ca="1" si="34"/>
        <v/>
      </c>
      <c r="Y43" s="28" t="str">
        <f t="shared" ca="1" si="35"/>
        <v/>
      </c>
      <c r="Z43" s="31" t="str">
        <f t="shared" ca="1" si="36"/>
        <v/>
      </c>
      <c r="AA43" s="29" t="str">
        <f t="shared" ca="1" si="37"/>
        <v/>
      </c>
      <c r="AB43" s="14" t="b">
        <f ca="1">IF(SUM(Y$6:Y32)+t_j&lt;=T,TRUE,FALSE)</f>
        <v>0</v>
      </c>
      <c r="AC43" s="59"/>
    </row>
    <row r="44" spans="2:29" x14ac:dyDescent="0.3">
      <c r="B44" s="86"/>
      <c r="D44" s="4">
        <f t="shared" ca="1" si="19"/>
        <v>39</v>
      </c>
      <c r="E44" s="26" t="str">
        <f t="shared" ca="1" si="20"/>
        <v/>
      </c>
      <c r="F44" s="27" t="str">
        <f t="shared" ca="1" si="14"/>
        <v/>
      </c>
      <c r="G44" s="27" t="str">
        <f t="shared" ca="1" si="15"/>
        <v/>
      </c>
      <c r="H44" s="28" t="str">
        <f t="shared" ca="1" si="38"/>
        <v/>
      </c>
      <c r="I44" s="29" t="str">
        <f t="shared" ca="1" si="23"/>
        <v/>
      </c>
      <c r="J44" s="30" t="str">
        <f t="shared" ca="1" si="24"/>
        <v/>
      </c>
      <c r="K44" s="28" t="str">
        <f t="shared" ca="1" si="25"/>
        <v/>
      </c>
      <c r="L44" s="31" t="str">
        <f t="shared" ca="1" si="26"/>
        <v/>
      </c>
      <c r="M44" s="29" t="str">
        <f t="shared" ca="1" si="27"/>
        <v/>
      </c>
      <c r="N44" s="14" t="b">
        <f ca="1">IF(SUM(K$6:K43)+t_i&lt;=T,TRUE,FALSE)</f>
        <v>0</v>
      </c>
      <c r="O44" s="58">
        <f t="shared" ca="1" si="22"/>
        <v>39</v>
      </c>
      <c r="P44" s="26" t="str">
        <f t="shared" ca="1" si="28"/>
        <v/>
      </c>
      <c r="Q44" s="27" t="str">
        <f t="shared" ca="1" si="39"/>
        <v/>
      </c>
      <c r="R44" s="27" t="str">
        <f t="shared" ca="1" si="29"/>
        <v/>
      </c>
      <c r="S44" s="27" t="str">
        <f t="shared" ca="1" si="30"/>
        <v/>
      </c>
      <c r="T44" s="28" t="str">
        <f t="shared" ca="1" si="40"/>
        <v/>
      </c>
      <c r="U44" s="29" t="str">
        <f t="shared" ca="1" si="31"/>
        <v/>
      </c>
      <c r="V44" s="30" t="str">
        <f t="shared" ca="1" si="32"/>
        <v/>
      </c>
      <c r="W44" s="28" t="str">
        <f t="shared" ca="1" si="33"/>
        <v/>
      </c>
      <c r="X44" s="30" t="str">
        <f t="shared" ca="1" si="34"/>
        <v/>
      </c>
      <c r="Y44" s="28" t="str">
        <f t="shared" ca="1" si="35"/>
        <v/>
      </c>
      <c r="Z44" s="31" t="str">
        <f t="shared" ca="1" si="36"/>
        <v/>
      </c>
      <c r="AA44" s="29" t="str">
        <f t="shared" ca="1" si="37"/>
        <v/>
      </c>
      <c r="AB44" s="14" t="b">
        <f ca="1">IF(SUM(Y$6:Y33)+t_j&lt;=T,TRUE,FALSE)</f>
        <v>0</v>
      </c>
      <c r="AC44" s="59"/>
    </row>
    <row r="45" spans="2:29" x14ac:dyDescent="0.3">
      <c r="B45" s="76" t="s">
        <v>14</v>
      </c>
      <c r="C45" s="92"/>
      <c r="D45" s="4">
        <f t="shared" ca="1" si="19"/>
        <v>40</v>
      </c>
      <c r="E45" s="26" t="str">
        <f t="shared" ca="1" si="20"/>
        <v/>
      </c>
      <c r="F45" s="27" t="str">
        <f t="shared" ca="1" si="14"/>
        <v/>
      </c>
      <c r="G45" s="27" t="str">
        <f t="shared" ca="1" si="15"/>
        <v/>
      </c>
      <c r="H45" s="28" t="str">
        <f t="shared" ca="1" si="38"/>
        <v/>
      </c>
      <c r="I45" s="29" t="str">
        <f t="shared" ca="1" si="23"/>
        <v/>
      </c>
      <c r="J45" s="30" t="str">
        <f t="shared" ca="1" si="24"/>
        <v/>
      </c>
      <c r="K45" s="28" t="str">
        <f t="shared" ca="1" si="25"/>
        <v/>
      </c>
      <c r="L45" s="31" t="str">
        <f t="shared" ca="1" si="26"/>
        <v/>
      </c>
      <c r="M45" s="29" t="str">
        <f t="shared" ca="1" si="27"/>
        <v/>
      </c>
      <c r="N45" s="14" t="b">
        <f ca="1">IF(SUM(K$6:K44)+t_i&lt;=T,TRUE,FALSE)</f>
        <v>0</v>
      </c>
      <c r="O45" s="58">
        <f t="shared" ca="1" si="22"/>
        <v>40</v>
      </c>
      <c r="P45" s="26" t="str">
        <f t="shared" ca="1" si="28"/>
        <v/>
      </c>
      <c r="Q45" s="27" t="str">
        <f t="shared" ca="1" si="39"/>
        <v/>
      </c>
      <c r="R45" s="27" t="str">
        <f t="shared" ca="1" si="29"/>
        <v/>
      </c>
      <c r="S45" s="27" t="str">
        <f t="shared" ca="1" si="30"/>
        <v/>
      </c>
      <c r="T45" s="28" t="str">
        <f t="shared" ca="1" si="40"/>
        <v/>
      </c>
      <c r="U45" s="29" t="str">
        <f t="shared" ca="1" si="31"/>
        <v/>
      </c>
      <c r="V45" s="30" t="str">
        <f t="shared" ca="1" si="32"/>
        <v/>
      </c>
      <c r="W45" s="28" t="str">
        <f t="shared" ca="1" si="33"/>
        <v/>
      </c>
      <c r="X45" s="30" t="str">
        <f t="shared" ca="1" si="34"/>
        <v/>
      </c>
      <c r="Y45" s="28" t="str">
        <f t="shared" ca="1" si="35"/>
        <v/>
      </c>
      <c r="Z45" s="31" t="str">
        <f t="shared" ca="1" si="36"/>
        <v/>
      </c>
      <c r="AA45" s="29" t="str">
        <f t="shared" ca="1" si="37"/>
        <v/>
      </c>
      <c r="AB45" s="14" t="b">
        <f ca="1">IF(SUM(Y$6:Y34)+t_j&lt;=T,TRUE,FALSE)</f>
        <v>0</v>
      </c>
      <c r="AC45" s="59"/>
    </row>
    <row r="46" spans="2:29" x14ac:dyDescent="0.3">
      <c r="B46" s="78" t="s">
        <v>63</v>
      </c>
      <c r="C46" s="14" t="str">
        <f ca="1">INDIRECT(Currency&amp;".Float.Period")</f>
        <v>QUARTERLY</v>
      </c>
      <c r="D46" s="4">
        <f t="shared" ca="1" si="19"/>
        <v>41</v>
      </c>
      <c r="E46" s="26" t="str">
        <f t="shared" ca="1" si="20"/>
        <v/>
      </c>
      <c r="F46" s="27" t="str">
        <f t="shared" ca="1" si="14"/>
        <v/>
      </c>
      <c r="G46" s="27" t="str">
        <f t="shared" ca="1" si="15"/>
        <v/>
      </c>
      <c r="H46" s="28" t="str">
        <f t="shared" ca="1" si="38"/>
        <v/>
      </c>
      <c r="I46" s="29" t="str">
        <f t="shared" ca="1" si="23"/>
        <v/>
      </c>
      <c r="J46" s="30" t="str">
        <f t="shared" ca="1" si="24"/>
        <v/>
      </c>
      <c r="K46" s="28" t="str">
        <f t="shared" ca="1" si="25"/>
        <v/>
      </c>
      <c r="L46" s="31" t="str">
        <f t="shared" ca="1" si="26"/>
        <v/>
      </c>
      <c r="M46" s="29" t="str">
        <f t="shared" ca="1" si="27"/>
        <v/>
      </c>
      <c r="N46" s="14" t="b">
        <f ca="1">IF(SUM(K$6:K45)+t_i&lt;=T,TRUE,FALSE)</f>
        <v>0</v>
      </c>
      <c r="O46" s="58">
        <f t="shared" ca="1" si="22"/>
        <v>41</v>
      </c>
      <c r="P46" s="26" t="str">
        <f t="shared" ca="1" si="28"/>
        <v/>
      </c>
      <c r="Q46" s="27" t="str">
        <f t="shared" ca="1" si="39"/>
        <v/>
      </c>
      <c r="R46" s="27" t="str">
        <f t="shared" ca="1" si="29"/>
        <v/>
      </c>
      <c r="S46" s="27" t="str">
        <f t="shared" ca="1" si="30"/>
        <v/>
      </c>
      <c r="T46" s="28" t="str">
        <f t="shared" ca="1" si="40"/>
        <v/>
      </c>
      <c r="U46" s="29" t="str">
        <f t="shared" ca="1" si="31"/>
        <v/>
      </c>
      <c r="V46" s="30" t="str">
        <f t="shared" ca="1" si="32"/>
        <v/>
      </c>
      <c r="W46" s="28" t="str">
        <f t="shared" ca="1" si="33"/>
        <v/>
      </c>
      <c r="X46" s="30" t="str">
        <f t="shared" ca="1" si="34"/>
        <v/>
      </c>
      <c r="Y46" s="28" t="str">
        <f t="shared" ca="1" si="35"/>
        <v/>
      </c>
      <c r="Z46" s="31" t="str">
        <f t="shared" ca="1" si="36"/>
        <v/>
      </c>
      <c r="AA46" s="29" t="str">
        <f t="shared" ca="1" si="37"/>
        <v/>
      </c>
      <c r="AB46" s="14" t="b">
        <f ca="1">IF(SUM(Y$6:Y35)+t_j&lt;=T,TRUE,FALSE)</f>
        <v>0</v>
      </c>
      <c r="AC46" s="59"/>
    </row>
    <row r="47" spans="2:29" x14ac:dyDescent="0.3">
      <c r="B47" s="78" t="s">
        <v>120</v>
      </c>
      <c r="C47" s="14" t="str">
        <f ca="1">IF(OverrideMarketFrequency,"ANNUAL",C46)</f>
        <v>QUARTERLY</v>
      </c>
      <c r="D47" s="4">
        <f t="shared" ca="1" si="19"/>
        <v>42</v>
      </c>
      <c r="E47" s="26" t="str">
        <f t="shared" ca="1" si="20"/>
        <v/>
      </c>
      <c r="F47" s="27" t="str">
        <f t="shared" ca="1" si="14"/>
        <v/>
      </c>
      <c r="G47" s="27" t="str">
        <f t="shared" ca="1" si="15"/>
        <v/>
      </c>
      <c r="H47" s="28" t="str">
        <f t="shared" ca="1" si="38"/>
        <v/>
      </c>
      <c r="I47" s="29" t="str">
        <f t="shared" ca="1" si="23"/>
        <v/>
      </c>
      <c r="J47" s="30" t="str">
        <f t="shared" ca="1" si="24"/>
        <v/>
      </c>
      <c r="K47" s="28" t="str">
        <f t="shared" ca="1" si="25"/>
        <v/>
      </c>
      <c r="L47" s="31" t="str">
        <f t="shared" ca="1" si="26"/>
        <v/>
      </c>
      <c r="M47" s="29" t="str">
        <f t="shared" ca="1" si="27"/>
        <v/>
      </c>
      <c r="N47" s="14" t="b">
        <f ca="1">IF(SUM(K$6:K46)+t_i&lt;=T,TRUE,FALSE)</f>
        <v>0</v>
      </c>
      <c r="O47" s="58">
        <f t="shared" ca="1" si="22"/>
        <v>42</v>
      </c>
      <c r="P47" s="26" t="str">
        <f t="shared" ca="1" si="28"/>
        <v/>
      </c>
      <c r="Q47" s="27" t="str">
        <f t="shared" ca="1" si="39"/>
        <v/>
      </c>
      <c r="R47" s="27" t="str">
        <f t="shared" ca="1" si="29"/>
        <v/>
      </c>
      <c r="S47" s="27" t="str">
        <f t="shared" ca="1" si="30"/>
        <v/>
      </c>
      <c r="T47" s="28" t="str">
        <f t="shared" ca="1" si="40"/>
        <v/>
      </c>
      <c r="U47" s="29" t="str">
        <f t="shared" ca="1" si="31"/>
        <v/>
      </c>
      <c r="V47" s="30" t="str">
        <f t="shared" ca="1" si="32"/>
        <v/>
      </c>
      <c r="W47" s="28" t="str">
        <f t="shared" ca="1" si="33"/>
        <v/>
      </c>
      <c r="X47" s="30" t="str">
        <f t="shared" ca="1" si="34"/>
        <v/>
      </c>
      <c r="Y47" s="28" t="str">
        <f t="shared" ca="1" si="35"/>
        <v/>
      </c>
      <c r="Z47" s="31" t="str">
        <f t="shared" ca="1" si="36"/>
        <v/>
      </c>
      <c r="AA47" s="29" t="str">
        <f t="shared" ca="1" si="37"/>
        <v/>
      </c>
      <c r="AB47" s="14" t="b">
        <f ca="1">IF(SUM(Y$6:Y36)+t_j&lt;=T,TRUE,FALSE)</f>
        <v>0</v>
      </c>
      <c r="AC47" s="59"/>
    </row>
    <row r="48" spans="2:29" x14ac:dyDescent="0.3">
      <c r="B48" s="79" t="s">
        <v>48</v>
      </c>
      <c r="C48" s="109">
        <f ca="1">IF(C47="ANNUAL",1,IF(C47="SEMI-ANNUAL",0.5,IF(C47="QUARTERLY",0.25,1/12)))</f>
        <v>0.25</v>
      </c>
      <c r="D48" s="4">
        <f t="shared" ca="1" si="19"/>
        <v>43</v>
      </c>
      <c r="E48" s="26" t="str">
        <f t="shared" ca="1" si="20"/>
        <v/>
      </c>
      <c r="F48" s="27" t="str">
        <f t="shared" ca="1" si="14"/>
        <v/>
      </c>
      <c r="G48" s="27" t="str">
        <f t="shared" ca="1" si="15"/>
        <v/>
      </c>
      <c r="H48" s="28" t="str">
        <f t="shared" ca="1" si="38"/>
        <v/>
      </c>
      <c r="I48" s="29" t="str">
        <f t="shared" ca="1" si="23"/>
        <v/>
      </c>
      <c r="J48" s="30" t="str">
        <f t="shared" ca="1" si="24"/>
        <v/>
      </c>
      <c r="K48" s="28" t="str">
        <f t="shared" ca="1" si="25"/>
        <v/>
      </c>
      <c r="L48" s="31" t="str">
        <f t="shared" ca="1" si="26"/>
        <v/>
      </c>
      <c r="M48" s="29" t="str">
        <f t="shared" ca="1" si="27"/>
        <v/>
      </c>
      <c r="N48" s="14" t="b">
        <f ca="1">IF(SUM(K$6:K47)+t_i&lt;=T,TRUE,FALSE)</f>
        <v>0</v>
      </c>
      <c r="O48" s="58">
        <f t="shared" ca="1" si="22"/>
        <v>43</v>
      </c>
      <c r="P48" s="26" t="str">
        <f t="shared" ca="1" si="28"/>
        <v/>
      </c>
      <c r="Q48" s="27" t="str">
        <f t="shared" ca="1" si="39"/>
        <v/>
      </c>
      <c r="R48" s="27" t="str">
        <f t="shared" ca="1" si="29"/>
        <v/>
      </c>
      <c r="S48" s="27" t="str">
        <f t="shared" ca="1" si="30"/>
        <v/>
      </c>
      <c r="T48" s="28" t="str">
        <f t="shared" ca="1" si="40"/>
        <v/>
      </c>
      <c r="U48" s="29" t="str">
        <f t="shared" ca="1" si="31"/>
        <v/>
      </c>
      <c r="V48" s="30" t="str">
        <f t="shared" ca="1" si="32"/>
        <v/>
      </c>
      <c r="W48" s="28" t="str">
        <f t="shared" ca="1" si="33"/>
        <v/>
      </c>
      <c r="X48" s="30" t="str">
        <f t="shared" ca="1" si="34"/>
        <v/>
      </c>
      <c r="Y48" s="28" t="str">
        <f t="shared" ca="1" si="35"/>
        <v/>
      </c>
      <c r="Z48" s="31" t="str">
        <f t="shared" ca="1" si="36"/>
        <v/>
      </c>
      <c r="AA48" s="29" t="str">
        <f t="shared" ca="1" si="37"/>
        <v/>
      </c>
      <c r="AB48" s="14" t="b">
        <f ca="1">IF(SUM(Y$6:Y37)+t_j&lt;=T,TRUE,FALSE)</f>
        <v>0</v>
      </c>
      <c r="AC48" s="59"/>
    </row>
    <row r="49" spans="2:29" x14ac:dyDescent="0.3">
      <c r="D49" s="4">
        <f t="shared" ca="1" si="19"/>
        <v>44</v>
      </c>
      <c r="E49" s="26" t="str">
        <f t="shared" ca="1" si="20"/>
        <v/>
      </c>
      <c r="F49" s="27" t="str">
        <f t="shared" ca="1" si="14"/>
        <v/>
      </c>
      <c r="G49" s="27" t="str">
        <f t="shared" ca="1" si="15"/>
        <v/>
      </c>
      <c r="H49" s="28" t="str">
        <f t="shared" ca="1" si="38"/>
        <v/>
      </c>
      <c r="I49" s="29" t="str">
        <f t="shared" ca="1" si="23"/>
        <v/>
      </c>
      <c r="J49" s="30" t="str">
        <f t="shared" ca="1" si="24"/>
        <v/>
      </c>
      <c r="K49" s="28" t="str">
        <f t="shared" ca="1" si="25"/>
        <v/>
      </c>
      <c r="L49" s="31" t="str">
        <f t="shared" ca="1" si="26"/>
        <v/>
      </c>
      <c r="M49" s="29" t="str">
        <f t="shared" ca="1" si="27"/>
        <v/>
      </c>
      <c r="N49" s="14" t="b">
        <f ca="1">IF(SUM(K$6:K48)+t_i&lt;=T,TRUE,FALSE)</f>
        <v>0</v>
      </c>
      <c r="O49" s="58">
        <f t="shared" ca="1" si="22"/>
        <v>44</v>
      </c>
      <c r="P49" s="26" t="str">
        <f t="shared" ca="1" si="28"/>
        <v/>
      </c>
      <c r="Q49" s="27" t="str">
        <f t="shared" ca="1" si="39"/>
        <v/>
      </c>
      <c r="R49" s="27" t="str">
        <f t="shared" ca="1" si="29"/>
        <v/>
      </c>
      <c r="S49" s="27" t="str">
        <f t="shared" ca="1" si="30"/>
        <v/>
      </c>
      <c r="T49" s="28" t="str">
        <f t="shared" ca="1" si="40"/>
        <v/>
      </c>
      <c r="U49" s="29" t="str">
        <f t="shared" ca="1" si="31"/>
        <v/>
      </c>
      <c r="V49" s="30" t="str">
        <f t="shared" ca="1" si="32"/>
        <v/>
      </c>
      <c r="W49" s="28" t="str">
        <f t="shared" ca="1" si="33"/>
        <v/>
      </c>
      <c r="X49" s="30" t="str">
        <f t="shared" ca="1" si="34"/>
        <v/>
      </c>
      <c r="Y49" s="28" t="str">
        <f t="shared" ca="1" si="35"/>
        <v/>
      </c>
      <c r="Z49" s="31" t="str">
        <f t="shared" ca="1" si="36"/>
        <v/>
      </c>
      <c r="AA49" s="29" t="str">
        <f t="shared" ca="1" si="37"/>
        <v/>
      </c>
      <c r="AB49" s="14" t="b">
        <f ca="1">IF(SUM(Y$6:Y38)+t_j&lt;=T,TRUE,FALSE)</f>
        <v>0</v>
      </c>
      <c r="AC49" s="59"/>
    </row>
    <row r="50" spans="2:29" x14ac:dyDescent="0.3">
      <c r="B50" s="5" t="s">
        <v>106</v>
      </c>
      <c r="D50" s="4">
        <f t="shared" ca="1" si="19"/>
        <v>45</v>
      </c>
      <c r="E50" s="26" t="str">
        <f t="shared" ca="1" si="20"/>
        <v/>
      </c>
      <c r="F50" s="27" t="str">
        <f t="shared" ca="1" si="14"/>
        <v/>
      </c>
      <c r="G50" s="27" t="str">
        <f t="shared" ca="1" si="15"/>
        <v/>
      </c>
      <c r="H50" s="28" t="str">
        <f t="shared" ca="1" si="38"/>
        <v/>
      </c>
      <c r="I50" s="29" t="str">
        <f t="shared" ca="1" si="23"/>
        <v/>
      </c>
      <c r="J50" s="30" t="str">
        <f t="shared" ca="1" si="24"/>
        <v/>
      </c>
      <c r="K50" s="28" t="str">
        <f t="shared" ca="1" si="25"/>
        <v/>
      </c>
      <c r="L50" s="31" t="str">
        <f t="shared" ca="1" si="26"/>
        <v/>
      </c>
      <c r="M50" s="29" t="str">
        <f t="shared" ca="1" si="27"/>
        <v/>
      </c>
      <c r="N50" s="14" t="b">
        <f ca="1">IF(SUM(K$6:K49)+t_i&lt;=T,TRUE,FALSE)</f>
        <v>0</v>
      </c>
      <c r="O50" s="58">
        <f t="shared" ca="1" si="22"/>
        <v>45</v>
      </c>
      <c r="P50" s="26" t="str">
        <f t="shared" ca="1" si="28"/>
        <v/>
      </c>
      <c r="Q50" s="27" t="str">
        <f t="shared" ca="1" si="39"/>
        <v/>
      </c>
      <c r="R50" s="27" t="str">
        <f t="shared" ca="1" si="29"/>
        <v/>
      </c>
      <c r="S50" s="27" t="str">
        <f t="shared" ca="1" si="30"/>
        <v/>
      </c>
      <c r="T50" s="28" t="str">
        <f t="shared" ca="1" si="40"/>
        <v/>
      </c>
      <c r="U50" s="29" t="str">
        <f t="shared" ca="1" si="31"/>
        <v/>
      </c>
      <c r="V50" s="30" t="str">
        <f t="shared" ca="1" si="32"/>
        <v/>
      </c>
      <c r="W50" s="28" t="str">
        <f t="shared" ca="1" si="33"/>
        <v/>
      </c>
      <c r="X50" s="30" t="str">
        <f t="shared" ca="1" si="34"/>
        <v/>
      </c>
      <c r="Y50" s="28" t="str">
        <f t="shared" ca="1" si="35"/>
        <v/>
      </c>
      <c r="Z50" s="31" t="str">
        <f t="shared" ca="1" si="36"/>
        <v/>
      </c>
      <c r="AA50" s="29" t="str">
        <f t="shared" ca="1" si="37"/>
        <v/>
      </c>
      <c r="AB50" s="14" t="b">
        <f ca="1">IF(SUM(Y$6:Y39)+t_j&lt;=T,TRUE,FALSE)</f>
        <v>0</v>
      </c>
      <c r="AC50" s="59"/>
    </row>
    <row r="51" spans="2:29" x14ac:dyDescent="0.3">
      <c r="B51" s="76" t="s">
        <v>93</v>
      </c>
      <c r="C51" s="92"/>
      <c r="D51" s="4">
        <f t="shared" ca="1" si="19"/>
        <v>46</v>
      </c>
      <c r="E51" s="26" t="str">
        <f t="shared" ca="1" si="20"/>
        <v/>
      </c>
      <c r="F51" s="27" t="str">
        <f t="shared" ca="1" si="14"/>
        <v/>
      </c>
      <c r="G51" s="27" t="str">
        <f t="shared" ca="1" si="15"/>
        <v/>
      </c>
      <c r="H51" s="28" t="str">
        <f t="shared" ca="1" si="38"/>
        <v/>
      </c>
      <c r="I51" s="29" t="str">
        <f t="shared" ca="1" si="23"/>
        <v/>
      </c>
      <c r="J51" s="30" t="str">
        <f t="shared" ca="1" si="24"/>
        <v/>
      </c>
      <c r="K51" s="28" t="str">
        <f t="shared" ca="1" si="25"/>
        <v/>
      </c>
      <c r="L51" s="31" t="str">
        <f t="shared" ca="1" si="26"/>
        <v/>
      </c>
      <c r="M51" s="29" t="str">
        <f t="shared" ca="1" si="27"/>
        <v/>
      </c>
      <c r="N51" s="14" t="b">
        <f ca="1">IF(SUM(K$6:K50)+t_i&lt;=T,TRUE,FALSE)</f>
        <v>0</v>
      </c>
      <c r="O51" s="58">
        <f t="shared" ca="1" si="22"/>
        <v>46</v>
      </c>
      <c r="P51" s="26" t="str">
        <f t="shared" ca="1" si="28"/>
        <v/>
      </c>
      <c r="Q51" s="27" t="str">
        <f t="shared" ca="1" si="39"/>
        <v/>
      </c>
      <c r="R51" s="27" t="str">
        <f t="shared" ca="1" si="29"/>
        <v/>
      </c>
      <c r="S51" s="27" t="str">
        <f t="shared" ca="1" si="30"/>
        <v/>
      </c>
      <c r="T51" s="28" t="str">
        <f t="shared" ca="1" si="40"/>
        <v/>
      </c>
      <c r="U51" s="29" t="str">
        <f t="shared" ca="1" si="31"/>
        <v/>
      </c>
      <c r="V51" s="30" t="str">
        <f t="shared" ca="1" si="32"/>
        <v/>
      </c>
      <c r="W51" s="28" t="str">
        <f t="shared" ca="1" si="33"/>
        <v/>
      </c>
      <c r="X51" s="30" t="str">
        <f t="shared" ca="1" si="34"/>
        <v/>
      </c>
      <c r="Y51" s="28" t="str">
        <f t="shared" ca="1" si="35"/>
        <v/>
      </c>
      <c r="Z51" s="31" t="str">
        <f t="shared" ca="1" si="36"/>
        <v/>
      </c>
      <c r="AA51" s="29" t="str">
        <f t="shared" ca="1" si="37"/>
        <v/>
      </c>
      <c r="AB51" s="14" t="b">
        <f ca="1">IF(SUM(Y$6:Y40)+t_j&lt;=T,TRUE,FALSE)</f>
        <v>0</v>
      </c>
      <c r="AC51" s="59"/>
    </row>
    <row r="52" spans="2:29" x14ac:dyDescent="0.3">
      <c r="B52" s="75" t="s">
        <v>94</v>
      </c>
      <c r="C52" s="87">
        <f ca="1">Phi*SUM(PVlets_Fixed)</f>
        <v>49010.295204946364</v>
      </c>
      <c r="D52" s="4">
        <f t="shared" ca="1" si="19"/>
        <v>47</v>
      </c>
      <c r="E52" s="26" t="str">
        <f t="shared" ca="1" si="20"/>
        <v/>
      </c>
      <c r="F52" s="27" t="str">
        <f t="shared" ca="1" si="14"/>
        <v/>
      </c>
      <c r="G52" s="27" t="str">
        <f t="shared" ca="1" si="15"/>
        <v/>
      </c>
      <c r="H52" s="28" t="str">
        <f t="shared" ca="1" si="38"/>
        <v/>
      </c>
      <c r="I52" s="29" t="str">
        <f t="shared" ca="1" si="23"/>
        <v/>
      </c>
      <c r="J52" s="30" t="str">
        <f t="shared" ca="1" si="24"/>
        <v/>
      </c>
      <c r="K52" s="28" t="str">
        <f t="shared" ca="1" si="25"/>
        <v/>
      </c>
      <c r="L52" s="31" t="str">
        <f t="shared" ca="1" si="26"/>
        <v/>
      </c>
      <c r="M52" s="29" t="str">
        <f t="shared" ca="1" si="27"/>
        <v/>
      </c>
      <c r="N52" s="14" t="b">
        <f ca="1">IF(SUM(K$6:K51)+t_i&lt;=T,TRUE,FALSE)</f>
        <v>0</v>
      </c>
      <c r="O52" s="58">
        <f t="shared" ca="1" si="22"/>
        <v>47</v>
      </c>
      <c r="P52" s="26" t="str">
        <f t="shared" ca="1" si="28"/>
        <v/>
      </c>
      <c r="Q52" s="27" t="str">
        <f t="shared" ca="1" si="39"/>
        <v/>
      </c>
      <c r="R52" s="27" t="str">
        <f t="shared" ca="1" si="29"/>
        <v/>
      </c>
      <c r="S52" s="27" t="str">
        <f t="shared" ca="1" si="30"/>
        <v/>
      </c>
      <c r="T52" s="28" t="str">
        <f t="shared" ca="1" si="40"/>
        <v/>
      </c>
      <c r="U52" s="29" t="str">
        <f t="shared" ca="1" si="31"/>
        <v/>
      </c>
      <c r="V52" s="30" t="str">
        <f t="shared" ca="1" si="32"/>
        <v/>
      </c>
      <c r="W52" s="28" t="str">
        <f t="shared" ca="1" si="33"/>
        <v/>
      </c>
      <c r="X52" s="30" t="str">
        <f t="shared" ca="1" si="34"/>
        <v/>
      </c>
      <c r="Y52" s="28" t="str">
        <f t="shared" ca="1" si="35"/>
        <v/>
      </c>
      <c r="Z52" s="31" t="str">
        <f t="shared" ca="1" si="36"/>
        <v/>
      </c>
      <c r="AA52" s="29" t="str">
        <f t="shared" ca="1" si="37"/>
        <v/>
      </c>
      <c r="AB52" s="14" t="b">
        <f ca="1">IF(SUM(Y$6:Y41)+t_j&lt;=T,TRUE,FALSE)</f>
        <v>0</v>
      </c>
      <c r="AC52" s="59"/>
    </row>
    <row r="53" spans="2:29" x14ac:dyDescent="0.3">
      <c r="B53" s="73" t="s">
        <v>95</v>
      </c>
      <c r="C53" s="93">
        <f ca="1">-Phi*SUM(PVlets_Float)</f>
        <v>-29729.734989276854</v>
      </c>
      <c r="D53" s="4">
        <f t="shared" ca="1" si="19"/>
        <v>48</v>
      </c>
      <c r="E53" s="26" t="str">
        <f t="shared" ca="1" si="20"/>
        <v/>
      </c>
      <c r="F53" s="27" t="str">
        <f t="shared" ca="1" si="14"/>
        <v/>
      </c>
      <c r="G53" s="27" t="str">
        <f t="shared" ca="1" si="15"/>
        <v/>
      </c>
      <c r="H53" s="28" t="str">
        <f t="shared" ca="1" si="38"/>
        <v/>
      </c>
      <c r="I53" s="29" t="str">
        <f t="shared" ca="1" si="23"/>
        <v/>
      </c>
      <c r="J53" s="30" t="str">
        <f t="shared" ca="1" si="24"/>
        <v/>
      </c>
      <c r="K53" s="28" t="str">
        <f t="shared" ca="1" si="25"/>
        <v/>
      </c>
      <c r="L53" s="31" t="str">
        <f t="shared" ca="1" si="26"/>
        <v/>
      </c>
      <c r="M53" s="29" t="str">
        <f t="shared" ca="1" si="27"/>
        <v/>
      </c>
      <c r="N53" s="14" t="b">
        <f ca="1">IF(SUM(K$6:K52)+t_i&lt;=T,TRUE,FALSE)</f>
        <v>0</v>
      </c>
      <c r="O53" s="58">
        <f t="shared" ca="1" si="22"/>
        <v>48</v>
      </c>
      <c r="P53" s="26" t="str">
        <f t="shared" ca="1" si="28"/>
        <v/>
      </c>
      <c r="Q53" s="27" t="str">
        <f t="shared" ca="1" si="39"/>
        <v/>
      </c>
      <c r="R53" s="27" t="str">
        <f t="shared" ca="1" si="29"/>
        <v/>
      </c>
      <c r="S53" s="27" t="str">
        <f t="shared" ca="1" si="30"/>
        <v/>
      </c>
      <c r="T53" s="28" t="str">
        <f t="shared" ca="1" si="40"/>
        <v/>
      </c>
      <c r="U53" s="29" t="str">
        <f t="shared" ca="1" si="31"/>
        <v/>
      </c>
      <c r="V53" s="30" t="str">
        <f t="shared" ca="1" si="32"/>
        <v/>
      </c>
      <c r="W53" s="28" t="str">
        <f t="shared" ca="1" si="33"/>
        <v/>
      </c>
      <c r="X53" s="30" t="str">
        <f t="shared" ca="1" si="34"/>
        <v/>
      </c>
      <c r="Y53" s="28" t="str">
        <f t="shared" ca="1" si="35"/>
        <v/>
      </c>
      <c r="Z53" s="31" t="str">
        <f t="shared" ca="1" si="36"/>
        <v/>
      </c>
      <c r="AA53" s="29" t="str">
        <f t="shared" ca="1" si="37"/>
        <v/>
      </c>
      <c r="AB53" s="14" t="b">
        <f ca="1">IF(SUM(Y$6:Y42)+t_j&lt;=T,TRUE,FALSE)</f>
        <v>0</v>
      </c>
      <c r="AC53" s="59"/>
    </row>
    <row r="54" spans="2:29" x14ac:dyDescent="0.3">
      <c r="B54" s="73" t="s">
        <v>113</v>
      </c>
      <c r="C54" s="93">
        <f ca="1">-Phi*SUMPRODUCT(U6:U55,W6:W55,Y6:Y55,Z6:Z55)/10000</f>
        <v>0</v>
      </c>
      <c r="D54" s="4">
        <f t="shared" ca="1" si="19"/>
        <v>49</v>
      </c>
      <c r="E54" s="26" t="str">
        <f t="shared" ca="1" si="20"/>
        <v/>
      </c>
      <c r="F54" s="27" t="str">
        <f t="shared" ca="1" si="14"/>
        <v/>
      </c>
      <c r="G54" s="27" t="str">
        <f t="shared" ca="1" si="15"/>
        <v/>
      </c>
      <c r="H54" s="28" t="str">
        <f t="shared" ca="1" si="38"/>
        <v/>
      </c>
      <c r="I54" s="29" t="str">
        <f t="shared" ca="1" si="23"/>
        <v/>
      </c>
      <c r="J54" s="30" t="str">
        <f t="shared" ca="1" si="24"/>
        <v/>
      </c>
      <c r="K54" s="28" t="str">
        <f t="shared" ca="1" si="25"/>
        <v/>
      </c>
      <c r="L54" s="31" t="str">
        <f t="shared" ca="1" si="26"/>
        <v/>
      </c>
      <c r="M54" s="29" t="str">
        <f t="shared" ca="1" si="27"/>
        <v/>
      </c>
      <c r="N54" s="14" t="b">
        <f ca="1">IF(SUM(K$6:K53)+t_i&lt;=T,TRUE,FALSE)</f>
        <v>0</v>
      </c>
      <c r="O54" s="58">
        <f t="shared" ca="1" si="22"/>
        <v>49</v>
      </c>
      <c r="P54" s="26" t="str">
        <f t="shared" ca="1" si="28"/>
        <v/>
      </c>
      <c r="Q54" s="27" t="str">
        <f t="shared" ca="1" si="39"/>
        <v/>
      </c>
      <c r="R54" s="27" t="str">
        <f t="shared" ca="1" si="29"/>
        <v/>
      </c>
      <c r="S54" s="27" t="str">
        <f t="shared" ca="1" si="30"/>
        <v/>
      </c>
      <c r="T54" s="28" t="str">
        <f t="shared" ca="1" si="40"/>
        <v/>
      </c>
      <c r="U54" s="29" t="str">
        <f t="shared" ca="1" si="31"/>
        <v/>
      </c>
      <c r="V54" s="30" t="str">
        <f t="shared" ca="1" si="32"/>
        <v/>
      </c>
      <c r="W54" s="28" t="str">
        <f t="shared" ca="1" si="33"/>
        <v/>
      </c>
      <c r="X54" s="30" t="str">
        <f t="shared" ca="1" si="34"/>
        <v/>
      </c>
      <c r="Y54" s="28" t="str">
        <f t="shared" ca="1" si="35"/>
        <v/>
      </c>
      <c r="Z54" s="31" t="str">
        <f t="shared" ca="1" si="36"/>
        <v/>
      </c>
      <c r="AA54" s="29" t="str">
        <f t="shared" ca="1" si="37"/>
        <v/>
      </c>
      <c r="AB54" s="14" t="b">
        <f ca="1">IF(SUM(Y$6:Y43)+t_j&lt;=T,TRUE,FALSE)</f>
        <v>0</v>
      </c>
      <c r="AC54" s="59"/>
    </row>
    <row r="55" spans="2:29" x14ac:dyDescent="0.3">
      <c r="B55" s="71" t="s">
        <v>25</v>
      </c>
      <c r="C55" s="93">
        <f ca="1">PV_FixedLeg+PV_FloatLeg</f>
        <v>19280.560215669509</v>
      </c>
      <c r="D55" s="4">
        <f t="shared" ca="1" si="19"/>
        <v>50</v>
      </c>
      <c r="E55" s="32" t="str">
        <f t="shared" ca="1" si="20"/>
        <v/>
      </c>
      <c r="F55" s="33" t="str">
        <f t="shared" ca="1" si="14"/>
        <v/>
      </c>
      <c r="G55" s="33" t="str">
        <f t="shared" ca="1" si="15"/>
        <v/>
      </c>
      <c r="H55" s="34" t="str">
        <f t="shared" ca="1" si="38"/>
        <v/>
      </c>
      <c r="I55" s="35" t="str">
        <f t="shared" ca="1" si="23"/>
        <v/>
      </c>
      <c r="J55" s="36" t="str">
        <f t="shared" ca="1" si="24"/>
        <v/>
      </c>
      <c r="K55" s="34" t="str">
        <f t="shared" ca="1" si="25"/>
        <v/>
      </c>
      <c r="L55" s="37" t="str">
        <f t="shared" ca="1" si="26"/>
        <v/>
      </c>
      <c r="M55" s="35" t="str">
        <f t="shared" ca="1" si="27"/>
        <v/>
      </c>
      <c r="N55" s="8" t="b">
        <f ca="1">IF(SUM(K$6:K54)+t_i&lt;=T,TRUE,FALSE)</f>
        <v>0</v>
      </c>
      <c r="O55" s="58">
        <f t="shared" ca="1" si="22"/>
        <v>50</v>
      </c>
      <c r="P55" s="32" t="str">
        <f t="shared" ca="1" si="28"/>
        <v/>
      </c>
      <c r="Q55" s="33" t="str">
        <f t="shared" ca="1" si="39"/>
        <v/>
      </c>
      <c r="R55" s="33" t="str">
        <f t="shared" ca="1" si="29"/>
        <v/>
      </c>
      <c r="S55" s="33" t="str">
        <f t="shared" ca="1" si="30"/>
        <v/>
      </c>
      <c r="T55" s="34" t="str">
        <f t="shared" ca="1" si="40"/>
        <v/>
      </c>
      <c r="U55" s="35" t="str">
        <f t="shared" ca="1" si="31"/>
        <v/>
      </c>
      <c r="V55" s="36" t="str">
        <f t="shared" ca="1" si="32"/>
        <v/>
      </c>
      <c r="W55" s="34" t="str">
        <f t="shared" ca="1" si="33"/>
        <v/>
      </c>
      <c r="X55" s="36" t="str">
        <f t="shared" ca="1" si="34"/>
        <v/>
      </c>
      <c r="Y55" s="34" t="str">
        <f t="shared" ca="1" si="35"/>
        <v/>
      </c>
      <c r="Z55" s="37" t="str">
        <f t="shared" ca="1" si="36"/>
        <v/>
      </c>
      <c r="AA55" s="35" t="str">
        <f t="shared" ca="1" si="37"/>
        <v/>
      </c>
      <c r="AB55" s="14" t="b">
        <f ca="1">IF(SUM(Y$6:Y44)+t_j&lt;=T,TRUE,FALSE)</f>
        <v>0</v>
      </c>
      <c r="AC55" s="59"/>
    </row>
    <row r="56" spans="2:29" x14ac:dyDescent="0.3">
      <c r="B56" s="72" t="s">
        <v>35</v>
      </c>
      <c r="C56" s="40">
        <f ca="1">ABS(PV_FloatLeg)/Annuity_Fixed</f>
        <v>6.0660183467485772E-3</v>
      </c>
      <c r="AB56" s="14" t="b">
        <f ca="1">IF(SUM(Y$6:Y45)+t_j&lt;=T,TRUE,FALSE)</f>
        <v>0</v>
      </c>
      <c r="AC56" s="59"/>
    </row>
    <row r="57" spans="2:29" x14ac:dyDescent="0.3">
      <c r="AB57" s="14" t="b">
        <f ca="1">IF(SUM(Y$6:Y46)+t_j&lt;=T,TRUE,FALSE)</f>
        <v>0</v>
      </c>
      <c r="AC57" s="59"/>
    </row>
    <row r="58" spans="2:29" x14ac:dyDescent="0.3">
      <c r="B58" s="76" t="s">
        <v>41</v>
      </c>
      <c r="C58" s="92"/>
      <c r="AB58" s="14" t="b">
        <f ca="1">IF(SUM(Y$6:Y47)+t_j&lt;=T,TRUE,FALSE)</f>
        <v>0</v>
      </c>
      <c r="AC58" s="59"/>
    </row>
    <row r="59" spans="2:29" ht="16.2" x14ac:dyDescent="0.3">
      <c r="B59" s="71" t="s">
        <v>33</v>
      </c>
      <c r="C59" s="94">
        <f ca="1">SUMPRODUCT(K6:K55,L6:L55)</f>
        <v>4.901029520494637</v>
      </c>
      <c r="AB59" s="14" t="b">
        <f ca="1">IF(SUM(Y$6:Y48)+t_j&lt;=T,TRUE,FALSE)</f>
        <v>0</v>
      </c>
      <c r="AC59" s="59"/>
    </row>
    <row r="60" spans="2:29" ht="16.2" x14ac:dyDescent="0.3">
      <c r="B60" s="71" t="s">
        <v>34</v>
      </c>
      <c r="C60" s="94">
        <f ca="1">SUMPRODUCT(Y6:Y55,Z6:Z55)</f>
        <v>4.9059651325192419</v>
      </c>
      <c r="AB60" s="14" t="b">
        <f ca="1">IF(SUM(Y$6:Y49)+t_j&lt;=T,TRUE,FALSE)</f>
        <v>0</v>
      </c>
      <c r="AC60" s="59"/>
    </row>
    <row r="61" spans="2:29" ht="16.2" x14ac:dyDescent="0.3">
      <c r="B61" s="71" t="s">
        <v>36</v>
      </c>
      <c r="C61" s="93">
        <f ca="1">SUMPRODUCT(K6:K55,L6:L55,I6:I55)</f>
        <v>4901029.520494638</v>
      </c>
      <c r="AB61" s="14" t="b">
        <f ca="1">IF(SUM(Y$6:Y50)+t_j&lt;=T,TRUE,FALSE)</f>
        <v>0</v>
      </c>
      <c r="AC61" s="59"/>
    </row>
    <row r="62" spans="2:29" ht="16.2" x14ac:dyDescent="0.3">
      <c r="B62" s="74" t="s">
        <v>37</v>
      </c>
      <c r="C62" s="88">
        <f ca="1">SUMPRODUCT(Y6:Y55,Z6:Z55,U6:U55)</f>
        <v>4905965.1325192414</v>
      </c>
      <c r="AB62" s="14" t="b">
        <f ca="1">IF(SUM(Y$6:Y51)+t_j&lt;=T,TRUE,FALSE)</f>
        <v>0</v>
      </c>
      <c r="AC62" s="59"/>
    </row>
    <row r="63" spans="2:29" x14ac:dyDescent="0.3">
      <c r="AB63" s="14" t="b">
        <f ca="1">IF(SUM(Y$6:Y52)+t_j&lt;=T,TRUE,FALSE)</f>
        <v>0</v>
      </c>
      <c r="AC63" s="59"/>
    </row>
    <row r="64" spans="2:29" x14ac:dyDescent="0.3">
      <c r="B64" s="80" t="s">
        <v>100</v>
      </c>
      <c r="C64" s="92"/>
      <c r="AB64" s="14" t="b">
        <f ca="1">IF(SUM(Y$6:Y53)+t_j&lt;=T,TRUE,FALSE)</f>
        <v>0</v>
      </c>
      <c r="AC64" s="59"/>
    </row>
    <row r="65" spans="2:29" ht="16.2" x14ac:dyDescent="0.3">
      <c r="B65" s="73" t="s">
        <v>92</v>
      </c>
      <c r="C65" s="52">
        <f ca="1">SUMPRODUCT(H6:H55,I6:I55,J6:J55,K6:K55,L6:L55)/SUMPRODUCT(I6:I55,J6:J55,K6:K55,L6:L55)*(1+p)</f>
        <v>2.7482131120895281</v>
      </c>
      <c r="AB65" s="8" t="b">
        <f ca="1">IF(SUM(Y$6:Y54)+t_j&lt;=T,TRUE,FALSE)</f>
        <v>0</v>
      </c>
      <c r="AC65" s="59"/>
    </row>
    <row r="66" spans="2:29" ht="16.2" x14ac:dyDescent="0.3">
      <c r="B66" s="73" t="s">
        <v>114</v>
      </c>
      <c r="C66" s="52">
        <f ca="1">SUMPRODUCT(T6:T55,U6:U55,Y6:Y55,X6:X55,Z6:Z55)/SUMPRODUCT(U6:U55,X6:X55,Y6:Y55,Z6:Z55)*(1+p)</f>
        <v>3.1126960435111304</v>
      </c>
    </row>
    <row r="67" spans="2:29" x14ac:dyDescent="0.3">
      <c r="B67" s="73" t="s">
        <v>72</v>
      </c>
      <c r="C67" s="93">
        <f ca="1">Phi*Annuity_Fixed/10000</f>
        <v>490.10295204946379</v>
      </c>
    </row>
    <row r="68" spans="2:29" x14ac:dyDescent="0.3">
      <c r="B68" s="72" t="s">
        <v>73</v>
      </c>
      <c r="C68" s="88">
        <f ca="1">((Phi*Annuity_Fixed)+((PV_Swap-PV_FloatSpread)*DurationFixed)+(PV_FloatSpread*DurationFloat))/10000</f>
        <v>495.40166088877731</v>
      </c>
    </row>
    <row r="70" spans="2:29" x14ac:dyDescent="0.3">
      <c r="B70" s="81" t="s">
        <v>101</v>
      </c>
      <c r="C70" s="95"/>
    </row>
    <row r="71" spans="2:29" x14ac:dyDescent="0.3">
      <c r="B71" s="82" t="s">
        <v>96</v>
      </c>
      <c r="C71" s="96" t="b">
        <v>0</v>
      </c>
    </row>
    <row r="72" spans="2:29" x14ac:dyDescent="0.3">
      <c r="B72" s="83" t="s">
        <v>74</v>
      </c>
      <c r="C72" s="93">
        <v>19280.560215669509</v>
      </c>
    </row>
    <row r="73" spans="2:29" x14ac:dyDescent="0.3">
      <c r="B73" s="83" t="s">
        <v>97</v>
      </c>
      <c r="C73" s="93">
        <v>19775.289446313142</v>
      </c>
    </row>
    <row r="74" spans="2:29" x14ac:dyDescent="0.3">
      <c r="B74" s="85" t="s">
        <v>98</v>
      </c>
      <c r="C74" s="97">
        <f ca="1">C73-C72</f>
        <v>494.72923064363204</v>
      </c>
    </row>
  </sheetData>
  <dataValidations count="5">
    <dataValidation type="list" allowBlank="1" showInputMessage="1" showErrorMessage="1" sqref="C14 C71 C31 C38" xr:uid="{00000000-0002-0000-0300-000000000000}">
      <formula1>"TRUE,FALSE"</formula1>
    </dataValidation>
    <dataValidation type="list" allowBlank="1" showInputMessage="1" showErrorMessage="1" sqref="C46:C47 C41:C42 C9:C10" xr:uid="{00000000-0002-0000-0300-000001000000}">
      <formula1>"ANNUAL,SEMI-ANNUAL,QUARTERLY,MONTHLY"</formula1>
    </dataValidation>
    <dataValidation type="list" allowBlank="1" showInputMessage="1" showErrorMessage="1" sqref="C6" xr:uid="{00000000-0002-0000-0300-000002000000}">
      <formula1>"EUR,USD,GBP,JPY"</formula1>
    </dataValidation>
    <dataValidation type="list" allowBlank="1" showInputMessage="1" showErrorMessage="1" sqref="C5" xr:uid="{00000000-0002-0000-0300-000003000000}">
      <formula1>"PAYER,RECEIVER"</formula1>
    </dataValidation>
    <dataValidation type="decimal" allowBlank="1" showInputMessage="1" showErrorMessage="1" sqref="C12" xr:uid="{00000000-0002-0000-0300-000004000000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59</vt:i4>
      </vt:variant>
    </vt:vector>
  </HeadingPairs>
  <TitlesOfParts>
    <vt:vector size="63" baseType="lpstr">
      <vt:lpstr>Settings</vt:lpstr>
      <vt:lpstr>Discount Factors</vt:lpstr>
      <vt:lpstr>Libor Rates</vt:lpstr>
      <vt:lpstr>Swaps</vt:lpstr>
      <vt:lpstr>AnalyticalDV01</vt:lpstr>
      <vt:lpstr>Annuity_Fixed</vt:lpstr>
      <vt:lpstr>Annuity_Float</vt:lpstr>
      <vt:lpstr>ApplyBump</vt:lpstr>
      <vt:lpstr>Approximate</vt:lpstr>
      <vt:lpstr>AsOfDate</vt:lpstr>
      <vt:lpstr>BumpSize</vt:lpstr>
      <vt:lpstr>BumpSizeLiborRates</vt:lpstr>
      <vt:lpstr>Currency</vt:lpstr>
      <vt:lpstr>DiscountCurve</vt:lpstr>
      <vt:lpstr>DurationFixed</vt:lpstr>
      <vt:lpstr>DurationFloat</vt:lpstr>
      <vt:lpstr>EUR.Fixed.Period</vt:lpstr>
      <vt:lpstr>EUR.Float.Period</vt:lpstr>
      <vt:lpstr>EUR6ML</vt:lpstr>
      <vt:lpstr>EurDiscFact</vt:lpstr>
      <vt:lpstr>EurDiscFactBumped</vt:lpstr>
      <vt:lpstr>FixedLegFrequencySelected</vt:lpstr>
      <vt:lpstr>FixedLegMarketFrequency</vt:lpstr>
      <vt:lpstr>FloatLegFrequencySelected</vt:lpstr>
      <vt:lpstr>FloatLegMarketFrequency</vt:lpstr>
      <vt:lpstr>ForecastCurve</vt:lpstr>
      <vt:lpstr>GBP.Fixed.Period</vt:lpstr>
      <vt:lpstr>GBP.Float.Period</vt:lpstr>
      <vt:lpstr>GBP6ML</vt:lpstr>
      <vt:lpstr>GBPDiscFact</vt:lpstr>
      <vt:lpstr>GbpDiscFactBumped</vt:lpstr>
      <vt:lpstr>JPY.Fixed.Period</vt:lpstr>
      <vt:lpstr>JPY.Float.Period</vt:lpstr>
      <vt:lpstr>JPY6ML</vt:lpstr>
      <vt:lpstr>JPYDiscFact</vt:lpstr>
      <vt:lpstr>JpyDiscFactBumped</vt:lpstr>
      <vt:lpstr>N</vt:lpstr>
      <vt:lpstr>NumericalDV01</vt:lpstr>
      <vt:lpstr>OverrideMarketFrequency</vt:lpstr>
      <vt:lpstr>p</vt:lpstr>
      <vt:lpstr>PAYREC</vt:lpstr>
      <vt:lpstr>Periodicity</vt:lpstr>
      <vt:lpstr>Phi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RiskPV_NoBump</vt:lpstr>
      <vt:lpstr>RiskPV_WithBump</vt:lpstr>
      <vt:lpstr>s</vt:lpstr>
      <vt:lpstr>SetDiscFactToOne</vt:lpstr>
      <vt:lpstr>T</vt:lpstr>
      <vt:lpstr>t_i</vt:lpstr>
      <vt:lpstr>t_j</vt:lpstr>
      <vt:lpstr>USD.Fixed.Period</vt:lpstr>
      <vt:lpstr>USD.Float.Period</vt:lpstr>
      <vt:lpstr>USD3ML</vt:lpstr>
      <vt:lpstr>UsdDiscFact</vt:lpstr>
      <vt:lpstr>UsdDiscFactBumped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2015-09-16T19:16:50Z</cp:lastPrinted>
  <dcterms:created xsi:type="dcterms:W3CDTF">2015-09-16T19:07:26Z</dcterms:created>
  <dcterms:modified xsi:type="dcterms:W3CDTF">2022-06-18T15:45:25Z</dcterms:modified>
</cp:coreProperties>
</file>