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esktop\MockUps\"/>
    </mc:Choice>
  </mc:AlternateContent>
  <xr:revisionPtr revIDLastSave="0" documentId="13_ncr:1_{B4ACF3D6-409D-463E-BF86-FCC1EBB3A1F4}" xr6:coauthVersionLast="47" xr6:coauthVersionMax="47" xr10:uidLastSave="{00000000-0000-0000-0000-000000000000}"/>
  <bookViews>
    <workbookView xWindow="25695" yWindow="0" windowWidth="26010" windowHeight="20985" activeTab="1" xr2:uid="{00000000-000D-0000-FFFF-FFFF00000000}"/>
  </bookViews>
  <sheets>
    <sheet name="CDS-Analytical" sheetId="1" r:id="rId1"/>
    <sheet name="CDS-MC" sheetId="9" r:id="rId2"/>
  </sheets>
  <definedNames>
    <definedName name="_xlnm._FilterDatabase" localSheetId="1" hidden="1">'CDS-MC'!$F$12:$K$12</definedName>
    <definedName name="AccruedInterestTotalPV" localSheetId="1">'CDS-MC'!$AI$3</definedName>
    <definedName name="AccruedInterestTotalPV">'CDS-Analytical'!$U$47</definedName>
    <definedName name="AccruedInterestTotalPV2">'CDS-MC'!$AI$4</definedName>
    <definedName name="DefaultTime">'CDS-MC'!$C$6</definedName>
    <definedName name="DefaultTime2" localSheetId="1">'CDS-MC'!$D$6</definedName>
    <definedName name="Frequency" localSheetId="1">'CDS-MC'!$N$9</definedName>
    <definedName name="Frequency">'CDS-Analytical'!$C$9</definedName>
    <definedName name="HazardRate" localSheetId="1">'CDS-MC'!$N$6</definedName>
    <definedName name="HazardRate">'CDS-Analytical'!$C$6</definedName>
    <definedName name="LongOrShort" localSheetId="1">'CDS-MC'!$N$3</definedName>
    <definedName name="LongOrShort">'CDS-Analytical'!$C$3</definedName>
    <definedName name="Maturity" localSheetId="1">'CDS-MC'!$N$11</definedName>
    <definedName name="Maturity">'CDS-Analytical'!$C$11</definedName>
    <definedName name="MCResultsCount">'CDS-MC'!$K$11</definedName>
    <definedName name="MCResultsCurrent">'CDS-MC'!$F$13:$K$14</definedName>
    <definedName name="MCResultsHistory">OFFSET(MCResultsCurrent,MCResultsCount,0)</definedName>
    <definedName name="MCSimulationData">'CDS-MC'!$F$15:$K$1048576</definedName>
    <definedName name="Notional" localSheetId="1">'CDS-MC'!$N$5</definedName>
    <definedName name="Notional">'CDS-Analytical'!$C$5</definedName>
    <definedName name="nSimulations">'CDS-MC'!$C$7</definedName>
    <definedName name="Phi" localSheetId="1">'CDS-MC'!$N$4</definedName>
    <definedName name="Phi">'CDS-Analytical'!$C$4</definedName>
    <definedName name="Premium" localSheetId="1">'CDS-MC'!$N$8</definedName>
    <definedName name="Premium">'CDS-Analytical'!$C$8</definedName>
    <definedName name="PremiumLegTotalPV" localSheetId="1">'CDS-MC'!$W$47</definedName>
    <definedName name="PremiumLegTotalPV">'CDS-Analytical'!$L$47</definedName>
    <definedName name="PremiumLegTotalPV2">'CDS-MC'!$Z$47</definedName>
    <definedName name="ProtectionLegTotalPV" localSheetId="1">'CDS-MC'!$AP$3</definedName>
    <definedName name="ProtectionLegTotalPV">'CDS-Analytical'!$AB$47</definedName>
    <definedName name="ProtectionLegTotalPV2">'CDS-MC'!$AP$4</definedName>
    <definedName name="RandomNumbers">'CDS-MC'!$F$13:OFFSET('CDS-MC'!$F$13,'CDS-MC'!$K$11-1,0)</definedName>
    <definedName name="RecoveryRate" localSheetId="1">'CDS-MC'!$N$7</definedName>
    <definedName name="RecoveryRate">'CDS-Analytical'!$C$7</definedName>
    <definedName name="ShowIterations">'CDS-MC'!$C$8</definedName>
    <definedName name="YearFraction" localSheetId="1">'CDS-MC'!$N$10</definedName>
    <definedName name="YearFraction">'CDS-Analytical'!$C$10</definedName>
    <definedName name="ZeroRate" localSheetId="1">'CDS-MC'!$N$12</definedName>
    <definedName name="ZeroRate">'CDS-Analytical'!$C$12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" i="9" l="1"/>
  <c r="AE3" i="9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F13" i="9"/>
  <c r="E180" i="9"/>
  <c r="AD4" i="9" l="1"/>
  <c r="AD3" i="9"/>
  <c r="C5" i="9"/>
  <c r="G13" i="9" s="1"/>
  <c r="F14" i="9"/>
  <c r="D13" i="9"/>
  <c r="C4" i="9"/>
  <c r="C13" i="9"/>
  <c r="B14" i="9"/>
  <c r="B15" i="9" s="1"/>
  <c r="N10" i="9"/>
  <c r="N4" i="9"/>
  <c r="AM4" i="9" l="1"/>
  <c r="AC3" i="9"/>
  <c r="AF3" i="9" s="1"/>
  <c r="AC4" i="9"/>
  <c r="AF4" i="9" s="1"/>
  <c r="AL4" i="9"/>
  <c r="AL3" i="9"/>
  <c r="G14" i="9"/>
  <c r="D6" i="9" s="1"/>
  <c r="AB4" i="9" s="1"/>
  <c r="D5" i="9"/>
  <c r="F8" i="9"/>
  <c r="AM3" i="9"/>
  <c r="P3" i="9"/>
  <c r="C14" i="9"/>
  <c r="C15" i="9"/>
  <c r="B16" i="9"/>
  <c r="AK4" i="9" l="1"/>
  <c r="AO4" i="9" s="1"/>
  <c r="G8" i="9"/>
  <c r="AG4" i="9"/>
  <c r="AN4" i="9"/>
  <c r="Y3" i="9"/>
  <c r="Q3" i="9"/>
  <c r="P4" i="9"/>
  <c r="R3" i="9"/>
  <c r="S3" i="9"/>
  <c r="V3" i="9"/>
  <c r="C16" i="9"/>
  <c r="B17" i="9"/>
  <c r="C4" i="1"/>
  <c r="AH4" i="9" l="1"/>
  <c r="AI4" i="9" s="1"/>
  <c r="AP4" i="9"/>
  <c r="K14" i="9" s="1"/>
  <c r="Y4" i="9"/>
  <c r="T3" i="9"/>
  <c r="Z3" i="9" s="1"/>
  <c r="S4" i="9"/>
  <c r="V4" i="9"/>
  <c r="P5" i="9"/>
  <c r="Q4" i="9"/>
  <c r="R4" i="9"/>
  <c r="B18" i="9"/>
  <c r="C17" i="9"/>
  <c r="C10" i="1"/>
  <c r="Y5" i="9" l="1"/>
  <c r="T4" i="9"/>
  <c r="Z4" i="9" s="1"/>
  <c r="S5" i="9"/>
  <c r="R5" i="9"/>
  <c r="V5" i="9"/>
  <c r="Q5" i="9"/>
  <c r="P6" i="9"/>
  <c r="B19" i="9"/>
  <c r="C18" i="9"/>
  <c r="W3" i="1"/>
  <c r="N3" i="1"/>
  <c r="S3" i="1" s="1"/>
  <c r="E3" i="1"/>
  <c r="Y6" i="9" l="1"/>
  <c r="P7" i="9"/>
  <c r="S6" i="9"/>
  <c r="R6" i="9"/>
  <c r="V6" i="9"/>
  <c r="Q6" i="9"/>
  <c r="T5" i="9"/>
  <c r="Z5" i="9" s="1"/>
  <c r="C19" i="9"/>
  <c r="B20" i="9"/>
  <c r="W4" i="1"/>
  <c r="Y3" i="1"/>
  <c r="X3" i="1"/>
  <c r="Q3" i="1"/>
  <c r="O3" i="1"/>
  <c r="H3" i="1"/>
  <c r="J3" i="1"/>
  <c r="F3" i="1"/>
  <c r="K3" i="1"/>
  <c r="E4" i="1"/>
  <c r="E5" i="1" s="1"/>
  <c r="N4" i="1"/>
  <c r="S4" i="1" s="1"/>
  <c r="Y7" i="9" l="1"/>
  <c r="T6" i="9"/>
  <c r="Z6" i="9" s="1"/>
  <c r="R7" i="9"/>
  <c r="S7" i="9"/>
  <c r="Q7" i="9"/>
  <c r="V7" i="9"/>
  <c r="P8" i="9"/>
  <c r="C20" i="9"/>
  <c r="B21" i="9"/>
  <c r="W5" i="1"/>
  <c r="X4" i="1"/>
  <c r="Y4" i="1"/>
  <c r="AB3" i="1"/>
  <c r="Q4" i="1"/>
  <c r="O4" i="1"/>
  <c r="J5" i="1"/>
  <c r="F5" i="1"/>
  <c r="K5" i="1"/>
  <c r="H5" i="1"/>
  <c r="K4" i="1"/>
  <c r="H4" i="1"/>
  <c r="J4" i="1"/>
  <c r="F4" i="1"/>
  <c r="N5" i="1"/>
  <c r="S5" i="1" s="1"/>
  <c r="E6" i="1"/>
  <c r="Y8" i="9" l="1"/>
  <c r="V8" i="9"/>
  <c r="P9" i="9"/>
  <c r="S8" i="9"/>
  <c r="Q8" i="9"/>
  <c r="R8" i="9"/>
  <c r="T7" i="9"/>
  <c r="Z7" i="9" s="1"/>
  <c r="B22" i="9"/>
  <c r="C21" i="9"/>
  <c r="X5" i="1"/>
  <c r="Y5" i="1"/>
  <c r="W6" i="1"/>
  <c r="AB4" i="1"/>
  <c r="N6" i="1"/>
  <c r="S6" i="1" s="1"/>
  <c r="Q5" i="1"/>
  <c r="O5" i="1"/>
  <c r="J6" i="1"/>
  <c r="F6" i="1"/>
  <c r="K6" i="1"/>
  <c r="H6" i="1"/>
  <c r="E7" i="1"/>
  <c r="E8" i="1" s="1"/>
  <c r="Y9" i="9" l="1"/>
  <c r="T8" i="9"/>
  <c r="Z8" i="9" s="1"/>
  <c r="S9" i="9"/>
  <c r="R9" i="9"/>
  <c r="Q9" i="9"/>
  <c r="V9" i="9"/>
  <c r="P10" i="9"/>
  <c r="B23" i="9"/>
  <c r="C22" i="9"/>
  <c r="Y6" i="1"/>
  <c r="W7" i="1"/>
  <c r="AB5" i="1"/>
  <c r="X6" i="1"/>
  <c r="N7" i="1"/>
  <c r="S7" i="1" s="1"/>
  <c r="Q6" i="1"/>
  <c r="O6" i="1"/>
  <c r="K8" i="1"/>
  <c r="H8" i="1"/>
  <c r="J8" i="1"/>
  <c r="F8" i="1"/>
  <c r="H7" i="1"/>
  <c r="J7" i="1"/>
  <c r="F7" i="1"/>
  <c r="K7" i="1"/>
  <c r="E9" i="1"/>
  <c r="AB6" i="1" l="1"/>
  <c r="Y10" i="9"/>
  <c r="Y7" i="1"/>
  <c r="AB7" i="1" s="1"/>
  <c r="X7" i="1"/>
  <c r="T9" i="9"/>
  <c r="Z9" i="9" s="1"/>
  <c r="S10" i="9"/>
  <c r="Q10" i="9"/>
  <c r="R10" i="9"/>
  <c r="V10" i="9"/>
  <c r="P11" i="9"/>
  <c r="C23" i="9"/>
  <c r="B24" i="9"/>
  <c r="W8" i="1"/>
  <c r="Y8" i="1"/>
  <c r="N8" i="1"/>
  <c r="S8" i="1" s="1"/>
  <c r="Q7" i="1"/>
  <c r="O7" i="1"/>
  <c r="J9" i="1"/>
  <c r="F9" i="1"/>
  <c r="K9" i="1"/>
  <c r="H9" i="1"/>
  <c r="E10" i="1"/>
  <c r="W9" i="1" l="1"/>
  <c r="X8" i="1"/>
  <c r="Y11" i="9"/>
  <c r="T10" i="9"/>
  <c r="Z10" i="9" s="1"/>
  <c r="Q11" i="9"/>
  <c r="P12" i="9"/>
  <c r="R11" i="9"/>
  <c r="V11" i="9"/>
  <c r="S11" i="9"/>
  <c r="C24" i="9"/>
  <c r="B25" i="9"/>
  <c r="X9" i="1"/>
  <c r="AB8" i="1"/>
  <c r="Y9" i="1"/>
  <c r="W10" i="1"/>
  <c r="N9" i="1"/>
  <c r="S9" i="1" s="1"/>
  <c r="O8" i="1"/>
  <c r="Q8" i="1"/>
  <c r="J10" i="1"/>
  <c r="F10" i="1"/>
  <c r="K10" i="1"/>
  <c r="H10" i="1"/>
  <c r="E11" i="1"/>
  <c r="Y12" i="9" l="1"/>
  <c r="S12" i="9"/>
  <c r="R12" i="9"/>
  <c r="Q12" i="9"/>
  <c r="V12" i="9"/>
  <c r="P13" i="9"/>
  <c r="T11" i="9"/>
  <c r="Z11" i="9" s="1"/>
  <c r="B26" i="9"/>
  <c r="C25" i="9"/>
  <c r="W11" i="1"/>
  <c r="AB9" i="1"/>
  <c r="X10" i="1"/>
  <c r="Y10" i="1"/>
  <c r="N10" i="1"/>
  <c r="S10" i="1" s="1"/>
  <c r="Q9" i="1"/>
  <c r="O9" i="1"/>
  <c r="H11" i="1"/>
  <c r="J11" i="1"/>
  <c r="F11" i="1"/>
  <c r="K11" i="1"/>
  <c r="G11" i="1"/>
  <c r="E12" i="1"/>
  <c r="Y13" i="9" l="1"/>
  <c r="T12" i="9"/>
  <c r="Z12" i="9" s="1"/>
  <c r="Q13" i="9"/>
  <c r="R13" i="9"/>
  <c r="V13" i="9"/>
  <c r="S13" i="9"/>
  <c r="P14" i="9"/>
  <c r="B27" i="9"/>
  <c r="C26" i="9"/>
  <c r="W12" i="1"/>
  <c r="Y11" i="1"/>
  <c r="X11" i="1"/>
  <c r="AB10" i="1"/>
  <c r="I11" i="1"/>
  <c r="L11" i="1" s="1"/>
  <c r="N11" i="1"/>
  <c r="S11" i="1" s="1"/>
  <c r="O10" i="1"/>
  <c r="Q10" i="1"/>
  <c r="K12" i="1"/>
  <c r="G12" i="1"/>
  <c r="H12" i="1"/>
  <c r="J12" i="1"/>
  <c r="F12" i="1"/>
  <c r="E13" i="1"/>
  <c r="Y14" i="9" l="1"/>
  <c r="T13" i="9"/>
  <c r="Z13" i="9" s="1"/>
  <c r="P15" i="9"/>
  <c r="S14" i="9"/>
  <c r="R14" i="9"/>
  <c r="V14" i="9"/>
  <c r="Q14" i="9"/>
  <c r="C27" i="9"/>
  <c r="B28" i="9"/>
  <c r="AB11" i="1"/>
  <c r="Y12" i="1"/>
  <c r="X12" i="1"/>
  <c r="W13" i="1"/>
  <c r="I12" i="1"/>
  <c r="L12" i="1" s="1"/>
  <c r="Q11" i="1"/>
  <c r="P11" i="1"/>
  <c r="O11" i="1"/>
  <c r="N12" i="1"/>
  <c r="S12" i="1" s="1"/>
  <c r="J13" i="1"/>
  <c r="F13" i="1"/>
  <c r="K13" i="1"/>
  <c r="G13" i="1"/>
  <c r="H13" i="1"/>
  <c r="E14" i="1"/>
  <c r="Y15" i="9" l="1"/>
  <c r="Q15" i="9"/>
  <c r="V15" i="9"/>
  <c r="R15" i="9"/>
  <c r="P16" i="9"/>
  <c r="S15" i="9"/>
  <c r="T14" i="9"/>
  <c r="Z14" i="9" s="1"/>
  <c r="C28" i="9"/>
  <c r="B29" i="9"/>
  <c r="AB12" i="1"/>
  <c r="W14" i="1"/>
  <c r="Y13" i="1"/>
  <c r="X13" i="1"/>
  <c r="I13" i="1"/>
  <c r="L13" i="1" s="1"/>
  <c r="R11" i="1"/>
  <c r="P12" i="1"/>
  <c r="Q12" i="1"/>
  <c r="O12" i="1"/>
  <c r="N13" i="1"/>
  <c r="S13" i="1" s="1"/>
  <c r="J14" i="1"/>
  <c r="F14" i="1"/>
  <c r="K14" i="1"/>
  <c r="G14" i="1"/>
  <c r="H14" i="1"/>
  <c r="E15" i="1"/>
  <c r="Y16" i="9" l="1"/>
  <c r="T15" i="9"/>
  <c r="Z15" i="9" s="1"/>
  <c r="S16" i="9"/>
  <c r="R16" i="9"/>
  <c r="Q16" i="9"/>
  <c r="V16" i="9"/>
  <c r="P17" i="9"/>
  <c r="B30" i="9"/>
  <c r="C29" i="9"/>
  <c r="AB13" i="1"/>
  <c r="Y14" i="1"/>
  <c r="X14" i="1"/>
  <c r="W15" i="1"/>
  <c r="X15" i="1"/>
  <c r="U11" i="1"/>
  <c r="R12" i="1"/>
  <c r="I14" i="1"/>
  <c r="L14" i="1" s="1"/>
  <c r="Q13" i="1"/>
  <c r="P13" i="1"/>
  <c r="O13" i="1"/>
  <c r="N14" i="1"/>
  <c r="S14" i="1" s="1"/>
  <c r="H15" i="1"/>
  <c r="J15" i="1"/>
  <c r="F15" i="1"/>
  <c r="K15" i="1"/>
  <c r="G15" i="1"/>
  <c r="E16" i="1"/>
  <c r="Y17" i="9" l="1"/>
  <c r="T16" i="9"/>
  <c r="Z16" i="9" s="1"/>
  <c r="S17" i="9"/>
  <c r="R17" i="9"/>
  <c r="V17" i="9"/>
  <c r="Q17" i="9"/>
  <c r="P18" i="9"/>
  <c r="B31" i="9"/>
  <c r="C30" i="9"/>
  <c r="W16" i="1"/>
  <c r="Y15" i="1"/>
  <c r="AB15" i="1" s="1"/>
  <c r="AB14" i="1"/>
  <c r="U12" i="1"/>
  <c r="R13" i="1"/>
  <c r="I15" i="1"/>
  <c r="L15" i="1" s="1"/>
  <c r="P14" i="1"/>
  <c r="Q14" i="1"/>
  <c r="O14" i="1"/>
  <c r="N15" i="1"/>
  <c r="S15" i="1" s="1"/>
  <c r="K16" i="1"/>
  <c r="G16" i="1"/>
  <c r="H16" i="1"/>
  <c r="J16" i="1"/>
  <c r="F16" i="1"/>
  <c r="E17" i="1"/>
  <c r="Y18" i="9" l="1"/>
  <c r="W17" i="1"/>
  <c r="X16" i="1"/>
  <c r="Y16" i="1"/>
  <c r="AB16" i="1" s="1"/>
  <c r="T17" i="9"/>
  <c r="Z17" i="9" s="1"/>
  <c r="S18" i="9"/>
  <c r="P19" i="9"/>
  <c r="R18" i="9"/>
  <c r="V18" i="9"/>
  <c r="Q18" i="9"/>
  <c r="C31" i="9"/>
  <c r="B32" i="9"/>
  <c r="Y17" i="1"/>
  <c r="U13" i="1"/>
  <c r="I16" i="1"/>
  <c r="L16" i="1" s="1"/>
  <c r="R14" i="1"/>
  <c r="Q15" i="1"/>
  <c r="O15" i="1"/>
  <c r="P15" i="1"/>
  <c r="N16" i="1"/>
  <c r="S16" i="1" s="1"/>
  <c r="J17" i="1"/>
  <c r="F17" i="1"/>
  <c r="K17" i="1"/>
  <c r="G17" i="1"/>
  <c r="H17" i="1"/>
  <c r="E18" i="1"/>
  <c r="W18" i="1" l="1"/>
  <c r="X17" i="1"/>
  <c r="Y19" i="9"/>
  <c r="T18" i="9"/>
  <c r="Z18" i="9" s="1"/>
  <c r="P20" i="9"/>
  <c r="R19" i="9"/>
  <c r="S19" i="9"/>
  <c r="Q19" i="9"/>
  <c r="V19" i="9"/>
  <c r="C32" i="9"/>
  <c r="B33" i="9"/>
  <c r="AB17" i="1"/>
  <c r="Y18" i="1"/>
  <c r="R15" i="1"/>
  <c r="U14" i="1"/>
  <c r="I17" i="1"/>
  <c r="L17" i="1" s="1"/>
  <c r="P16" i="1"/>
  <c r="O16" i="1"/>
  <c r="Q16" i="1"/>
  <c r="N17" i="1"/>
  <c r="S17" i="1" s="1"/>
  <c r="J18" i="1"/>
  <c r="F18" i="1"/>
  <c r="K18" i="1"/>
  <c r="G18" i="1"/>
  <c r="H18" i="1"/>
  <c r="E19" i="1"/>
  <c r="W19" i="1" l="1"/>
  <c r="X18" i="1"/>
  <c r="AB18" i="1"/>
  <c r="Y20" i="9"/>
  <c r="R20" i="9"/>
  <c r="P21" i="9"/>
  <c r="V20" i="9"/>
  <c r="S20" i="9"/>
  <c r="Q20" i="9"/>
  <c r="T19" i="9"/>
  <c r="Z19" i="9" s="1"/>
  <c r="B34" i="9"/>
  <c r="C33" i="9"/>
  <c r="U15" i="1"/>
  <c r="I18" i="1"/>
  <c r="L18" i="1" s="1"/>
  <c r="R16" i="1"/>
  <c r="Q17" i="1"/>
  <c r="O17" i="1"/>
  <c r="P17" i="1"/>
  <c r="N18" i="1"/>
  <c r="S18" i="1" s="1"/>
  <c r="H19" i="1"/>
  <c r="J19" i="1"/>
  <c r="F19" i="1"/>
  <c r="K19" i="1"/>
  <c r="G19" i="1"/>
  <c r="E20" i="1"/>
  <c r="W20" i="1" l="1"/>
  <c r="X19" i="1"/>
  <c r="Y19" i="1"/>
  <c r="AB19" i="1" s="1"/>
  <c r="Y21" i="9"/>
  <c r="T20" i="9"/>
  <c r="Z20" i="9" s="1"/>
  <c r="R21" i="9"/>
  <c r="S21" i="9"/>
  <c r="V21" i="9"/>
  <c r="P22" i="9"/>
  <c r="Q21" i="9"/>
  <c r="B35" i="9"/>
  <c r="C34" i="9"/>
  <c r="U16" i="1"/>
  <c r="I19" i="1"/>
  <c r="L19" i="1" s="1"/>
  <c r="R17" i="1"/>
  <c r="P18" i="1"/>
  <c r="O18" i="1"/>
  <c r="Q18" i="1"/>
  <c r="N19" i="1"/>
  <c r="S19" i="1" s="1"/>
  <c r="K20" i="1"/>
  <c r="G20" i="1"/>
  <c r="H20" i="1"/>
  <c r="J20" i="1"/>
  <c r="F20" i="1"/>
  <c r="E21" i="1"/>
  <c r="W21" i="1" l="1"/>
  <c r="Y20" i="1"/>
  <c r="AB20" i="1" s="1"/>
  <c r="X20" i="1"/>
  <c r="Y22" i="9"/>
  <c r="T21" i="9"/>
  <c r="Z21" i="9" s="1"/>
  <c r="Q22" i="9"/>
  <c r="S22" i="9"/>
  <c r="R22" i="9"/>
  <c r="V22" i="9"/>
  <c r="P23" i="9"/>
  <c r="C35" i="9"/>
  <c r="B36" i="9"/>
  <c r="I20" i="1"/>
  <c r="L20" i="1" s="1"/>
  <c r="R18" i="1"/>
  <c r="U17" i="1"/>
  <c r="Q19" i="1"/>
  <c r="P19" i="1"/>
  <c r="O19" i="1"/>
  <c r="N20" i="1"/>
  <c r="S20" i="1" s="1"/>
  <c r="J21" i="1"/>
  <c r="F21" i="1"/>
  <c r="K21" i="1"/>
  <c r="G21" i="1"/>
  <c r="H21" i="1"/>
  <c r="E22" i="1"/>
  <c r="Y21" i="1" l="1"/>
  <c r="AB21" i="1" s="1"/>
  <c r="W22" i="1"/>
  <c r="X21" i="1"/>
  <c r="U23" i="9"/>
  <c r="Z23" i="9"/>
  <c r="Y23" i="9"/>
  <c r="V23" i="9"/>
  <c r="T23" i="9"/>
  <c r="W23" i="9"/>
  <c r="R23" i="9"/>
  <c r="S23" i="9"/>
  <c r="Q23" i="9"/>
  <c r="P24" i="9"/>
  <c r="T22" i="9"/>
  <c r="Z22" i="9" s="1"/>
  <c r="C36" i="9"/>
  <c r="B37" i="9"/>
  <c r="U18" i="1"/>
  <c r="R19" i="1"/>
  <c r="U19" i="1" s="1"/>
  <c r="I21" i="1"/>
  <c r="L21" i="1" s="1"/>
  <c r="P20" i="1"/>
  <c r="Q20" i="1"/>
  <c r="O20" i="1"/>
  <c r="N21" i="1"/>
  <c r="S21" i="1" s="1"/>
  <c r="J22" i="1"/>
  <c r="F22" i="1"/>
  <c r="K22" i="1"/>
  <c r="G22" i="1"/>
  <c r="H22" i="1"/>
  <c r="E23" i="1"/>
  <c r="W23" i="1" l="1"/>
  <c r="X22" i="1"/>
  <c r="Y22" i="1"/>
  <c r="AB22" i="1" s="1"/>
  <c r="U24" i="9"/>
  <c r="Y24" i="9"/>
  <c r="Z24" i="9"/>
  <c r="R24" i="9"/>
  <c r="P25" i="9"/>
  <c r="V24" i="9"/>
  <c r="Q24" i="9"/>
  <c r="S24" i="9"/>
  <c r="T24" i="9"/>
  <c r="W24" i="9"/>
  <c r="B38" i="9"/>
  <c r="C37" i="9"/>
  <c r="I22" i="1"/>
  <c r="L22" i="1" s="1"/>
  <c r="R20" i="1"/>
  <c r="Q21" i="1"/>
  <c r="P21" i="1"/>
  <c r="O21" i="1"/>
  <c r="N22" i="1"/>
  <c r="L23" i="1"/>
  <c r="H23" i="1"/>
  <c r="I23" i="1"/>
  <c r="J23" i="1"/>
  <c r="F23" i="1"/>
  <c r="K23" i="1"/>
  <c r="G23" i="1"/>
  <c r="E24" i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X23" i="1" l="1"/>
  <c r="Y23" i="1"/>
  <c r="AB23" i="1"/>
  <c r="W24" i="1"/>
  <c r="U25" i="9"/>
  <c r="Z25" i="9"/>
  <c r="Y25" i="9"/>
  <c r="S25" i="9"/>
  <c r="W25" i="9"/>
  <c r="P26" i="9"/>
  <c r="R25" i="9"/>
  <c r="T25" i="9"/>
  <c r="V25" i="9"/>
  <c r="Q25" i="9"/>
  <c r="B39" i="9"/>
  <c r="C38" i="9"/>
  <c r="S22" i="1"/>
  <c r="N23" i="1"/>
  <c r="U20" i="1"/>
  <c r="R21" i="1"/>
  <c r="P22" i="1"/>
  <c r="Q22" i="1"/>
  <c r="O22" i="1"/>
  <c r="K24" i="1"/>
  <c r="G24" i="1"/>
  <c r="L24" i="1"/>
  <c r="H24" i="1"/>
  <c r="I24" i="1"/>
  <c r="J24" i="1"/>
  <c r="F24" i="1"/>
  <c r="Y24" i="1" l="1"/>
  <c r="AB24" i="1"/>
  <c r="X24" i="1"/>
  <c r="W25" i="1"/>
  <c r="U26" i="9"/>
  <c r="Z26" i="9"/>
  <c r="Y26" i="9"/>
  <c r="P27" i="9"/>
  <c r="V26" i="9"/>
  <c r="Q26" i="9"/>
  <c r="W26" i="9"/>
  <c r="T26" i="9"/>
  <c r="R26" i="9"/>
  <c r="S26" i="9"/>
  <c r="C39" i="9"/>
  <c r="B40" i="9"/>
  <c r="U23" i="1"/>
  <c r="S23" i="1"/>
  <c r="O23" i="1"/>
  <c r="N24" i="1"/>
  <c r="R23" i="1"/>
  <c r="P23" i="1"/>
  <c r="Q23" i="1"/>
  <c r="U21" i="1"/>
  <c r="R22" i="1"/>
  <c r="W26" i="1" l="1"/>
  <c r="X25" i="1"/>
  <c r="AB25" i="1"/>
  <c r="Y25" i="1"/>
  <c r="U27" i="9"/>
  <c r="Y27" i="9"/>
  <c r="Z27" i="9"/>
  <c r="Q27" i="9"/>
  <c r="W27" i="9"/>
  <c r="T27" i="9"/>
  <c r="S27" i="9"/>
  <c r="P28" i="9"/>
  <c r="R27" i="9"/>
  <c r="V27" i="9"/>
  <c r="C40" i="9"/>
  <c r="B41" i="9"/>
  <c r="N25" i="1"/>
  <c r="R24" i="1"/>
  <c r="P24" i="1"/>
  <c r="O24" i="1"/>
  <c r="S24" i="1"/>
  <c r="U24" i="1"/>
  <c r="Q24" i="1"/>
  <c r="U22" i="1"/>
  <c r="Y26" i="1" l="1"/>
  <c r="AB26" i="1"/>
  <c r="X26" i="1"/>
  <c r="W27" i="1"/>
  <c r="U28" i="9"/>
  <c r="Y28" i="9"/>
  <c r="Z28" i="9"/>
  <c r="W28" i="9"/>
  <c r="S28" i="9"/>
  <c r="Q28" i="9"/>
  <c r="R28" i="9"/>
  <c r="T28" i="9"/>
  <c r="V28" i="9"/>
  <c r="P29" i="9"/>
  <c r="B42" i="9"/>
  <c r="C41" i="9"/>
  <c r="U25" i="1"/>
  <c r="O25" i="1"/>
  <c r="Q25" i="1"/>
  <c r="P25" i="1"/>
  <c r="N26" i="1"/>
  <c r="S25" i="1"/>
  <c r="R25" i="1"/>
  <c r="J25" i="1"/>
  <c r="F25" i="1"/>
  <c r="K25" i="1"/>
  <c r="G25" i="1"/>
  <c r="I25" i="1" s="1"/>
  <c r="L25" i="1" s="1"/>
  <c r="H25" i="1"/>
  <c r="X27" i="1" l="1"/>
  <c r="Y27" i="1"/>
  <c r="AB27" i="1"/>
  <c r="W28" i="1"/>
  <c r="U29" i="9"/>
  <c r="Y29" i="9"/>
  <c r="Z29" i="9"/>
  <c r="V29" i="9"/>
  <c r="W29" i="9"/>
  <c r="Q29" i="9"/>
  <c r="S29" i="9"/>
  <c r="R29" i="9"/>
  <c r="T29" i="9"/>
  <c r="P30" i="9"/>
  <c r="B43" i="9"/>
  <c r="C42" i="9"/>
  <c r="N27" i="1"/>
  <c r="Q26" i="1"/>
  <c r="P26" i="1"/>
  <c r="O26" i="1"/>
  <c r="S26" i="1"/>
  <c r="U26" i="1"/>
  <c r="R26" i="1"/>
  <c r="H26" i="1"/>
  <c r="J26" i="1"/>
  <c r="F26" i="1"/>
  <c r="I26" i="1" s="1"/>
  <c r="L26" i="1" s="1"/>
  <c r="K26" i="1"/>
  <c r="G26" i="1"/>
  <c r="W29" i="1" l="1"/>
  <c r="Y28" i="1"/>
  <c r="X28" i="1"/>
  <c r="AB28" i="1"/>
  <c r="U30" i="9"/>
  <c r="Y30" i="9"/>
  <c r="Z30" i="9"/>
  <c r="T30" i="9"/>
  <c r="Q30" i="9"/>
  <c r="S30" i="9"/>
  <c r="P31" i="9"/>
  <c r="R30" i="9"/>
  <c r="W30" i="9"/>
  <c r="V30" i="9"/>
  <c r="C43" i="9"/>
  <c r="B44" i="9"/>
  <c r="O27" i="1"/>
  <c r="N28" i="1"/>
  <c r="S27" i="1"/>
  <c r="R27" i="1"/>
  <c r="P27" i="1"/>
  <c r="U27" i="1"/>
  <c r="Q27" i="1"/>
  <c r="K27" i="1"/>
  <c r="G27" i="1"/>
  <c r="H27" i="1"/>
  <c r="I27" i="1"/>
  <c r="J27" i="1"/>
  <c r="F27" i="1"/>
  <c r="Y29" i="1" l="1"/>
  <c r="AB29" i="1"/>
  <c r="W30" i="1"/>
  <c r="X29" i="1"/>
  <c r="U31" i="9"/>
  <c r="Y31" i="9"/>
  <c r="Z31" i="9"/>
  <c r="T31" i="9"/>
  <c r="V31" i="9"/>
  <c r="S31" i="9"/>
  <c r="P32" i="9"/>
  <c r="Q31" i="9"/>
  <c r="R31" i="9"/>
  <c r="W31" i="9"/>
  <c r="C44" i="9"/>
  <c r="B45" i="9"/>
  <c r="Q28" i="1"/>
  <c r="U28" i="1"/>
  <c r="P28" i="1"/>
  <c r="S28" i="1"/>
  <c r="R28" i="1"/>
  <c r="N29" i="1"/>
  <c r="O28" i="1"/>
  <c r="L27" i="1"/>
  <c r="J28" i="1"/>
  <c r="F28" i="1"/>
  <c r="I28" i="1" s="1"/>
  <c r="K28" i="1"/>
  <c r="G28" i="1"/>
  <c r="H28" i="1"/>
  <c r="Y30" i="1" l="1"/>
  <c r="AB30" i="1"/>
  <c r="W31" i="1"/>
  <c r="X30" i="1"/>
  <c r="U32" i="9"/>
  <c r="Z32" i="9"/>
  <c r="Y32" i="9"/>
  <c r="P33" i="9"/>
  <c r="T32" i="9"/>
  <c r="W32" i="9"/>
  <c r="R32" i="9"/>
  <c r="Q32" i="9"/>
  <c r="V32" i="9"/>
  <c r="S32" i="9"/>
  <c r="B46" i="9"/>
  <c r="C45" i="9"/>
  <c r="Q29" i="1"/>
  <c r="N30" i="1"/>
  <c r="P29" i="1"/>
  <c r="O29" i="1"/>
  <c r="R29" i="1"/>
  <c r="S29" i="1"/>
  <c r="U29" i="1"/>
  <c r="L28" i="1"/>
  <c r="J29" i="1"/>
  <c r="F29" i="1"/>
  <c r="I29" i="1" s="1"/>
  <c r="K29" i="1"/>
  <c r="G29" i="1"/>
  <c r="H29" i="1"/>
  <c r="W32" i="1" l="1"/>
  <c r="Y31" i="1"/>
  <c r="X31" i="1"/>
  <c r="AB31" i="1"/>
  <c r="U33" i="9"/>
  <c r="Z33" i="9"/>
  <c r="Y33" i="9"/>
  <c r="P34" i="9"/>
  <c r="V33" i="9"/>
  <c r="Q33" i="9"/>
  <c r="R33" i="9"/>
  <c r="W33" i="9"/>
  <c r="T33" i="9"/>
  <c r="S33" i="9"/>
  <c r="B47" i="9"/>
  <c r="C46" i="9"/>
  <c r="O30" i="1"/>
  <c r="N31" i="1"/>
  <c r="P30" i="1"/>
  <c r="R30" i="1"/>
  <c r="S30" i="1"/>
  <c r="Q30" i="1"/>
  <c r="U30" i="1"/>
  <c r="L29" i="1"/>
  <c r="H30" i="1"/>
  <c r="J30" i="1"/>
  <c r="F30" i="1"/>
  <c r="I30" i="1" s="1"/>
  <c r="K30" i="1"/>
  <c r="G30" i="1"/>
  <c r="W33" i="1" l="1"/>
  <c r="Y32" i="1"/>
  <c r="X32" i="1"/>
  <c r="AB32" i="1"/>
  <c r="U34" i="9"/>
  <c r="Z34" i="9"/>
  <c r="Y34" i="9"/>
  <c r="R34" i="9"/>
  <c r="W34" i="9"/>
  <c r="T34" i="9"/>
  <c r="S34" i="9"/>
  <c r="P35" i="9"/>
  <c r="Q34" i="9"/>
  <c r="V34" i="9"/>
  <c r="C47" i="9"/>
  <c r="B48" i="9"/>
  <c r="Q31" i="1"/>
  <c r="O31" i="1"/>
  <c r="N32" i="1"/>
  <c r="U31" i="1"/>
  <c r="S31" i="1"/>
  <c r="R31" i="1"/>
  <c r="P31" i="1"/>
  <c r="L30" i="1"/>
  <c r="K31" i="1"/>
  <c r="G31" i="1"/>
  <c r="H31" i="1"/>
  <c r="I31" i="1"/>
  <c r="L31" i="1" s="1"/>
  <c r="J31" i="1"/>
  <c r="F31" i="1"/>
  <c r="AB33" i="1" l="1"/>
  <c r="W34" i="1"/>
  <c r="Y33" i="1"/>
  <c r="X33" i="1"/>
  <c r="U35" i="9"/>
  <c r="Y35" i="9"/>
  <c r="Z35" i="9"/>
  <c r="Q35" i="9"/>
  <c r="R35" i="9"/>
  <c r="P36" i="9"/>
  <c r="V35" i="9"/>
  <c r="T35" i="9"/>
  <c r="S35" i="9"/>
  <c r="W35" i="9"/>
  <c r="C48" i="9"/>
  <c r="B49" i="9"/>
  <c r="Q32" i="1"/>
  <c r="N33" i="1"/>
  <c r="S32" i="1"/>
  <c r="R32" i="1"/>
  <c r="P32" i="1"/>
  <c r="O32" i="1"/>
  <c r="U32" i="1"/>
  <c r="J32" i="1"/>
  <c r="F32" i="1"/>
  <c r="I32" i="1" s="1"/>
  <c r="L32" i="1" s="1"/>
  <c r="K32" i="1"/>
  <c r="G32" i="1"/>
  <c r="H32" i="1"/>
  <c r="AB34" i="1" l="1"/>
  <c r="W35" i="1"/>
  <c r="X34" i="1"/>
  <c r="Y34" i="1"/>
  <c r="U36" i="9"/>
  <c r="Y36" i="9"/>
  <c r="Z36" i="9"/>
  <c r="R36" i="9"/>
  <c r="V36" i="9"/>
  <c r="W36" i="9"/>
  <c r="Q36" i="9"/>
  <c r="T36" i="9"/>
  <c r="S36" i="9"/>
  <c r="P37" i="9"/>
  <c r="B50" i="9"/>
  <c r="C49" i="9"/>
  <c r="O33" i="1"/>
  <c r="R33" i="1"/>
  <c r="N34" i="1"/>
  <c r="S33" i="1"/>
  <c r="U33" i="1"/>
  <c r="P33" i="1"/>
  <c r="Q33" i="1"/>
  <c r="J33" i="1"/>
  <c r="F33" i="1"/>
  <c r="I33" i="1" s="1"/>
  <c r="L33" i="1" s="1"/>
  <c r="K33" i="1"/>
  <c r="G33" i="1"/>
  <c r="H33" i="1"/>
  <c r="Y35" i="1" l="1"/>
  <c r="W36" i="1"/>
  <c r="AB35" i="1"/>
  <c r="X35" i="1"/>
  <c r="U37" i="9"/>
  <c r="Y37" i="9"/>
  <c r="Z37" i="9"/>
  <c r="V37" i="9"/>
  <c r="R37" i="9"/>
  <c r="W37" i="9"/>
  <c r="T37" i="9"/>
  <c r="Q37" i="9"/>
  <c r="S37" i="9"/>
  <c r="P38" i="9"/>
  <c r="B51" i="9"/>
  <c r="C50" i="9"/>
  <c r="Q34" i="1"/>
  <c r="N35" i="1"/>
  <c r="O34" i="1"/>
  <c r="R34" i="1"/>
  <c r="P34" i="1"/>
  <c r="U34" i="1"/>
  <c r="S34" i="1"/>
  <c r="H34" i="1"/>
  <c r="J34" i="1"/>
  <c r="F34" i="1"/>
  <c r="I34" i="1" s="1"/>
  <c r="K34" i="1"/>
  <c r="G34" i="1"/>
  <c r="W37" i="1" l="1"/>
  <c r="AB36" i="1"/>
  <c r="X36" i="1"/>
  <c r="Y36" i="1"/>
  <c r="U38" i="9"/>
  <c r="Y38" i="9"/>
  <c r="Z38" i="9"/>
  <c r="R38" i="9"/>
  <c r="T38" i="9"/>
  <c r="Q38" i="9"/>
  <c r="W38" i="9"/>
  <c r="P39" i="9"/>
  <c r="V38" i="9"/>
  <c r="S38" i="9"/>
  <c r="C51" i="9"/>
  <c r="B52" i="9"/>
  <c r="Q35" i="1"/>
  <c r="P35" i="1"/>
  <c r="R35" i="1"/>
  <c r="O35" i="1"/>
  <c r="U35" i="1"/>
  <c r="N36" i="1"/>
  <c r="S35" i="1"/>
  <c r="L34" i="1"/>
  <c r="K35" i="1"/>
  <c r="G35" i="1"/>
  <c r="H35" i="1"/>
  <c r="I35" i="1"/>
  <c r="L35" i="1" s="1"/>
  <c r="J35" i="1"/>
  <c r="F35" i="1"/>
  <c r="X37" i="1" l="1"/>
  <c r="W38" i="1"/>
  <c r="AB37" i="1"/>
  <c r="Y37" i="1"/>
  <c r="U39" i="9"/>
  <c r="Z39" i="9"/>
  <c r="Y39" i="9"/>
  <c r="W39" i="9"/>
  <c r="S39" i="9"/>
  <c r="R39" i="9"/>
  <c r="V39" i="9"/>
  <c r="Q39" i="9"/>
  <c r="P40" i="9"/>
  <c r="T39" i="9"/>
  <c r="C52" i="9"/>
  <c r="B53" i="9"/>
  <c r="R36" i="1"/>
  <c r="U36" i="1"/>
  <c r="P36" i="1"/>
  <c r="S36" i="1"/>
  <c r="Q36" i="1"/>
  <c r="O36" i="1"/>
  <c r="N37" i="1"/>
  <c r="J36" i="1"/>
  <c r="F36" i="1"/>
  <c r="I36" i="1" s="1"/>
  <c r="L36" i="1" s="1"/>
  <c r="K36" i="1"/>
  <c r="G36" i="1"/>
  <c r="H36" i="1"/>
  <c r="Y38" i="1" l="1"/>
  <c r="AB38" i="1"/>
  <c r="W39" i="1"/>
  <c r="X38" i="1"/>
  <c r="U40" i="9"/>
  <c r="Y40" i="9"/>
  <c r="Z40" i="9"/>
  <c r="T40" i="9"/>
  <c r="P41" i="9"/>
  <c r="R40" i="9"/>
  <c r="W40" i="9"/>
  <c r="V40" i="9"/>
  <c r="Q40" i="9"/>
  <c r="S40" i="9"/>
  <c r="B54" i="9"/>
  <c r="C53" i="9"/>
  <c r="Q37" i="1"/>
  <c r="O37" i="1"/>
  <c r="U37" i="1"/>
  <c r="N38" i="1"/>
  <c r="R37" i="1"/>
  <c r="S37" i="1"/>
  <c r="P37" i="1"/>
  <c r="J37" i="1"/>
  <c r="F37" i="1"/>
  <c r="I37" i="1" s="1"/>
  <c r="L37" i="1" s="1"/>
  <c r="K37" i="1"/>
  <c r="G37" i="1"/>
  <c r="H37" i="1"/>
  <c r="Y39" i="1" l="1"/>
  <c r="X39" i="1"/>
  <c r="W40" i="1"/>
  <c r="AB39" i="1"/>
  <c r="U41" i="9"/>
  <c r="Z41" i="9"/>
  <c r="Y41" i="9"/>
  <c r="T41" i="9"/>
  <c r="W41" i="9"/>
  <c r="S41" i="9"/>
  <c r="V41" i="9"/>
  <c r="P42" i="9"/>
  <c r="R41" i="9"/>
  <c r="Q41" i="9"/>
  <c r="B55" i="9"/>
  <c r="C54" i="9"/>
  <c r="P38" i="1"/>
  <c r="O38" i="1"/>
  <c r="N39" i="1"/>
  <c r="R38" i="1"/>
  <c r="S38" i="1"/>
  <c r="U38" i="1"/>
  <c r="Q38" i="1"/>
  <c r="H38" i="1"/>
  <c r="J38" i="1"/>
  <c r="F38" i="1"/>
  <c r="I38" i="1" s="1"/>
  <c r="L38" i="1" s="1"/>
  <c r="K38" i="1"/>
  <c r="G38" i="1"/>
  <c r="W41" i="1" l="1"/>
  <c r="AB40" i="1"/>
  <c r="Y40" i="1"/>
  <c r="X40" i="1"/>
  <c r="U42" i="9"/>
  <c r="Z42" i="9"/>
  <c r="Y42" i="9"/>
  <c r="S42" i="9"/>
  <c r="P43" i="9"/>
  <c r="V42" i="9"/>
  <c r="Q42" i="9"/>
  <c r="T42" i="9"/>
  <c r="R42" i="9"/>
  <c r="W42" i="9"/>
  <c r="C55" i="9"/>
  <c r="B56" i="9"/>
  <c r="N40" i="1"/>
  <c r="S39" i="1"/>
  <c r="O39" i="1"/>
  <c r="R39" i="1"/>
  <c r="P39" i="1"/>
  <c r="U39" i="1"/>
  <c r="Q39" i="1"/>
  <c r="K39" i="1"/>
  <c r="G39" i="1"/>
  <c r="H39" i="1"/>
  <c r="I39" i="1"/>
  <c r="J39" i="1"/>
  <c r="F39" i="1"/>
  <c r="AB41" i="1" l="1"/>
  <c r="X41" i="1"/>
  <c r="W42" i="1"/>
  <c r="Y41" i="1"/>
  <c r="U43" i="9"/>
  <c r="Y43" i="9"/>
  <c r="Z43" i="9"/>
  <c r="R43" i="9"/>
  <c r="T43" i="9"/>
  <c r="P44" i="9"/>
  <c r="Q43" i="9"/>
  <c r="V43" i="9"/>
  <c r="S43" i="9"/>
  <c r="W43" i="9"/>
  <c r="C56" i="9"/>
  <c r="B57" i="9"/>
  <c r="N41" i="1"/>
  <c r="R40" i="1"/>
  <c r="S40" i="1"/>
  <c r="Q40" i="1"/>
  <c r="P40" i="1"/>
  <c r="O40" i="1"/>
  <c r="U40" i="1"/>
  <c r="L39" i="1"/>
  <c r="J40" i="1"/>
  <c r="F40" i="1"/>
  <c r="I40" i="1" s="1"/>
  <c r="L40" i="1" s="1"/>
  <c r="K40" i="1"/>
  <c r="G40" i="1"/>
  <c r="H40" i="1"/>
  <c r="X42" i="1" l="1"/>
  <c r="AB42" i="1"/>
  <c r="Y42" i="1"/>
  <c r="W43" i="1"/>
  <c r="U44" i="9"/>
  <c r="Y44" i="9"/>
  <c r="Z44" i="9"/>
  <c r="Z47" i="9" s="1"/>
  <c r="I14" i="9" s="1"/>
  <c r="S44" i="9"/>
  <c r="V44" i="9"/>
  <c r="R44" i="9"/>
  <c r="Q44" i="9"/>
  <c r="T44" i="9"/>
  <c r="W44" i="9"/>
  <c r="B58" i="9"/>
  <c r="C57" i="9"/>
  <c r="P41" i="1"/>
  <c r="O41" i="1"/>
  <c r="S41" i="1"/>
  <c r="N42" i="1"/>
  <c r="Q41" i="1"/>
  <c r="U41" i="1"/>
  <c r="R41" i="1"/>
  <c r="J41" i="1"/>
  <c r="F41" i="1"/>
  <c r="I41" i="1" s="1"/>
  <c r="K41" i="1"/>
  <c r="G41" i="1"/>
  <c r="H41" i="1"/>
  <c r="W44" i="1" l="1"/>
  <c r="Y43" i="1"/>
  <c r="X43" i="1"/>
  <c r="AB43" i="1"/>
  <c r="B59" i="9"/>
  <c r="C58" i="9"/>
  <c r="S42" i="1"/>
  <c r="P42" i="1"/>
  <c r="O42" i="1"/>
  <c r="N43" i="1"/>
  <c r="U42" i="1"/>
  <c r="R42" i="1"/>
  <c r="Q42" i="1"/>
  <c r="L41" i="1"/>
  <c r="H42" i="1"/>
  <c r="J42" i="1"/>
  <c r="F42" i="1"/>
  <c r="I42" i="1" s="1"/>
  <c r="K42" i="1"/>
  <c r="G42" i="1"/>
  <c r="X44" i="1" l="1"/>
  <c r="AB44" i="1"/>
  <c r="AB47" i="1" s="1"/>
  <c r="Y44" i="1"/>
  <c r="C59" i="9"/>
  <c r="B60" i="9"/>
  <c r="U43" i="1"/>
  <c r="Q43" i="1"/>
  <c r="S43" i="1"/>
  <c r="P43" i="1"/>
  <c r="O43" i="1"/>
  <c r="R43" i="1"/>
  <c r="N44" i="1"/>
  <c r="L42" i="1"/>
  <c r="K43" i="1"/>
  <c r="G43" i="1"/>
  <c r="H43" i="1"/>
  <c r="I43" i="1"/>
  <c r="L43" i="1" s="1"/>
  <c r="J43" i="1"/>
  <c r="F43" i="1"/>
  <c r="K3" i="9" l="1"/>
  <c r="C18" i="1"/>
  <c r="C60" i="9"/>
  <c r="B61" i="9"/>
  <c r="S44" i="1"/>
  <c r="P44" i="1"/>
  <c r="R44" i="1"/>
  <c r="U44" i="1"/>
  <c r="Q44" i="1"/>
  <c r="O44" i="1"/>
  <c r="J44" i="1"/>
  <c r="F44" i="1"/>
  <c r="K44" i="1"/>
  <c r="G44" i="1"/>
  <c r="H44" i="1"/>
  <c r="I44" i="1"/>
  <c r="B62" i="9" l="1"/>
  <c r="C61" i="9"/>
  <c r="L44" i="1"/>
  <c r="B63" i="9" l="1"/>
  <c r="C62" i="9"/>
  <c r="G6" i="1"/>
  <c r="I6" i="1" s="1"/>
  <c r="L6" i="1" s="1"/>
  <c r="G9" i="1"/>
  <c r="I9" i="1" s="1"/>
  <c r="L9" i="1" s="1"/>
  <c r="P8" i="1"/>
  <c r="R8" i="1" s="1"/>
  <c r="U8" i="1" s="1"/>
  <c r="P9" i="1"/>
  <c r="R9" i="1" s="1"/>
  <c r="U9" i="1" s="1"/>
  <c r="P4" i="1"/>
  <c r="R4" i="1" s="1"/>
  <c r="U4" i="1" s="1"/>
  <c r="G4" i="1"/>
  <c r="I4" i="1" s="1"/>
  <c r="L4" i="1" s="1"/>
  <c r="G5" i="1"/>
  <c r="I5" i="1" s="1"/>
  <c r="L5" i="1" s="1"/>
  <c r="G7" i="1"/>
  <c r="I7" i="1" s="1"/>
  <c r="L7" i="1" s="1"/>
  <c r="P7" i="1"/>
  <c r="R7" i="1" s="1"/>
  <c r="U7" i="1" s="1"/>
  <c r="G10" i="1"/>
  <c r="I10" i="1" s="1"/>
  <c r="L10" i="1" s="1"/>
  <c r="P10" i="1"/>
  <c r="R10" i="1" s="1"/>
  <c r="U10" i="1" s="1"/>
  <c r="P5" i="1"/>
  <c r="R5" i="1" s="1"/>
  <c r="U5" i="1" s="1"/>
  <c r="P6" i="1"/>
  <c r="R6" i="1" s="1"/>
  <c r="U6" i="1" s="1"/>
  <c r="G8" i="1"/>
  <c r="I8" i="1" s="1"/>
  <c r="L8" i="1" s="1"/>
  <c r="G3" i="1"/>
  <c r="P3" i="1"/>
  <c r="R3" i="1" s="1"/>
  <c r="U3" i="1" s="1"/>
  <c r="C63" i="9" l="1"/>
  <c r="B64" i="9"/>
  <c r="I3" i="1"/>
  <c r="L3" i="1" s="1"/>
  <c r="L47" i="1" s="1"/>
  <c r="C16" i="1" s="1"/>
  <c r="I3" i="9" s="1"/>
  <c r="U47" i="1"/>
  <c r="C23" i="1" l="1"/>
  <c r="C64" i="9"/>
  <c r="B65" i="9"/>
  <c r="C22" i="1"/>
  <c r="C17" i="1"/>
  <c r="J3" i="9" s="1"/>
  <c r="C21" i="1" l="1"/>
  <c r="C15" i="1"/>
  <c r="H3" i="9" s="1"/>
  <c r="B66" i="9"/>
  <c r="C65" i="9"/>
  <c r="B67" i="9" l="1"/>
  <c r="C66" i="9"/>
  <c r="C67" i="9" l="1"/>
  <c r="B68" i="9"/>
  <c r="C68" i="9" l="1"/>
  <c r="B69" i="9"/>
  <c r="B70" i="9" l="1"/>
  <c r="C69" i="9"/>
  <c r="B71" i="9" l="1"/>
  <c r="C70" i="9"/>
  <c r="C71" i="9" l="1"/>
  <c r="B72" i="9"/>
  <c r="C72" i="9" l="1"/>
  <c r="B73" i="9"/>
  <c r="B74" i="9" l="1"/>
  <c r="C73" i="9"/>
  <c r="B75" i="9" l="1"/>
  <c r="C74" i="9"/>
  <c r="C75" i="9" l="1"/>
  <c r="B76" i="9"/>
  <c r="C76" i="9" l="1"/>
  <c r="B77" i="9"/>
  <c r="B78" i="9" l="1"/>
  <c r="C77" i="9"/>
  <c r="B79" i="9" l="1"/>
  <c r="C78" i="9"/>
  <c r="C79" i="9" l="1"/>
  <c r="B80" i="9"/>
  <c r="C80" i="9" l="1"/>
  <c r="B81" i="9"/>
  <c r="B82" i="9" l="1"/>
  <c r="C81" i="9"/>
  <c r="B83" i="9" l="1"/>
  <c r="C82" i="9"/>
  <c r="C83" i="9" l="1"/>
  <c r="B84" i="9"/>
  <c r="C84" i="9" l="1"/>
  <c r="B85" i="9"/>
  <c r="B86" i="9" l="1"/>
  <c r="C85" i="9"/>
  <c r="B87" i="9" l="1"/>
  <c r="C86" i="9"/>
  <c r="C87" i="9" l="1"/>
  <c r="B88" i="9"/>
  <c r="C88" i="9" l="1"/>
  <c r="B89" i="9"/>
  <c r="B90" i="9" l="1"/>
  <c r="C89" i="9"/>
  <c r="B91" i="9" l="1"/>
  <c r="C90" i="9"/>
  <c r="C91" i="9" l="1"/>
  <c r="B92" i="9"/>
  <c r="C92" i="9" l="1"/>
  <c r="B93" i="9"/>
  <c r="B94" i="9" l="1"/>
  <c r="C93" i="9"/>
  <c r="B95" i="9" l="1"/>
  <c r="C94" i="9"/>
  <c r="C95" i="9" l="1"/>
  <c r="B96" i="9"/>
  <c r="C96" i="9" l="1"/>
  <c r="B97" i="9"/>
  <c r="B98" i="9" l="1"/>
  <c r="C97" i="9"/>
  <c r="B99" i="9" l="1"/>
  <c r="C98" i="9"/>
  <c r="C99" i="9" l="1"/>
  <c r="B100" i="9"/>
  <c r="C100" i="9" l="1"/>
  <c r="B101" i="9"/>
  <c r="B102" i="9" l="1"/>
  <c r="C101" i="9"/>
  <c r="B103" i="9" l="1"/>
  <c r="C102" i="9"/>
  <c r="C103" i="9" l="1"/>
  <c r="B104" i="9"/>
  <c r="C104" i="9" l="1"/>
  <c r="B105" i="9"/>
  <c r="B106" i="9" l="1"/>
  <c r="C105" i="9"/>
  <c r="B107" i="9" l="1"/>
  <c r="C106" i="9"/>
  <c r="C107" i="9" l="1"/>
  <c r="B108" i="9"/>
  <c r="C108" i="9" l="1"/>
  <c r="B109" i="9"/>
  <c r="B110" i="9" l="1"/>
  <c r="C109" i="9"/>
  <c r="B111" i="9" l="1"/>
  <c r="C110" i="9"/>
  <c r="C111" i="9" l="1"/>
  <c r="B112" i="9"/>
  <c r="C112" i="9" l="1"/>
  <c r="B113" i="9"/>
  <c r="B114" i="9" l="1"/>
  <c r="C113" i="9"/>
  <c r="B115" i="9" l="1"/>
  <c r="C114" i="9"/>
  <c r="C115" i="9" l="1"/>
  <c r="B116" i="9"/>
  <c r="C116" i="9" l="1"/>
  <c r="B117" i="9"/>
  <c r="B118" i="9" l="1"/>
  <c r="C117" i="9"/>
  <c r="B119" i="9" l="1"/>
  <c r="C118" i="9"/>
  <c r="C119" i="9" l="1"/>
  <c r="B120" i="9"/>
  <c r="C120" i="9" l="1"/>
  <c r="B121" i="9"/>
  <c r="B122" i="9" l="1"/>
  <c r="C121" i="9"/>
  <c r="B123" i="9" l="1"/>
  <c r="C122" i="9"/>
  <c r="C123" i="9" l="1"/>
  <c r="B124" i="9"/>
  <c r="C124" i="9" l="1"/>
  <c r="B125" i="9"/>
  <c r="B126" i="9" l="1"/>
  <c r="C125" i="9"/>
  <c r="B127" i="9" l="1"/>
  <c r="C126" i="9"/>
  <c r="C127" i="9" l="1"/>
  <c r="B128" i="9"/>
  <c r="C128" i="9" l="1"/>
  <c r="B129" i="9"/>
  <c r="B130" i="9" l="1"/>
  <c r="C129" i="9"/>
  <c r="B131" i="9" l="1"/>
  <c r="C130" i="9"/>
  <c r="C131" i="9" l="1"/>
  <c r="B132" i="9"/>
  <c r="C132" i="9" l="1"/>
  <c r="B133" i="9"/>
  <c r="C133" i="9" l="1"/>
  <c r="C6" i="9" l="1"/>
  <c r="AB3" i="9" s="1"/>
  <c r="AN3" i="9" l="1"/>
  <c r="AG3" i="9"/>
  <c r="AH3" i="9"/>
  <c r="AK3" i="9"/>
  <c r="AO3" i="9" s="1"/>
  <c r="U22" i="9"/>
  <c r="W22" i="9" s="1"/>
  <c r="D61" i="9"/>
  <c r="D55" i="9"/>
  <c r="U15" i="9"/>
  <c r="W15" i="9" s="1"/>
  <c r="D54" i="9"/>
  <c r="U18" i="9"/>
  <c r="W18" i="9" s="1"/>
  <c r="D81" i="9"/>
  <c r="D69" i="9"/>
  <c r="D34" i="9"/>
  <c r="D100" i="9"/>
  <c r="D85" i="9"/>
  <c r="D106" i="9"/>
  <c r="D128" i="9"/>
  <c r="U20" i="9"/>
  <c r="W20" i="9" s="1"/>
  <c r="D95" i="9"/>
  <c r="D82" i="9"/>
  <c r="U5" i="9"/>
  <c r="W5" i="9" s="1"/>
  <c r="D58" i="9"/>
  <c r="U13" i="9"/>
  <c r="W13" i="9" s="1"/>
  <c r="D70" i="9"/>
  <c r="D66" i="9"/>
  <c r="D53" i="9"/>
  <c r="D123" i="9"/>
  <c r="D72" i="9"/>
  <c r="D35" i="9"/>
  <c r="D108" i="9"/>
  <c r="U21" i="9"/>
  <c r="W21" i="9" s="1"/>
  <c r="D113" i="9"/>
  <c r="D30" i="9"/>
  <c r="D111" i="9"/>
  <c r="U16" i="9"/>
  <c r="W16" i="9" s="1"/>
  <c r="D59" i="9"/>
  <c r="D39" i="9"/>
  <c r="D112" i="9"/>
  <c r="D47" i="9"/>
  <c r="D109" i="9"/>
  <c r="D115" i="9"/>
  <c r="D17" i="9"/>
  <c r="D129" i="9"/>
  <c r="D126" i="9"/>
  <c r="U17" i="9"/>
  <c r="W17" i="9" s="1"/>
  <c r="D124" i="9"/>
  <c r="D18" i="9"/>
  <c r="D26" i="9"/>
  <c r="D24" i="9"/>
  <c r="D104" i="9"/>
  <c r="D37" i="9"/>
  <c r="D102" i="9"/>
  <c r="D117" i="9"/>
  <c r="D84" i="9"/>
  <c r="D110" i="9"/>
  <c r="D89" i="9"/>
  <c r="D50" i="9"/>
  <c r="D93" i="9"/>
  <c r="U10" i="9"/>
  <c r="W10" i="9" s="1"/>
  <c r="D65" i="9"/>
  <c r="U7" i="9"/>
  <c r="W7" i="9" s="1"/>
  <c r="D43" i="9"/>
  <c r="D60" i="9"/>
  <c r="D120" i="9"/>
  <c r="D116" i="9"/>
  <c r="U6" i="9"/>
  <c r="W6" i="9" s="1"/>
  <c r="D29" i="9"/>
  <c r="D21" i="9"/>
  <c r="D40" i="9"/>
  <c r="U14" i="9"/>
  <c r="W14" i="9" s="1"/>
  <c r="D48" i="9"/>
  <c r="D83" i="9"/>
  <c r="D36" i="9"/>
  <c r="D73" i="9"/>
  <c r="D103" i="9"/>
  <c r="D97" i="9"/>
  <c r="D33" i="9"/>
  <c r="D56" i="9"/>
  <c r="D88" i="9"/>
  <c r="D80" i="9"/>
  <c r="D90" i="9"/>
  <c r="D71" i="9"/>
  <c r="D15" i="9"/>
  <c r="D114" i="9"/>
  <c r="D101" i="9"/>
  <c r="D67" i="9"/>
  <c r="D41" i="9"/>
  <c r="D63" i="9"/>
  <c r="D125" i="9"/>
  <c r="D27" i="9"/>
  <c r="D87" i="9"/>
  <c r="D107" i="9"/>
  <c r="D99" i="9"/>
  <c r="D64" i="9"/>
  <c r="D122" i="9"/>
  <c r="D119" i="9"/>
  <c r="U12" i="9"/>
  <c r="W12" i="9" s="1"/>
  <c r="D25" i="9"/>
  <c r="U3" i="9"/>
  <c r="W3" i="9" s="1"/>
  <c r="D51" i="9"/>
  <c r="U11" i="9"/>
  <c r="W11" i="9" s="1"/>
  <c r="D38" i="9"/>
  <c r="U9" i="9"/>
  <c r="W9" i="9" s="1"/>
  <c r="U19" i="9"/>
  <c r="W19" i="9" s="1"/>
  <c r="D74" i="9"/>
  <c r="D130" i="9"/>
  <c r="D45" i="9"/>
  <c r="D86" i="9"/>
  <c r="D127" i="9"/>
  <c r="D28" i="9"/>
  <c r="D68" i="9"/>
  <c r="D62" i="9"/>
  <c r="D96" i="9"/>
  <c r="D57" i="9"/>
  <c r="D133" i="9"/>
  <c r="D121" i="9"/>
  <c r="D14" i="9"/>
  <c r="U8" i="9"/>
  <c r="W8" i="9" s="1"/>
  <c r="D105" i="9"/>
  <c r="D22" i="9"/>
  <c r="D42" i="9"/>
  <c r="D132" i="9"/>
  <c r="D92" i="9"/>
  <c r="D52" i="9"/>
  <c r="U4" i="9"/>
  <c r="W4" i="9" s="1"/>
  <c r="D23" i="9"/>
  <c r="D32" i="9"/>
  <c r="D118" i="9"/>
  <c r="D79" i="9"/>
  <c r="D131" i="9"/>
  <c r="D91" i="9"/>
  <c r="D19" i="9"/>
  <c r="D31" i="9"/>
  <c r="D98" i="9"/>
  <c r="D94" i="9"/>
  <c r="D49" i="9"/>
  <c r="D76" i="9"/>
  <c r="D78" i="9"/>
  <c r="D44" i="9"/>
  <c r="D77" i="9"/>
  <c r="D75" i="9"/>
  <c r="D20" i="9"/>
  <c r="D16" i="9"/>
  <c r="D46" i="9"/>
  <c r="AP3" i="9" l="1"/>
  <c r="K13" i="9" s="1"/>
  <c r="AI3" i="9"/>
  <c r="J14" i="9"/>
  <c r="H14" i="9" s="1"/>
  <c r="W47" i="9"/>
  <c r="I13" i="9" s="1"/>
  <c r="I8" i="9" s="1"/>
  <c r="K11" i="9" l="1"/>
  <c r="K8" i="9"/>
  <c r="K4" i="9" s="1"/>
  <c r="J13" i="9"/>
  <c r="J8" i="9" s="1"/>
  <c r="J4" i="9" s="1"/>
  <c r="N18" i="9" l="1"/>
  <c r="N16" i="9"/>
  <c r="N23" i="9" s="1"/>
  <c r="I4" i="9"/>
  <c r="N17" i="9"/>
  <c r="H13" i="9"/>
  <c r="H8" i="9" s="1"/>
  <c r="H4" i="9" s="1"/>
  <c r="N22" i="9"/>
  <c r="N21" i="9" l="1"/>
  <c r="N15" i="9"/>
</calcChain>
</file>

<file path=xl/sharedStrings.xml><?xml version="1.0" encoding="utf-8"?>
<sst xmlns="http://schemas.openxmlformats.org/spreadsheetml/2006/main" count="135" uniqueCount="62">
  <si>
    <t>Notional, N</t>
  </si>
  <si>
    <t>PV</t>
  </si>
  <si>
    <t>PremiumLeg</t>
  </si>
  <si>
    <t>ProtectionLeg</t>
  </si>
  <si>
    <t>Present Value (PV)</t>
  </si>
  <si>
    <t>LossGivenDefault, LGD</t>
  </si>
  <si>
    <t>PremiumFrequency</t>
  </si>
  <si>
    <t>ZeroRate, z</t>
  </si>
  <si>
    <t>CreditDefaultSwap</t>
  </si>
  <si>
    <t>RiskyFixedAnnuity</t>
  </si>
  <si>
    <t>DiscFact, P(t,T)</t>
  </si>
  <si>
    <t>Time, T</t>
  </si>
  <si>
    <t>P(Survive), Q(T)</t>
  </si>
  <si>
    <t>… Accrued Interest</t>
  </si>
  <si>
    <t>… Premium Leg</t>
  </si>
  <si>
    <t>… Protection Leg</t>
  </si>
  <si>
    <t>Coupon</t>
  </si>
  <si>
    <t>Accrued Interest</t>
  </si>
  <si>
    <t>AccruedInterest</t>
  </si>
  <si>
    <t>ProtectionPV - AccruedInterest</t>
  </si>
  <si>
    <t>AccruedInterestTotalPV</t>
  </si>
  <si>
    <t>ProtectionLegTotalPV</t>
  </si>
  <si>
    <t>PremiumLegTotalPV</t>
  </si>
  <si>
    <t>QUARTERLY</t>
  </si>
  <si>
    <t>CDS Trade Parameters &amp; Price</t>
  </si>
  <si>
    <t>Par CDS Rate</t>
  </si>
  <si>
    <t>Par CDS Rate, p</t>
  </si>
  <si>
    <r>
      <t>P(Default), Q(t)</t>
    </r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  <scheme val="minor"/>
      </rPr>
      <t>(t)</t>
    </r>
  </si>
  <si>
    <t>BuyOrSellProtection</t>
  </si>
  <si>
    <r>
      <t>BuySellndicator,</t>
    </r>
    <r>
      <rPr>
        <sz val="11"/>
        <color theme="1"/>
        <rFont val="Symbol"/>
        <family val="1"/>
        <charset val="2"/>
      </rPr>
      <t xml:space="preserve"> j</t>
    </r>
  </si>
  <si>
    <t>BUY</t>
  </si>
  <si>
    <t>RecoveryRate, R</t>
  </si>
  <si>
    <r>
      <t xml:space="preserve">HazardRate, </t>
    </r>
    <r>
      <rPr>
        <sz val="11"/>
        <color theme="1"/>
        <rFont val="Symbol"/>
        <family val="1"/>
        <charset val="2"/>
      </rPr>
      <t>l</t>
    </r>
  </si>
  <si>
    <t>t</t>
  </si>
  <si>
    <r>
      <t xml:space="preserve">YearFraction, 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t</t>
    </r>
  </si>
  <si>
    <t>CreditSpread, s</t>
  </si>
  <si>
    <t>Maturity, years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</si>
  <si>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</si>
  <si>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u</t>
  </si>
  <si>
    <t>Uniform Random Variate, u</t>
  </si>
  <si>
    <t>Survival Function</t>
  </si>
  <si>
    <t>Time</t>
  </si>
  <si>
    <t>P(Survival)</t>
  </si>
  <si>
    <t>No. Monte Carlo Simulations</t>
  </si>
  <si>
    <r>
      <t xml:space="preserve">Default Time,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 xml:space="preserve">  (in years)</t>
    </r>
  </si>
  <si>
    <t>Q</t>
  </si>
  <si>
    <t>Premium</t>
  </si>
  <si>
    <t>Accrued</t>
  </si>
  <si>
    <t>Protection</t>
  </si>
  <si>
    <t>Target</t>
  </si>
  <si>
    <t>Antithetic Pair</t>
  </si>
  <si>
    <t>Antithetic Pair Calculation</t>
  </si>
  <si>
    <t>Pair-wise antithetic calculation</t>
  </si>
  <si>
    <t>* We use anti-thetic pairs of uniform variates to control the variate sample mean</t>
  </si>
  <si>
    <t>MC Simulation</t>
  </si>
  <si>
    <t xml:space="preserve">MC Sim Count : </t>
  </si>
  <si>
    <t>+/-</t>
  </si>
  <si>
    <t>Analytical Solution</t>
  </si>
  <si>
    <t>MC Solution</t>
  </si>
  <si>
    <t>Antithetic Variate</t>
  </si>
  <si>
    <t>Show Iteration Steps</t>
  </si>
  <si>
    <t>Sample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</si>
</sst>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,##0.0000"/>
    <numFmt numFmtId="165" formatCode="#,##0.000000"/>
    <numFmt numFmtId="166" formatCode="0.0000%"/>
    <numFmt numFmtId="167" formatCode="0.0000"/>
    <numFmt numFmtId="168" formatCode="0.000"/>
    <numFmt numFmtId="169" formatCode="0.000%"/>
    <numFmt numFmtId="170" formatCode="_(&quot;$&quot;* #,##0.00_);_(&quot;$&quot;* \(#,##0.00\);_(&quot;$&quot;* &quot;-&quot;??_);_(@_)"/>
    <numFmt numFmtId="171" formatCode="0\ &quot; days&quot;"/>
    <numFmt numFmtId="172" formatCode="mmm\-yyyy"/>
    <numFmt numFmtId="173" formatCode="dd/m/yy"/>
    <numFmt numFmtId="174" formatCode="_(&quot;$&quot;* #,##0_);_(&quot;$&quot;* \(#,##0\);_(&quot;$&quot;* &quot;-&quot;_);_(@_)"/>
    <numFmt numFmtId="175" formatCode="0.00_)"/>
    <numFmt numFmtId="176" formatCode="dd\-mmm\-yy;dd\-mmm\-yy;"/>
    <numFmt numFmtId="177" formatCode="_ * #,##0_ ;_ * \-#,##0_ ;_ * &quot;-&quot;_ ;_ @_ "/>
  </numFmts>
  <fonts count="9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6600"/>
      <name val="Calibri"/>
      <family val="2"/>
      <scheme val="minor"/>
    </font>
    <font>
      <b/>
      <sz val="11"/>
      <color theme="1"/>
      <name val="Symbol"/>
      <family val="1"/>
      <charset val="2"/>
    </font>
    <font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Times New Roman"/>
      <family val="1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</font>
    <font>
      <i/>
      <sz val="10"/>
      <color rgb="FFC00000"/>
      <name val="Calibri"/>
      <family val="2"/>
      <scheme val="minor"/>
    </font>
  </fonts>
  <fills count="8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7360">
    <xf numFmtId="0" fontId="0" fillId="0" borderId="0"/>
    <xf numFmtId="41" fontId="6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10" fillId="0" borderId="0">
      <alignment vertical="center"/>
    </xf>
    <xf numFmtId="9" fontId="11" fillId="0" borderId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6" borderId="0" applyNumberFormat="0" applyBorder="0" applyAlignment="0" applyProtection="0"/>
    <xf numFmtId="0" fontId="12" fillId="14" borderId="0" applyNumberFormat="0" applyBorder="0" applyAlignment="0" applyProtection="0"/>
    <xf numFmtId="0" fontId="12" fillId="8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9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19" borderId="0" applyNumberFormat="0" applyBorder="0" applyAlignment="0" applyProtection="0"/>
    <xf numFmtId="0" fontId="12" fillId="14" borderId="0" applyNumberFormat="0" applyBorder="0" applyAlignment="0" applyProtection="0"/>
    <xf numFmtId="0" fontId="12" fillId="18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1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7" borderId="0" applyNumberFormat="0" applyBorder="0" applyAlignment="0" applyProtection="0"/>
    <xf numFmtId="0" fontId="13" fillId="27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19" borderId="0" applyNumberFormat="0" applyBorder="0" applyAlignment="0" applyProtection="0"/>
    <xf numFmtId="0" fontId="13" fillId="30" borderId="0" applyNumberFormat="0" applyBorder="0" applyAlignment="0" applyProtection="0"/>
    <xf numFmtId="0" fontId="13" fillId="18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26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4" borderId="0" applyNumberFormat="0" applyBorder="0" applyAlignment="0" applyProtection="0"/>
    <xf numFmtId="0" fontId="13" fillId="31" borderId="0" applyNumberFormat="0" applyBorder="0" applyAlignment="0" applyProtection="0"/>
    <xf numFmtId="0" fontId="13" fillId="20" borderId="0" applyNumberFormat="0" applyBorder="0" applyAlignment="0" applyProtection="0"/>
    <xf numFmtId="0" fontId="13" fillId="31" borderId="0" applyNumberFormat="0" applyBorder="0" applyAlignment="0" applyProtection="0"/>
    <xf numFmtId="0" fontId="13" fillId="31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28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5" borderId="0" applyNumberFormat="0" applyBorder="0" applyAlignment="0" applyProtection="0"/>
    <xf numFmtId="0" fontId="13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2" borderId="0" applyNumberFormat="0" applyBorder="0" applyAlignment="0" applyProtection="0"/>
    <xf numFmtId="0" fontId="13" fillId="30" borderId="0" applyNumberFormat="0" applyBorder="0" applyAlignment="0" applyProtection="0"/>
    <xf numFmtId="0" fontId="13" fillId="38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9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40" borderId="0" applyNumberFormat="0" applyBorder="0" applyAlignment="0" applyProtection="0"/>
    <xf numFmtId="0" fontId="13" fillId="40" borderId="0" applyNumberFormat="0" applyBorder="0" applyAlignment="0" applyProtection="0"/>
    <xf numFmtId="0" fontId="13" fillId="40" borderId="0" applyNumberFormat="0" applyBorder="0" applyAlignment="0" applyProtection="0"/>
    <xf numFmtId="0" fontId="14" fillId="0" borderId="13" applyNumberFormat="0" applyFill="0" applyAlignment="0" applyProtection="0">
      <alignment horizontal="left"/>
    </xf>
    <xf numFmtId="0" fontId="15" fillId="0" borderId="13">
      <protection hidden="1"/>
    </xf>
    <xf numFmtId="0" fontId="16" fillId="41" borderId="0" applyNumberFormat="0" applyFont="0" applyBorder="0" applyAlignment="0" applyProtection="0"/>
    <xf numFmtId="0" fontId="9" fillId="19" borderId="0"/>
    <xf numFmtId="0" fontId="9" fillId="19" borderId="0"/>
    <xf numFmtId="0" fontId="9" fillId="19" borderId="0"/>
    <xf numFmtId="0" fontId="9" fillId="19" borderId="0"/>
    <xf numFmtId="0" fontId="9" fillId="19" borderId="0"/>
    <xf numFmtId="0" fontId="9" fillId="19" borderId="0"/>
    <xf numFmtId="0" fontId="9" fillId="19" borderId="0"/>
    <xf numFmtId="0" fontId="17" fillId="42" borderId="0" applyNumberFormat="0" applyBorder="0" applyAlignment="0" applyProtection="0"/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20" fillId="43" borderId="0"/>
    <xf numFmtId="0" fontId="21" fillId="44" borderId="0" applyNumberFormat="0" applyFont="0" applyBorder="0" applyAlignment="0" applyProtection="0">
      <alignment horizontal="center"/>
    </xf>
    <xf numFmtId="0" fontId="22" fillId="0" borderId="0">
      <alignment horizontal="right"/>
    </xf>
    <xf numFmtId="169" fontId="23" fillId="45" borderId="0"/>
    <xf numFmtId="0" fontId="24" fillId="46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4" fillId="46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5" fillId="18" borderId="14" applyNumberFormat="0" applyAlignment="0" applyProtection="0"/>
    <xf numFmtId="0" fontId="20" fillId="36" borderId="15" applyNumberFormat="0" applyAlignment="0" applyProtection="0"/>
    <xf numFmtId="0" fontId="20" fillId="47" borderId="15" applyNumberFormat="0" applyAlignment="0" applyProtection="0"/>
    <xf numFmtId="0" fontId="20" fillId="47" borderId="15" applyNumberFormat="0" applyAlignment="0" applyProtection="0"/>
    <xf numFmtId="0" fontId="20" fillId="47" borderId="15" applyNumberFormat="0" applyAlignment="0" applyProtection="0"/>
    <xf numFmtId="0" fontId="26" fillId="0" borderId="13" applyNumberFormat="0" applyBorder="0" applyAlignment="0" applyProtection="0">
      <alignment horizontal="left"/>
    </xf>
    <xf numFmtId="38" fontId="27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2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170" fontId="6" fillId="0" borderId="0" applyFont="0" applyFill="0" applyBorder="0" applyAlignment="0" applyProtection="0"/>
    <xf numFmtId="0" fontId="30" fillId="0" borderId="0">
      <alignment horizontal="right"/>
    </xf>
    <xf numFmtId="0" fontId="11" fillId="48" borderId="16" applyNumberFormat="0" applyFont="0" applyBorder="0" applyAlignment="0" applyProtection="0">
      <alignment horizontal="centerContinuous"/>
    </xf>
    <xf numFmtId="0" fontId="31" fillId="49" borderId="0" applyNumberFormat="0" applyBorder="0" applyAlignment="0">
      <alignment horizontal="center"/>
    </xf>
    <xf numFmtId="0" fontId="32" fillId="50" borderId="17">
      <alignment horizontal="center"/>
      <protection locked="0"/>
    </xf>
    <xf numFmtId="15" fontId="33" fillId="51" borderId="18" applyFont="0" applyFill="0" applyBorder="0" applyAlignment="0" applyProtection="0">
      <alignment horizontal="left"/>
    </xf>
    <xf numFmtId="17" fontId="33" fillId="51" borderId="18" applyFont="0" applyFill="0" applyBorder="0" applyAlignment="0" applyProtection="0">
      <alignment horizontal="left"/>
    </xf>
    <xf numFmtId="0" fontId="33" fillId="51" borderId="0">
      <alignment vertical="center"/>
    </xf>
    <xf numFmtId="171" fontId="33" fillId="0" borderId="0" applyFont="0" applyFill="0" applyBorder="0" applyAlignment="0" applyProtection="0"/>
    <xf numFmtId="0" fontId="16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6" borderId="0"/>
    <xf numFmtId="172" fontId="36" fillId="52" borderId="20" applyBorder="0"/>
    <xf numFmtId="0" fontId="9" fillId="21" borderId="19"/>
    <xf numFmtId="0" fontId="9" fillId="21" borderId="19"/>
    <xf numFmtId="0" fontId="9" fillId="21" borderId="19"/>
    <xf numFmtId="0" fontId="9" fillId="21" borderId="19"/>
    <xf numFmtId="168" fontId="37" fillId="46" borderId="0"/>
    <xf numFmtId="0" fontId="38" fillId="53" borderId="19"/>
    <xf numFmtId="172" fontId="36" fillId="0" borderId="19"/>
    <xf numFmtId="172" fontId="36" fillId="54" borderId="19"/>
    <xf numFmtId="172" fontId="36" fillId="55" borderId="21" applyBorder="0"/>
    <xf numFmtId="172" fontId="36" fillId="56" borderId="19"/>
    <xf numFmtId="0" fontId="39" fillId="46" borderId="19"/>
    <xf numFmtId="0" fontId="35" fillId="57" borderId="19"/>
    <xf numFmtId="0" fontId="40" fillId="58" borderId="22" applyBorder="0">
      <alignment horizontal="right"/>
    </xf>
    <xf numFmtId="38" fontId="9" fillId="0" borderId="19"/>
    <xf numFmtId="0" fontId="9" fillId="0" borderId="19"/>
    <xf numFmtId="0" fontId="9" fillId="9" borderId="19"/>
    <xf numFmtId="0" fontId="9" fillId="9" borderId="19"/>
    <xf numFmtId="0" fontId="9" fillId="9" borderId="19"/>
    <xf numFmtId="0" fontId="9" fillId="9" borderId="19"/>
    <xf numFmtId="172" fontId="36" fillId="54" borderId="19"/>
    <xf numFmtId="0" fontId="41" fillId="52" borderId="23">
      <alignment horizontal="center"/>
    </xf>
    <xf numFmtId="172" fontId="36" fillId="46" borderId="19"/>
    <xf numFmtId="0" fontId="42" fillId="59" borderId="0"/>
    <xf numFmtId="0" fontId="43" fillId="0" borderId="0"/>
    <xf numFmtId="0" fontId="44" fillId="0" borderId="0" applyNumberFormat="0" applyFill="0" applyBorder="0" applyAlignment="0" applyProtection="0"/>
    <xf numFmtId="0" fontId="45" fillId="36" borderId="0">
      <alignment horizontal="center"/>
    </xf>
    <xf numFmtId="0" fontId="46" fillId="21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7" fillId="60" borderId="24" applyNumberFormat="0" applyFont="0" applyBorder="0" applyAlignment="0">
      <alignment horizontal="centerContinuous"/>
    </xf>
    <xf numFmtId="0" fontId="48" fillId="19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1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4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24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0" fontId="58" fillId="11" borderId="14" applyNumberFormat="0" applyAlignment="0" applyProtection="0"/>
    <xf numFmtId="2" fontId="9" fillId="62" borderId="33" applyNumberFormat="0" applyBorder="0">
      <alignment horizontal="right" vertical="center"/>
    </xf>
    <xf numFmtId="2" fontId="59" fillId="63" borderId="34" applyBorder="0">
      <alignment horizontal="left" vertical="center"/>
    </xf>
    <xf numFmtId="10" fontId="60" fillId="46" borderId="0" applyBorder="0">
      <alignment horizontal="right"/>
      <protection locked="0"/>
    </xf>
    <xf numFmtId="15" fontId="60" fillId="46" borderId="19" applyBorder="0">
      <alignment horizontal="center"/>
      <protection locked="0"/>
    </xf>
    <xf numFmtId="15" fontId="60" fillId="46" borderId="0" applyBorder="0">
      <alignment horizontal="left"/>
      <protection locked="0"/>
    </xf>
    <xf numFmtId="0" fontId="61" fillId="64" borderId="0" applyFont="0" applyFill="0" applyBorder="0" applyAlignment="0" applyProtection="0">
      <alignment horizontal="right" vertical="center"/>
    </xf>
    <xf numFmtId="2" fontId="62" fillId="65" borderId="34" applyNumberFormat="0">
      <alignment horizontal="center" vertical="center"/>
    </xf>
    <xf numFmtId="0" fontId="63" fillId="0" borderId="13" applyNumberFormat="0" applyFill="0" applyBorder="0" applyAlignment="0" applyProtection="0"/>
    <xf numFmtId="173" fontId="64" fillId="19" borderId="24" applyBorder="0">
      <alignment horizontal="left"/>
      <protection locked="0"/>
    </xf>
    <xf numFmtId="173" fontId="64" fillId="19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67" fillId="46" borderId="37" applyFont="0">
      <alignment horizontal="center" vertical="center"/>
    </xf>
    <xf numFmtId="0" fontId="40" fillId="0" borderId="23"/>
    <xf numFmtId="0" fontId="16" fillId="0" borderId="0"/>
    <xf numFmtId="0" fontId="68" fillId="0" borderId="13">
      <alignment horizontal="left"/>
      <protection locked="0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69" fillId="66" borderId="0" applyNumberFormat="0" applyBorder="0" applyAlignment="0" applyProtection="0"/>
    <xf numFmtId="0" fontId="70" fillId="23" borderId="0" applyNumberFormat="0" applyBorder="0" applyAlignment="0" applyProtection="0"/>
    <xf numFmtId="0" fontId="70" fillId="23" borderId="0" applyNumberFormat="0" applyBorder="0" applyAlignment="0" applyProtection="0"/>
    <xf numFmtId="0" fontId="70" fillId="23" borderId="0" applyNumberFormat="0" applyBorder="0" applyAlignment="0" applyProtection="0"/>
    <xf numFmtId="175" fontId="7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>
      <alignment vertical="center"/>
    </xf>
    <xf numFmtId="0" fontId="1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9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9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9" fillId="13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6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46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3" fillId="18" borderId="38" applyNumberFormat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/>
    <xf numFmtId="0" fontId="74" fillId="69" borderId="0" applyNumberFormat="0" applyFont="0" applyBorder="0" applyAlignment="0" applyProtection="0">
      <alignment horizontal="center"/>
    </xf>
    <xf numFmtId="0" fontId="74" fillId="70" borderId="39" applyNumberFormat="0" applyFont="0" applyBorder="0" applyAlignment="0" applyProtection="0"/>
    <xf numFmtId="0" fontId="74" fillId="71" borderId="39" applyNumberFormat="0" applyFont="0" applyBorder="0" applyAlignment="0"/>
    <xf numFmtId="0" fontId="74" fillId="72" borderId="39" applyNumberFormat="0" applyFont="0" applyBorder="0" applyAlignment="0"/>
    <xf numFmtId="0" fontId="16" fillId="73" borderId="0" applyNumberFormat="0" applyFont="0" applyBorder="0" applyAlignment="0" applyProtection="0">
      <alignment horizontal="center"/>
      <protection hidden="1"/>
    </xf>
    <xf numFmtId="0" fontId="9" fillId="41" borderId="0" applyNumberFormat="0" applyFont="0" applyBorder="0" applyAlignment="0" applyProtection="0">
      <protection hidden="1"/>
    </xf>
    <xf numFmtId="0" fontId="9" fillId="74" borderId="0" applyNumberFormat="0" applyFont="0" applyBorder="0" applyAlignment="0" applyProtection="0">
      <protection hidden="1"/>
    </xf>
    <xf numFmtId="0" fontId="9" fillId="75" borderId="0" applyNumberFormat="0" applyFont="0" applyBorder="0" applyAlignment="0" applyProtection="0">
      <protection hidden="1"/>
    </xf>
    <xf numFmtId="0" fontId="9" fillId="76" borderId="0" applyNumberFormat="0" applyFont="0" applyBorder="0" applyAlignment="0" applyProtection="0">
      <protection hidden="1"/>
    </xf>
    <xf numFmtId="0" fontId="9" fillId="77" borderId="0" applyNumberFormat="0" applyFont="0" applyBorder="0" applyAlignment="0" applyProtection="0">
      <protection hidden="1"/>
    </xf>
    <xf numFmtId="0" fontId="9" fillId="78" borderId="0" applyNumberFormat="0" applyFont="0" applyBorder="0" applyAlignment="0" applyProtection="0">
      <protection hidden="1"/>
    </xf>
    <xf numFmtId="9" fontId="9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3" fillId="51" borderId="18" applyFont="0" applyFill="0" applyBorder="0" applyAlignment="0" applyProtection="0">
      <alignment horizontal="left"/>
    </xf>
    <xf numFmtId="0" fontId="75" fillId="0" borderId="40" applyBorder="0"/>
    <xf numFmtId="0" fontId="33" fillId="79" borderId="0" applyFont="0" applyFill="0" applyBorder="0">
      <alignment horizontal="left"/>
    </xf>
    <xf numFmtId="0" fontId="76" fillId="0" borderId="0"/>
    <xf numFmtId="176" fontId="77" fillId="0" borderId="40" applyBorder="0">
      <alignment horizontal="center"/>
      <protection locked="0"/>
    </xf>
    <xf numFmtId="0" fontId="9" fillId="0" borderId="0">
      <alignment horizontal="left" wrapText="1"/>
    </xf>
    <xf numFmtId="0" fontId="9" fillId="0" borderId="0"/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78" fillId="46" borderId="37">
      <alignment horizontal="center" vertical="center"/>
    </xf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 applyNumberFormat="0" applyFill="0" applyBorder="0" applyAlignment="0" applyProtection="0"/>
    <xf numFmtId="0" fontId="9" fillId="46" borderId="19" applyAlignment="0">
      <alignment horizontal="right"/>
    </xf>
    <xf numFmtId="0" fontId="9" fillId="46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8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9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38" fontId="27" fillId="0" borderId="0" applyFont="0" applyFill="0" applyBorder="0" applyAlignment="0" applyProtection="0">
      <alignment vertical="center"/>
    </xf>
    <xf numFmtId="177" fontId="9" fillId="0" borderId="0" applyFont="0" applyFill="0" applyBorder="0" applyAlignment="0" applyProtection="0"/>
    <xf numFmtId="0" fontId="27" fillId="0" borderId="0">
      <alignment vertical="center"/>
    </xf>
    <xf numFmtId="0" fontId="89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</cellStyleXfs>
  <cellXfs count="9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3" fontId="0" fillId="5" borderId="2" xfId="0" applyNumberFormat="1" applyFill="1" applyBorder="1" applyAlignment="1">
      <alignment horizontal="center"/>
    </xf>
    <xf numFmtId="10" fontId="0" fillId="5" borderId="3" xfId="0" applyNumberForma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3" fontId="4" fillId="4" borderId="1" xfId="0" applyNumberFormat="1" applyFont="1" applyFill="1" applyBorder="1" applyAlignment="1">
      <alignment horizontal="center" vertical="center"/>
    </xf>
    <xf numFmtId="3" fontId="4" fillId="4" borderId="2" xfId="0" applyNumberFormat="1" applyFont="1" applyFill="1" applyBorder="1" applyAlignment="1">
      <alignment horizontal="center" vertical="center"/>
    </xf>
    <xf numFmtId="3" fontId="4" fillId="4" borderId="3" xfId="0" applyNumberFormat="1" applyFont="1" applyFill="1" applyBorder="1" applyAlignment="1">
      <alignment horizontal="center" vertical="center"/>
    </xf>
    <xf numFmtId="164" fontId="4" fillId="4" borderId="4" xfId="0" applyNumberFormat="1" applyFont="1" applyFill="1" applyBorder="1" applyAlignment="1">
      <alignment horizontal="center" vertical="center"/>
    </xf>
    <xf numFmtId="3" fontId="4" fillId="4" borderId="5" xfId="0" applyNumberFormat="1" applyFont="1" applyFill="1" applyBorder="1" applyAlignment="1">
      <alignment horizontal="center" vertical="center"/>
    </xf>
    <xf numFmtId="165" fontId="4" fillId="4" borderId="5" xfId="0" applyNumberFormat="1" applyFont="1" applyFill="1" applyBorder="1" applyAlignment="1">
      <alignment horizontal="center" vertical="center"/>
    </xf>
    <xf numFmtId="166" fontId="4" fillId="4" borderId="5" xfId="0" applyNumberFormat="1" applyFont="1" applyFill="1" applyBorder="1" applyAlignment="1">
      <alignment horizontal="center" vertical="center"/>
    </xf>
    <xf numFmtId="3" fontId="4" fillId="4" borderId="6" xfId="0" applyNumberFormat="1" applyFont="1" applyFill="1" applyBorder="1" applyAlignment="1">
      <alignment horizontal="center" vertical="center"/>
    </xf>
    <xf numFmtId="164" fontId="4" fillId="4" borderId="7" xfId="0" applyNumberFormat="1" applyFont="1" applyFill="1" applyBorder="1" applyAlignment="1">
      <alignment horizontal="center" vertical="center"/>
    </xf>
    <xf numFmtId="3" fontId="4" fillId="4" borderId="0" xfId="0" applyNumberFormat="1" applyFont="1" applyFill="1" applyAlignment="1">
      <alignment horizontal="center" vertical="center"/>
    </xf>
    <xf numFmtId="165" fontId="4" fillId="4" borderId="0" xfId="0" applyNumberFormat="1" applyFont="1" applyFill="1" applyAlignment="1">
      <alignment horizontal="center" vertical="center"/>
    </xf>
    <xf numFmtId="166" fontId="4" fillId="4" borderId="0" xfId="0" applyNumberFormat="1" applyFont="1" applyFill="1" applyAlignment="1">
      <alignment horizontal="center" vertical="center"/>
    </xf>
    <xf numFmtId="3" fontId="4" fillId="4" borderId="8" xfId="0" applyNumberFormat="1" applyFont="1" applyFill="1" applyBorder="1" applyAlignment="1">
      <alignment horizontal="center" vertical="center"/>
    </xf>
    <xf numFmtId="164" fontId="4" fillId="4" borderId="9" xfId="0" applyNumberFormat="1" applyFont="1" applyFill="1" applyBorder="1" applyAlignment="1">
      <alignment horizontal="center" vertical="center"/>
    </xf>
    <xf numFmtId="3" fontId="4" fillId="4" borderId="10" xfId="0" applyNumberFormat="1" applyFont="1" applyFill="1" applyBorder="1" applyAlignment="1">
      <alignment horizontal="center" vertical="center"/>
    </xf>
    <xf numFmtId="165" fontId="4" fillId="4" borderId="10" xfId="0" applyNumberFormat="1" applyFont="1" applyFill="1" applyBorder="1" applyAlignment="1">
      <alignment horizontal="center" vertical="center"/>
    </xf>
    <xf numFmtId="166" fontId="4" fillId="4" borderId="10" xfId="0" applyNumberFormat="1" applyFont="1" applyFill="1" applyBorder="1" applyAlignment="1">
      <alignment horizontal="center" vertical="center"/>
    </xf>
    <xf numFmtId="3" fontId="4" fillId="4" borderId="11" xfId="0" applyNumberFormat="1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/>
    </xf>
    <xf numFmtId="4" fontId="4" fillId="4" borderId="4" xfId="0" applyNumberFormat="1" applyFont="1" applyFill="1" applyBorder="1" applyAlignment="1">
      <alignment horizontal="center" vertical="center"/>
    </xf>
    <xf numFmtId="167" fontId="4" fillId="4" borderId="5" xfId="0" applyNumberFormat="1" applyFont="1" applyFill="1" applyBorder="1" applyAlignment="1">
      <alignment horizontal="center" vertical="center"/>
    </xf>
    <xf numFmtId="4" fontId="4" fillId="4" borderId="7" xfId="0" applyNumberFormat="1" applyFont="1" applyFill="1" applyBorder="1" applyAlignment="1">
      <alignment horizontal="center" vertical="center"/>
    </xf>
    <xf numFmtId="167" fontId="4" fillId="4" borderId="0" xfId="0" applyNumberFormat="1" applyFont="1" applyFill="1" applyAlignment="1">
      <alignment horizontal="center" vertical="center"/>
    </xf>
    <xf numFmtId="4" fontId="4" fillId="4" borderId="9" xfId="0" applyNumberFormat="1" applyFont="1" applyFill="1" applyBorder="1" applyAlignment="1">
      <alignment horizontal="center" vertical="center"/>
    </xf>
    <xf numFmtId="167" fontId="4" fillId="4" borderId="10" xfId="0" applyNumberFormat="1" applyFont="1" applyFill="1" applyBorder="1" applyAlignment="1">
      <alignment horizontal="center" vertical="center"/>
    </xf>
    <xf numFmtId="166" fontId="4" fillId="4" borderId="1" xfId="0" applyNumberFormat="1" applyFont="1" applyFill="1" applyBorder="1" applyAlignment="1">
      <alignment horizontal="center" vertical="center"/>
    </xf>
    <xf numFmtId="10" fontId="0" fillId="5" borderId="2" xfId="0" applyNumberFormat="1" applyFill="1" applyBorder="1" applyAlignment="1">
      <alignment horizontal="center"/>
    </xf>
    <xf numFmtId="164" fontId="4" fillId="4" borderId="5" xfId="0" applyNumberFormat="1" applyFont="1" applyFill="1" applyBorder="1" applyAlignment="1">
      <alignment horizontal="center" vertical="center"/>
    </xf>
    <xf numFmtId="164" fontId="4" fillId="4" borderId="0" xfId="0" applyNumberFormat="1" applyFont="1" applyFill="1" applyAlignment="1">
      <alignment horizontal="center" vertical="center"/>
    </xf>
    <xf numFmtId="164" fontId="4" fillId="4" borderId="10" xfId="0" applyNumberFormat="1" applyFont="1" applyFill="1" applyBorder="1" applyAlignment="1">
      <alignment horizontal="center" vertical="center"/>
    </xf>
    <xf numFmtId="3" fontId="4" fillId="4" borderId="12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3" borderId="0" xfId="0" applyFill="1"/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4" fontId="0" fillId="0" borderId="0" xfId="0" applyNumberFormat="1"/>
    <xf numFmtId="0" fontId="0" fillId="3" borderId="44" xfId="0" applyFill="1" applyBorder="1"/>
    <xf numFmtId="0" fontId="0" fillId="0" borderId="45" xfId="0" applyBorder="1"/>
    <xf numFmtId="0" fontId="0" fillId="0" borderId="46" xfId="0" applyBorder="1"/>
    <xf numFmtId="165" fontId="92" fillId="4" borderId="0" xfId="0" applyNumberFormat="1" applyFont="1" applyFill="1" applyAlignment="1">
      <alignment horizontal="center" vertical="center"/>
    </xf>
    <xf numFmtId="4" fontId="92" fillId="4" borderId="0" xfId="0" applyNumberFormat="1" applyFont="1" applyFill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4" fontId="4" fillId="81" borderId="0" xfId="0" applyNumberFormat="1" applyFont="1" applyFill="1" applyAlignment="1">
      <alignment horizontal="center" vertical="center"/>
    </xf>
    <xf numFmtId="4" fontId="4" fillId="4" borderId="0" xfId="0" applyNumberFormat="1" applyFont="1" applyFill="1" applyAlignment="1">
      <alignment horizontal="center" vertical="center"/>
    </xf>
    <xf numFmtId="3" fontId="90" fillId="0" borderId="0" xfId="0" applyNumberFormat="1" applyFont="1"/>
    <xf numFmtId="4" fontId="1" fillId="0" borderId="0" xfId="0" applyNumberFormat="1" applyFont="1" applyAlignment="1">
      <alignment horizontal="right" vertical="center"/>
    </xf>
    <xf numFmtId="3" fontId="4" fillId="81" borderId="0" xfId="0" applyNumberFormat="1" applyFont="1" applyFill="1" applyAlignment="1">
      <alignment horizontal="center" vertical="center"/>
    </xf>
    <xf numFmtId="166" fontId="4" fillId="4" borderId="47" xfId="0" applyNumberFormat="1" applyFont="1" applyFill="1" applyBorder="1" applyAlignment="1">
      <alignment horizontal="center" vertical="center"/>
    </xf>
    <xf numFmtId="164" fontId="4" fillId="4" borderId="48" xfId="0" applyNumberFormat="1" applyFont="1" applyFill="1" applyBorder="1" applyAlignment="1">
      <alignment horizontal="center" vertical="center"/>
    </xf>
    <xf numFmtId="4" fontId="91" fillId="80" borderId="48" xfId="0" applyNumberFormat="1" applyFont="1" applyFill="1" applyBorder="1" applyAlignment="1">
      <alignment horizontal="center" vertical="center"/>
    </xf>
    <xf numFmtId="3" fontId="2" fillId="5" borderId="49" xfId="0" applyNumberFormat="1" applyFont="1" applyFill="1" applyBorder="1" applyAlignment="1">
      <alignment horizontal="center" vertical="center"/>
    </xf>
    <xf numFmtId="164" fontId="4" fillId="81" borderId="0" xfId="0" applyNumberFormat="1" applyFont="1" applyFill="1" applyAlignment="1">
      <alignment horizontal="center" vertical="center"/>
    </xf>
    <xf numFmtId="164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95" fillId="0" borderId="0" xfId="0" applyFont="1"/>
    <xf numFmtId="0" fontId="90" fillId="0" borderId="0" xfId="0" applyFont="1"/>
    <xf numFmtId="167" fontId="90" fillId="0" borderId="0" xfId="0" applyNumberFormat="1" applyFont="1" applyAlignment="1">
      <alignment horizontal="center" vertical="center"/>
    </xf>
    <xf numFmtId="4" fontId="90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" fontId="4" fillId="4" borderId="5" xfId="0" applyNumberFormat="1" applyFont="1" applyFill="1" applyBorder="1" applyAlignment="1">
      <alignment horizontal="center" vertical="center"/>
    </xf>
    <xf numFmtId="4" fontId="4" fillId="4" borderId="1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3" fontId="93" fillId="4" borderId="50" xfId="0" applyNumberFormat="1" applyFont="1" applyFill="1" applyBorder="1" applyAlignment="1">
      <alignment horizontal="center" vertical="center"/>
    </xf>
    <xf numFmtId="164" fontId="4" fillId="4" borderId="51" xfId="0" applyNumberFormat="1" applyFont="1" applyFill="1" applyBorder="1" applyAlignment="1">
      <alignment horizontal="center" vertical="center"/>
    </xf>
    <xf numFmtId="4" fontId="4" fillId="4" borderId="53" xfId="0" applyNumberFormat="1" applyFont="1" applyFill="1" applyBorder="1" applyAlignment="1">
      <alignment horizontal="center" vertical="center"/>
    </xf>
    <xf numFmtId="3" fontId="4" fillId="81" borderId="52" xfId="0" applyNumberFormat="1" applyFont="1" applyFill="1" applyBorder="1" applyAlignment="1">
      <alignment horizontal="center" vertical="center"/>
    </xf>
    <xf numFmtId="3" fontId="4" fillId="81" borderId="53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left" vertical="center"/>
    </xf>
    <xf numFmtId="164" fontId="2" fillId="0" borderId="5" xfId="0" quotePrefix="1" applyNumberFormat="1" applyFont="1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64" fontId="4" fillId="4" borderId="0" xfId="0" applyNumberFormat="1" applyFont="1" applyFill="1"/>
    <xf numFmtId="4" fontId="4" fillId="4" borderId="0" xfId="0" applyNumberFormat="1" applyFont="1" applyFill="1"/>
    <xf numFmtId="3" fontId="2" fillId="5" borderId="48" xfId="0" applyNumberFormat="1" applyFont="1" applyFill="1" applyBorder="1" applyAlignment="1">
      <alignment horizontal="center" vertical="center"/>
    </xf>
    <xf numFmtId="4" fontId="4" fillId="4" borderId="6" xfId="0" applyNumberFormat="1" applyFont="1" applyFill="1" applyBorder="1" applyAlignment="1">
      <alignment horizontal="center" vertical="center"/>
    </xf>
    <xf numFmtId="4" fontId="4" fillId="4" borderId="11" xfId="0" applyNumberFormat="1" applyFont="1" applyFill="1" applyBorder="1" applyAlignment="1">
      <alignment horizontal="center" vertical="center"/>
    </xf>
  </cellXfs>
  <cellStyles count="7360">
    <cellStyle name="_ADN" xfId="2" xr:uid="{00000000-0005-0000-0000-000000000000}"/>
    <cellStyle name="_Apollo" xfId="3" xr:uid="{00000000-0005-0000-0000-000001000000}"/>
    <cellStyle name="_Book2" xfId="4" xr:uid="{00000000-0005-0000-0000-000002000000}"/>
    <cellStyle name="_Book2_ValuationViewer" xfId="5" xr:uid="{00000000-0005-0000-0000-000003000000}"/>
    <cellStyle name="_btec" xfId="6" xr:uid="{00000000-0005-0000-0000-000004000000}"/>
    <cellStyle name="_Composite Page" xfId="7" xr:uid="{00000000-0005-0000-0000-000005000000}"/>
    <cellStyle name="_Composite Page_Composite Page" xfId="8" xr:uid="{00000000-0005-0000-0000-000006000000}"/>
    <cellStyle name="_Composite Page_Config" xfId="9" xr:uid="{00000000-0005-0000-0000-000007000000}"/>
    <cellStyle name="_Config" xfId="10" xr:uid="{00000000-0005-0000-0000-000008000000}"/>
    <cellStyle name="_Config_apollo_curves" xfId="11" xr:uid="{00000000-0005-0000-0000-000009000000}"/>
    <cellStyle name="_Config_Apollo_Spread" xfId="12" xr:uid="{00000000-0005-0000-0000-00000A000000}"/>
    <cellStyle name="_config_db" xfId="13" xr:uid="{00000000-0005-0000-0000-00000B000000}"/>
    <cellStyle name="_Cprty" xfId="14" xr:uid="{00000000-0005-0000-0000-00000C000000}"/>
    <cellStyle name="_data" xfId="15" xr:uid="{00000000-0005-0000-0000-00000D000000}"/>
    <cellStyle name="_DISPLAY" xfId="16" xr:uid="{00000000-0005-0000-0000-00000E000000}"/>
    <cellStyle name="_DISPLAY 2" xfId="17" xr:uid="{00000000-0005-0000-0000-00000F000000}"/>
    <cellStyle name="_DISPLAY_121Fut_View" xfId="18" xr:uid="{00000000-0005-0000-0000-000010000000}"/>
    <cellStyle name="_DISPLAY_121Fut_View 2" xfId="19" xr:uid="{00000000-0005-0000-0000-000011000000}"/>
    <cellStyle name="_DISPLAY_Apollo" xfId="20" xr:uid="{00000000-0005-0000-0000-000012000000}"/>
    <cellStyle name="_DISPLAY_AssetSwap" xfId="21" xr:uid="{00000000-0005-0000-0000-000013000000}"/>
    <cellStyle name="_DISPLAY_Closes" xfId="22" xr:uid="{00000000-0005-0000-0000-000014000000}"/>
    <cellStyle name="_DISPLAY_Composite Page" xfId="23" xr:uid="{00000000-0005-0000-0000-000015000000}"/>
    <cellStyle name="_DISPLAY_Config" xfId="24" xr:uid="{00000000-0005-0000-0000-000016000000}"/>
    <cellStyle name="_DISPLAY_Config_Composite Page" xfId="25" xr:uid="{00000000-0005-0000-0000-000017000000}"/>
    <cellStyle name="_DISPLAY_Convexity" xfId="26" xr:uid="{00000000-0005-0000-0000-000018000000}"/>
    <cellStyle name="_DISPLAY_Core" xfId="27" xr:uid="{00000000-0005-0000-0000-000019000000}"/>
    <cellStyle name="_DISPLAY_Core 2" xfId="28" xr:uid="{00000000-0005-0000-0000-00001A000000}"/>
    <cellStyle name="_DISPLAY_Core_Composite Page" xfId="29" xr:uid="{00000000-0005-0000-0000-00001B000000}"/>
    <cellStyle name="_DISPLAY_Core_Config" xfId="30" xr:uid="{00000000-0005-0000-0000-00001C000000}"/>
    <cellStyle name="_DISPLAY_cp_Closes" xfId="31" xr:uid="{00000000-0005-0000-0000-00001D000000}"/>
    <cellStyle name="_DISPLAY_DISPLAY" xfId="32" xr:uid="{00000000-0005-0000-0000-00001E000000}"/>
    <cellStyle name="_DISPLAY_EOD_Closes" xfId="33" xr:uid="{00000000-0005-0000-0000-00001F000000}"/>
    <cellStyle name="_DISPLAY_EOD_Closes_1" xfId="34" xr:uid="{00000000-0005-0000-0000-000020000000}"/>
    <cellStyle name="_DISPLAY_EOD_Curve" xfId="35" xr:uid="{00000000-0005-0000-0000-000021000000}"/>
    <cellStyle name="_DISPLAY_EOD_Curve 2" xfId="36" xr:uid="{00000000-0005-0000-0000-000022000000}"/>
    <cellStyle name="_DISPLAY_EOD_Curve 3" xfId="37" xr:uid="{00000000-0005-0000-0000-000023000000}"/>
    <cellStyle name="_DISPLAY_EOD_Curve_Composite Page" xfId="38" xr:uid="{00000000-0005-0000-0000-000024000000}"/>
    <cellStyle name="_DISPLAY_EOD_Curve_Core" xfId="39" xr:uid="{00000000-0005-0000-0000-000025000000}"/>
    <cellStyle name="_DISPLAY_EOD_Curve_Core 2" xfId="40" xr:uid="{00000000-0005-0000-0000-000026000000}"/>
    <cellStyle name="_DISPLAY_EOD_Curve_Futures" xfId="41" xr:uid="{00000000-0005-0000-0000-000027000000}"/>
    <cellStyle name="_DISPLAY_EOD_Curve_Swaps" xfId="42" xr:uid="{00000000-0005-0000-0000-000028000000}"/>
    <cellStyle name="_DISPLAY_Futures" xfId="43" xr:uid="{00000000-0005-0000-0000-000029000000}"/>
    <cellStyle name="_DISPLAY_Futures 2" xfId="44" xr:uid="{00000000-0005-0000-0000-00002A000000}"/>
    <cellStyle name="_DISPLAY_Futures_Composite Page" xfId="45" xr:uid="{00000000-0005-0000-0000-00002B000000}"/>
    <cellStyle name="_DISPLAY_Futures_Config" xfId="46" xr:uid="{00000000-0005-0000-0000-00002C000000}"/>
    <cellStyle name="_DISPLAY_Gamma" xfId="47" xr:uid="{00000000-0005-0000-0000-00002D000000}"/>
    <cellStyle name="_DISPLAY_Gamma_1" xfId="48" xr:uid="{00000000-0005-0000-0000-00002E000000}"/>
    <cellStyle name="_DISPLAY_Gamma_Composite Page" xfId="49" xr:uid="{00000000-0005-0000-0000-00002F000000}"/>
    <cellStyle name="_DISPLAY_Gamma_Core" xfId="50" xr:uid="{00000000-0005-0000-0000-000030000000}"/>
    <cellStyle name="_DISPLAY_Gamma_Futures" xfId="51" xr:uid="{00000000-0005-0000-0000-000031000000}"/>
    <cellStyle name="_DISPLAY_Gamma_Futures_1" xfId="52" xr:uid="{00000000-0005-0000-0000-000032000000}"/>
    <cellStyle name="_DISPLAY_Gamma_Swaps" xfId="53" xr:uid="{00000000-0005-0000-0000-000033000000}"/>
    <cellStyle name="_DISPLAY_Gamma_Treasuries" xfId="54" xr:uid="{00000000-0005-0000-0000-000034000000}"/>
    <cellStyle name="_DISPLAY_holidays" xfId="55" xr:uid="{00000000-0005-0000-0000-000035000000}"/>
    <cellStyle name="_DISPLAY_Real_Time" xfId="56" xr:uid="{00000000-0005-0000-0000-000036000000}"/>
    <cellStyle name="_DISPLAY_Real-Time" xfId="57" xr:uid="{00000000-0005-0000-0000-000037000000}"/>
    <cellStyle name="_DISPLAY_Real-Time 2" xfId="58" xr:uid="{00000000-0005-0000-0000-000038000000}"/>
    <cellStyle name="_DISPLAY_Real-Time_1" xfId="59" xr:uid="{00000000-0005-0000-0000-000039000000}"/>
    <cellStyle name="_DISPLAY_Real-Time_Composite Page" xfId="60" xr:uid="{00000000-0005-0000-0000-00003A000000}"/>
    <cellStyle name="_DISPLAY_Real-Time_Core" xfId="61" xr:uid="{00000000-0005-0000-0000-00003B000000}"/>
    <cellStyle name="_DISPLAY_Real-Time_Futures" xfId="62" xr:uid="{00000000-0005-0000-0000-00003C000000}"/>
    <cellStyle name="_DISPLAY_Real-Time_Futures_1" xfId="63" xr:uid="{00000000-0005-0000-0000-00003D000000}"/>
    <cellStyle name="_DISPLAY_Real-Time_Swaps" xfId="64" xr:uid="{00000000-0005-0000-0000-00003E000000}"/>
    <cellStyle name="_DISPLAY_Real-Time_Treasuries" xfId="65" xr:uid="{00000000-0005-0000-0000-00003F000000}"/>
    <cellStyle name="_DISPLAY_Sheet1" xfId="66" xr:uid="{00000000-0005-0000-0000-000040000000}"/>
    <cellStyle name="_DISPLAY_Swaps" xfId="67" xr:uid="{00000000-0005-0000-0000-000041000000}"/>
    <cellStyle name="_DISPLAY_Swaps 2" xfId="68" xr:uid="{00000000-0005-0000-0000-000042000000}"/>
    <cellStyle name="_DISPLAY_Swaps_Composite Page" xfId="69" xr:uid="{00000000-0005-0000-0000-000043000000}"/>
    <cellStyle name="_DISPLAY_Swaps_Config" xfId="70" xr:uid="{00000000-0005-0000-0000-000044000000}"/>
    <cellStyle name="_DISPLAY_T-Notes" xfId="71" xr:uid="{00000000-0005-0000-0000-000045000000}"/>
    <cellStyle name="_DISPLAY_T-Notes 2" xfId="72" xr:uid="{00000000-0005-0000-0000-000046000000}"/>
    <cellStyle name="_DISPLAY_T-Notes_Composite Page" xfId="73" xr:uid="{00000000-0005-0000-0000-000047000000}"/>
    <cellStyle name="_DISPLAY_T-Notes_Config" xfId="74" xr:uid="{00000000-0005-0000-0000-000048000000}"/>
    <cellStyle name="_DISPLAY_ToDo" xfId="75" xr:uid="{00000000-0005-0000-0000-000049000000}"/>
    <cellStyle name="_DISPLAY_ToDo 2" xfId="76" xr:uid="{00000000-0005-0000-0000-00004A000000}"/>
    <cellStyle name="_DISPLAY_ToDoList" xfId="77" xr:uid="{00000000-0005-0000-0000-00004B000000}"/>
    <cellStyle name="_DISPLAY_ToDoList 2" xfId="78" xr:uid="{00000000-0005-0000-0000-00004C000000}"/>
    <cellStyle name="_DISPLAY_Treasuries" xfId="79" xr:uid="{00000000-0005-0000-0000-00004D000000}"/>
    <cellStyle name="_DISPLAY_Treasuries 2" xfId="80" xr:uid="{00000000-0005-0000-0000-00004E000000}"/>
    <cellStyle name="_DISPLAY_Treasuries_Composite Page" xfId="81" xr:uid="{00000000-0005-0000-0000-00004F000000}"/>
    <cellStyle name="_DISPLAY_Treasuries_Config" xfId="82" xr:uid="{00000000-0005-0000-0000-000050000000}"/>
    <cellStyle name="_FRA_Map" xfId="83" xr:uid="{00000000-0005-0000-0000-000051000000}"/>
    <cellStyle name="_FRA_Map 2" xfId="84" xr:uid="{00000000-0005-0000-0000-000052000000}"/>
    <cellStyle name="_FRA_Map_121Fut_View" xfId="85" xr:uid="{00000000-0005-0000-0000-000053000000}"/>
    <cellStyle name="_FRA_Map_121Fut_View 2" xfId="86" xr:uid="{00000000-0005-0000-0000-000054000000}"/>
    <cellStyle name="_FRA_Map_Apollo" xfId="87" xr:uid="{00000000-0005-0000-0000-000055000000}"/>
    <cellStyle name="_FRA_Map_AssetSwap" xfId="88" xr:uid="{00000000-0005-0000-0000-000056000000}"/>
    <cellStyle name="_FRA_Map_Closes" xfId="89" xr:uid="{00000000-0005-0000-0000-000057000000}"/>
    <cellStyle name="_FRA_Map_Composite Page" xfId="90" xr:uid="{00000000-0005-0000-0000-000058000000}"/>
    <cellStyle name="_FRA_Map_Config" xfId="91" xr:uid="{00000000-0005-0000-0000-000059000000}"/>
    <cellStyle name="_FRA_Map_Config_Composite Page" xfId="92" xr:uid="{00000000-0005-0000-0000-00005A000000}"/>
    <cellStyle name="_FRA_Map_Convexity" xfId="93" xr:uid="{00000000-0005-0000-0000-00005B000000}"/>
    <cellStyle name="_FRA_Map_Core" xfId="94" xr:uid="{00000000-0005-0000-0000-00005C000000}"/>
    <cellStyle name="_FRA_Map_Core 2" xfId="95" xr:uid="{00000000-0005-0000-0000-00005D000000}"/>
    <cellStyle name="_FRA_Map_Core_Composite Page" xfId="96" xr:uid="{00000000-0005-0000-0000-00005E000000}"/>
    <cellStyle name="_FRA_Map_Core_Config" xfId="97" xr:uid="{00000000-0005-0000-0000-00005F000000}"/>
    <cellStyle name="_FRA_Map_cp_Closes" xfId="98" xr:uid="{00000000-0005-0000-0000-000060000000}"/>
    <cellStyle name="_FRA_Map_DISPLAY" xfId="99" xr:uid="{00000000-0005-0000-0000-000061000000}"/>
    <cellStyle name="_FRA_Map_EOD_Closes" xfId="100" xr:uid="{00000000-0005-0000-0000-000062000000}"/>
    <cellStyle name="_FRA_Map_EOD_Closes_1" xfId="101" xr:uid="{00000000-0005-0000-0000-000063000000}"/>
    <cellStyle name="_FRA_Map_EOD_Curve" xfId="102" xr:uid="{00000000-0005-0000-0000-000064000000}"/>
    <cellStyle name="_FRA_Map_EOD_Curve 2" xfId="103" xr:uid="{00000000-0005-0000-0000-000065000000}"/>
    <cellStyle name="_FRA_Map_EOD_Curve 3" xfId="104" xr:uid="{00000000-0005-0000-0000-000066000000}"/>
    <cellStyle name="_FRA_Map_EOD_Curve_Composite Page" xfId="105" xr:uid="{00000000-0005-0000-0000-000067000000}"/>
    <cellStyle name="_FRA_Map_EOD_Curve_Core" xfId="106" xr:uid="{00000000-0005-0000-0000-000068000000}"/>
    <cellStyle name="_FRA_Map_EOD_Curve_Core 2" xfId="107" xr:uid="{00000000-0005-0000-0000-000069000000}"/>
    <cellStyle name="_FRA_Map_EOD_Curve_Futures" xfId="108" xr:uid="{00000000-0005-0000-0000-00006A000000}"/>
    <cellStyle name="_FRA_Map_EOD_Curve_Swaps" xfId="109" xr:uid="{00000000-0005-0000-0000-00006B000000}"/>
    <cellStyle name="_FRA_Map_Futures" xfId="110" xr:uid="{00000000-0005-0000-0000-00006C000000}"/>
    <cellStyle name="_FRA_Map_Futures 2" xfId="111" xr:uid="{00000000-0005-0000-0000-00006D000000}"/>
    <cellStyle name="_FRA_Map_Futures_Composite Page" xfId="112" xr:uid="{00000000-0005-0000-0000-00006E000000}"/>
    <cellStyle name="_FRA_Map_Futures_Config" xfId="113" xr:uid="{00000000-0005-0000-0000-00006F000000}"/>
    <cellStyle name="_FRA_Map_Gamma" xfId="114" xr:uid="{00000000-0005-0000-0000-000070000000}"/>
    <cellStyle name="_FRA_Map_Gamma_1" xfId="115" xr:uid="{00000000-0005-0000-0000-000071000000}"/>
    <cellStyle name="_FRA_Map_Gamma_Composite Page" xfId="116" xr:uid="{00000000-0005-0000-0000-000072000000}"/>
    <cellStyle name="_FRA_Map_Gamma_Core" xfId="117" xr:uid="{00000000-0005-0000-0000-000073000000}"/>
    <cellStyle name="_FRA_Map_Gamma_Futures" xfId="118" xr:uid="{00000000-0005-0000-0000-000074000000}"/>
    <cellStyle name="_FRA_Map_Gamma_Futures_1" xfId="119" xr:uid="{00000000-0005-0000-0000-000075000000}"/>
    <cellStyle name="_FRA_Map_Gamma_Swaps" xfId="120" xr:uid="{00000000-0005-0000-0000-000076000000}"/>
    <cellStyle name="_FRA_Map_Gamma_Treasuries" xfId="121" xr:uid="{00000000-0005-0000-0000-000077000000}"/>
    <cellStyle name="_FRA_Map_holidays" xfId="122" xr:uid="{00000000-0005-0000-0000-000078000000}"/>
    <cellStyle name="_FRA_Map_Real_Time" xfId="123" xr:uid="{00000000-0005-0000-0000-000079000000}"/>
    <cellStyle name="_FRA_Map_Real-Time" xfId="124" xr:uid="{00000000-0005-0000-0000-00007A000000}"/>
    <cellStyle name="_FRA_Map_Real-Time 2" xfId="125" xr:uid="{00000000-0005-0000-0000-00007B000000}"/>
    <cellStyle name="_FRA_Map_Real-Time_1" xfId="126" xr:uid="{00000000-0005-0000-0000-00007C000000}"/>
    <cellStyle name="_FRA_Map_Real-Time_Composite Page" xfId="127" xr:uid="{00000000-0005-0000-0000-00007D000000}"/>
    <cellStyle name="_FRA_Map_Real-Time_Core" xfId="128" xr:uid="{00000000-0005-0000-0000-00007E000000}"/>
    <cellStyle name="_FRA_Map_Real-Time_Futures" xfId="129" xr:uid="{00000000-0005-0000-0000-00007F000000}"/>
    <cellStyle name="_FRA_Map_Real-Time_Futures_1" xfId="130" xr:uid="{00000000-0005-0000-0000-000080000000}"/>
    <cellStyle name="_FRA_Map_Real-Time_Swaps" xfId="131" xr:uid="{00000000-0005-0000-0000-000081000000}"/>
    <cellStyle name="_FRA_Map_Real-Time_Treasuries" xfId="132" xr:uid="{00000000-0005-0000-0000-000082000000}"/>
    <cellStyle name="_FRA_Map_Sheet1" xfId="133" xr:uid="{00000000-0005-0000-0000-000083000000}"/>
    <cellStyle name="_FRA_Map_Swaps" xfId="134" xr:uid="{00000000-0005-0000-0000-000084000000}"/>
    <cellStyle name="_FRA_Map_Swaps 2" xfId="135" xr:uid="{00000000-0005-0000-0000-000085000000}"/>
    <cellStyle name="_FRA_Map_Swaps_Composite Page" xfId="136" xr:uid="{00000000-0005-0000-0000-000086000000}"/>
    <cellStyle name="_FRA_Map_Swaps_Config" xfId="137" xr:uid="{00000000-0005-0000-0000-000087000000}"/>
    <cellStyle name="_FRA_Map_T-Notes" xfId="138" xr:uid="{00000000-0005-0000-0000-000088000000}"/>
    <cellStyle name="_FRA_Map_T-Notes 2" xfId="139" xr:uid="{00000000-0005-0000-0000-000089000000}"/>
    <cellStyle name="_FRA_Map_T-Notes_Composite Page" xfId="140" xr:uid="{00000000-0005-0000-0000-00008A000000}"/>
    <cellStyle name="_FRA_Map_T-Notes_Config" xfId="141" xr:uid="{00000000-0005-0000-0000-00008B000000}"/>
    <cellStyle name="_FRA_Map_ToDo" xfId="142" xr:uid="{00000000-0005-0000-0000-00008C000000}"/>
    <cellStyle name="_FRA_Map_ToDo 2" xfId="143" xr:uid="{00000000-0005-0000-0000-00008D000000}"/>
    <cellStyle name="_FRA_Map_ToDoList" xfId="144" xr:uid="{00000000-0005-0000-0000-00008E000000}"/>
    <cellStyle name="_FRA_Map_ToDoList 2" xfId="145" xr:uid="{00000000-0005-0000-0000-00008F000000}"/>
    <cellStyle name="_FRA_Map_Treasuries" xfId="146" xr:uid="{00000000-0005-0000-0000-000090000000}"/>
    <cellStyle name="_FRA_Map_Treasuries 2" xfId="147" xr:uid="{00000000-0005-0000-0000-000091000000}"/>
    <cellStyle name="_FRA_Map_Treasuries_Composite Page" xfId="148" xr:uid="{00000000-0005-0000-0000-000092000000}"/>
    <cellStyle name="_FRA_Map_Treasuries_Config" xfId="149" xr:uid="{00000000-0005-0000-0000-000093000000}"/>
    <cellStyle name="_Front" xfId="150" xr:uid="{00000000-0005-0000-0000-000094000000}"/>
    <cellStyle name="_Front_ADN" xfId="151" xr:uid="{00000000-0005-0000-0000-000095000000}"/>
    <cellStyle name="_Front_ImportBonds" xfId="152" xr:uid="{00000000-0005-0000-0000-000096000000}"/>
    <cellStyle name="_Front_Sheet1" xfId="153" xr:uid="{00000000-0005-0000-0000-000097000000}"/>
    <cellStyle name="_Front_Today" xfId="154" xr:uid="{00000000-0005-0000-0000-000098000000}"/>
    <cellStyle name="_Front_Yesterday" xfId="155" xr:uid="{00000000-0005-0000-0000-000099000000}"/>
    <cellStyle name="_Futures" xfId="156" xr:uid="{00000000-0005-0000-0000-00009A000000}"/>
    <cellStyle name="_Gamma" xfId="157" xr:uid="{00000000-0005-0000-0000-00009B000000}"/>
    <cellStyle name="_Gamma 2" xfId="158" xr:uid="{00000000-0005-0000-0000-00009C000000}"/>
    <cellStyle name="_Gamma_Composite Page" xfId="159" xr:uid="{00000000-0005-0000-0000-00009D000000}"/>
    <cellStyle name="_Gamma_Config" xfId="160" xr:uid="{00000000-0005-0000-0000-00009E000000}"/>
    <cellStyle name="_Home" xfId="161" xr:uid="{00000000-0005-0000-0000-00009F000000}"/>
    <cellStyle name="_Home 2" xfId="162" xr:uid="{00000000-0005-0000-0000-0000A0000000}"/>
    <cellStyle name="_Home_Composite Page" xfId="163" xr:uid="{00000000-0005-0000-0000-0000A1000000}"/>
    <cellStyle name="_Home_Config" xfId="164" xr:uid="{00000000-0005-0000-0000-0000A2000000}"/>
    <cellStyle name="_Hong Kong" xfId="165" xr:uid="{00000000-0005-0000-0000-0000A3000000}"/>
    <cellStyle name="_ImportBonds" xfId="166" xr:uid="{00000000-0005-0000-0000-0000A4000000}"/>
    <cellStyle name="_London" xfId="167" xr:uid="{00000000-0005-0000-0000-0000A5000000}"/>
    <cellStyle name="_London 2" xfId="168" xr:uid="{00000000-0005-0000-0000-0000A6000000}"/>
    <cellStyle name="_London_Composite Page" xfId="169" xr:uid="{00000000-0005-0000-0000-0000A7000000}"/>
    <cellStyle name="_London_Config" xfId="170" xr:uid="{00000000-0005-0000-0000-0000A8000000}"/>
    <cellStyle name="_LynxTrader" xfId="171" xr:uid="{00000000-0005-0000-0000-0000A9000000}"/>
    <cellStyle name="_LynxTrader_LynxTrader" xfId="172" xr:uid="{00000000-0005-0000-0000-0000AA000000}"/>
    <cellStyle name="_LynxTrader_Trade" xfId="173" xr:uid="{00000000-0005-0000-0000-0000AB000000}"/>
    <cellStyle name="_LynxTrader_Vector Editor" xfId="174" xr:uid="{00000000-0005-0000-0000-0000AC000000}"/>
    <cellStyle name="_Main" xfId="175" xr:uid="{00000000-0005-0000-0000-0000AD000000}"/>
    <cellStyle name="_manual" xfId="176" xr:uid="{00000000-0005-0000-0000-0000AE000000}"/>
    <cellStyle name="_manual_ADN" xfId="177" xr:uid="{00000000-0005-0000-0000-0000AF000000}"/>
    <cellStyle name="_manual_ImportBonds" xfId="178" xr:uid="{00000000-0005-0000-0000-0000B0000000}"/>
    <cellStyle name="_manual_Sheet1" xfId="179" xr:uid="{00000000-0005-0000-0000-0000B1000000}"/>
    <cellStyle name="_manual_Today" xfId="180" xr:uid="{00000000-0005-0000-0000-0000B2000000}"/>
    <cellStyle name="_manual_Yesterday" xfId="181" xr:uid="{00000000-0005-0000-0000-0000B3000000}"/>
    <cellStyle name="_New York" xfId="182" xr:uid="{00000000-0005-0000-0000-0000B4000000}"/>
    <cellStyle name="_NoteFuts" xfId="183" xr:uid="{00000000-0005-0000-0000-0000B5000000}"/>
    <cellStyle name="_Past 10 yr" xfId="184" xr:uid="{00000000-0005-0000-0000-0000B6000000}"/>
    <cellStyle name="_Past 10 yr 2" xfId="185" xr:uid="{00000000-0005-0000-0000-0000B7000000}"/>
    <cellStyle name="_Past 10 yr_Composite Page" xfId="186" xr:uid="{00000000-0005-0000-0000-0000B8000000}"/>
    <cellStyle name="_Past 10 yr_Config" xfId="187" xr:uid="{00000000-0005-0000-0000-0000B9000000}"/>
    <cellStyle name="_PnL" xfId="188" xr:uid="{00000000-0005-0000-0000-0000BA000000}"/>
    <cellStyle name="_PnL 2" xfId="189" xr:uid="{00000000-0005-0000-0000-0000BB000000}"/>
    <cellStyle name="_PnL Predictor" xfId="190" xr:uid="{00000000-0005-0000-0000-0000BC000000}"/>
    <cellStyle name="_PnL Predictor 2" xfId="191" xr:uid="{00000000-0005-0000-0000-0000BD000000}"/>
    <cellStyle name="_PnL Predictor_Composite Page" xfId="192" xr:uid="{00000000-0005-0000-0000-0000BE000000}"/>
    <cellStyle name="_PnL Predictor_Config" xfId="193" xr:uid="{00000000-0005-0000-0000-0000BF000000}"/>
    <cellStyle name="_PnL_Composite Page" xfId="194" xr:uid="{00000000-0005-0000-0000-0000C0000000}"/>
    <cellStyle name="_PnL_Config" xfId="195" xr:uid="{00000000-0005-0000-0000-0000C1000000}"/>
    <cellStyle name="_Positions" xfId="196" xr:uid="{00000000-0005-0000-0000-0000C2000000}"/>
    <cellStyle name="_Repo Blotter" xfId="197" xr:uid="{00000000-0005-0000-0000-0000C3000000}"/>
    <cellStyle name="_Repo Blotter_ADN" xfId="198" xr:uid="{00000000-0005-0000-0000-0000C4000000}"/>
    <cellStyle name="_Repo Blotter_ImportBonds" xfId="199" xr:uid="{00000000-0005-0000-0000-0000C5000000}"/>
    <cellStyle name="_Repo Blotter_Sheet1" xfId="200" xr:uid="{00000000-0005-0000-0000-0000C6000000}"/>
    <cellStyle name="_Repo Blotter_Today" xfId="201" xr:uid="{00000000-0005-0000-0000-0000C7000000}"/>
    <cellStyle name="_Repo Blotter_Yesterday" xfId="202" xr:uid="{00000000-0005-0000-0000-0000C8000000}"/>
    <cellStyle name="_Setup" xfId="203" xr:uid="{00000000-0005-0000-0000-0000C9000000}"/>
    <cellStyle name="_Setup_ADN" xfId="204" xr:uid="{00000000-0005-0000-0000-0000CA000000}"/>
    <cellStyle name="_Setup_ImportBonds" xfId="205" xr:uid="{00000000-0005-0000-0000-0000CB000000}"/>
    <cellStyle name="_Setup_Sheet1" xfId="206" xr:uid="{00000000-0005-0000-0000-0000CC000000}"/>
    <cellStyle name="_Setup_Today" xfId="207" xr:uid="{00000000-0005-0000-0000-0000CD000000}"/>
    <cellStyle name="_Setup_Yesterday" xfId="208" xr:uid="{00000000-0005-0000-0000-0000CE000000}"/>
    <cellStyle name="_Sheet1" xfId="209" xr:uid="{00000000-0005-0000-0000-0000CF000000}"/>
    <cellStyle name="_Strip_ZCurve" xfId="210" xr:uid="{00000000-0005-0000-0000-0000D0000000}"/>
    <cellStyle name="_Strip_ZCurve 2" xfId="211" xr:uid="{00000000-0005-0000-0000-0000D1000000}"/>
    <cellStyle name="_Strip_ZCurve_121Fut_View" xfId="212" xr:uid="{00000000-0005-0000-0000-0000D2000000}"/>
    <cellStyle name="_Strip_ZCurve_121Fut_View 2" xfId="213" xr:uid="{00000000-0005-0000-0000-0000D3000000}"/>
    <cellStyle name="_Strip_ZCurve_Apollo" xfId="214" xr:uid="{00000000-0005-0000-0000-0000D4000000}"/>
    <cellStyle name="_Strip_ZCurve_AssetSwap" xfId="215" xr:uid="{00000000-0005-0000-0000-0000D5000000}"/>
    <cellStyle name="_Strip_ZCurve_Closes" xfId="216" xr:uid="{00000000-0005-0000-0000-0000D6000000}"/>
    <cellStyle name="_Strip_ZCurve_Composite Page" xfId="217" xr:uid="{00000000-0005-0000-0000-0000D7000000}"/>
    <cellStyle name="_Strip_ZCurve_Config" xfId="218" xr:uid="{00000000-0005-0000-0000-0000D8000000}"/>
    <cellStyle name="_Strip_ZCurve_Config_Composite Page" xfId="219" xr:uid="{00000000-0005-0000-0000-0000D9000000}"/>
    <cellStyle name="_Strip_ZCurve_Convexity" xfId="220" xr:uid="{00000000-0005-0000-0000-0000DA000000}"/>
    <cellStyle name="_Strip_ZCurve_Core" xfId="221" xr:uid="{00000000-0005-0000-0000-0000DB000000}"/>
    <cellStyle name="_Strip_ZCurve_Core 2" xfId="222" xr:uid="{00000000-0005-0000-0000-0000DC000000}"/>
    <cellStyle name="_Strip_ZCurve_Core_Composite Page" xfId="223" xr:uid="{00000000-0005-0000-0000-0000DD000000}"/>
    <cellStyle name="_Strip_ZCurve_Core_Config" xfId="224" xr:uid="{00000000-0005-0000-0000-0000DE000000}"/>
    <cellStyle name="_Strip_ZCurve_cp_Closes" xfId="225" xr:uid="{00000000-0005-0000-0000-0000DF000000}"/>
    <cellStyle name="_Strip_ZCurve_DISPLAY" xfId="226" xr:uid="{00000000-0005-0000-0000-0000E0000000}"/>
    <cellStyle name="_Strip_ZCurve_EOD_Closes" xfId="227" xr:uid="{00000000-0005-0000-0000-0000E1000000}"/>
    <cellStyle name="_Strip_ZCurve_EOD_Closes_1" xfId="228" xr:uid="{00000000-0005-0000-0000-0000E2000000}"/>
    <cellStyle name="_Strip_ZCurve_EOD_Curve" xfId="229" xr:uid="{00000000-0005-0000-0000-0000E3000000}"/>
    <cellStyle name="_Strip_ZCurve_EOD_Curve 2" xfId="230" xr:uid="{00000000-0005-0000-0000-0000E4000000}"/>
    <cellStyle name="_Strip_ZCurve_EOD_Curve 3" xfId="231" xr:uid="{00000000-0005-0000-0000-0000E5000000}"/>
    <cellStyle name="_Strip_ZCurve_EOD_Curve_Composite Page" xfId="232" xr:uid="{00000000-0005-0000-0000-0000E6000000}"/>
    <cellStyle name="_Strip_ZCurve_EOD_Curve_Core" xfId="233" xr:uid="{00000000-0005-0000-0000-0000E7000000}"/>
    <cellStyle name="_Strip_ZCurve_EOD_Curve_Core 2" xfId="234" xr:uid="{00000000-0005-0000-0000-0000E8000000}"/>
    <cellStyle name="_Strip_ZCurve_EOD_Curve_Futures" xfId="235" xr:uid="{00000000-0005-0000-0000-0000E9000000}"/>
    <cellStyle name="_Strip_ZCurve_EOD_Curve_Swaps" xfId="236" xr:uid="{00000000-0005-0000-0000-0000EA000000}"/>
    <cellStyle name="_Strip_ZCurve_Futures" xfId="237" xr:uid="{00000000-0005-0000-0000-0000EB000000}"/>
    <cellStyle name="_Strip_ZCurve_Futures 2" xfId="238" xr:uid="{00000000-0005-0000-0000-0000EC000000}"/>
    <cellStyle name="_Strip_ZCurve_Futures_Composite Page" xfId="239" xr:uid="{00000000-0005-0000-0000-0000ED000000}"/>
    <cellStyle name="_Strip_ZCurve_Futures_Config" xfId="240" xr:uid="{00000000-0005-0000-0000-0000EE000000}"/>
    <cellStyle name="_Strip_ZCurve_Gamma" xfId="241" xr:uid="{00000000-0005-0000-0000-0000EF000000}"/>
    <cellStyle name="_Strip_ZCurve_Gamma_1" xfId="242" xr:uid="{00000000-0005-0000-0000-0000F0000000}"/>
    <cellStyle name="_Strip_ZCurve_Gamma_Composite Page" xfId="243" xr:uid="{00000000-0005-0000-0000-0000F1000000}"/>
    <cellStyle name="_Strip_ZCurve_Gamma_Core" xfId="244" xr:uid="{00000000-0005-0000-0000-0000F2000000}"/>
    <cellStyle name="_Strip_ZCurve_Gamma_Futures" xfId="245" xr:uid="{00000000-0005-0000-0000-0000F3000000}"/>
    <cellStyle name="_Strip_ZCurve_Gamma_Futures_1" xfId="246" xr:uid="{00000000-0005-0000-0000-0000F4000000}"/>
    <cellStyle name="_Strip_ZCurve_Gamma_Swaps" xfId="247" xr:uid="{00000000-0005-0000-0000-0000F5000000}"/>
    <cellStyle name="_Strip_ZCurve_Gamma_Treasuries" xfId="248" xr:uid="{00000000-0005-0000-0000-0000F6000000}"/>
    <cellStyle name="_Strip_ZCurve_holidays" xfId="249" xr:uid="{00000000-0005-0000-0000-0000F7000000}"/>
    <cellStyle name="_Strip_ZCurve_Real_Time" xfId="250" xr:uid="{00000000-0005-0000-0000-0000F8000000}"/>
    <cellStyle name="_Strip_ZCurve_Real-Time" xfId="251" xr:uid="{00000000-0005-0000-0000-0000F9000000}"/>
    <cellStyle name="_Strip_ZCurve_Real-Time 2" xfId="252" xr:uid="{00000000-0005-0000-0000-0000FA000000}"/>
    <cellStyle name="_Strip_ZCurve_Real-Time_1" xfId="253" xr:uid="{00000000-0005-0000-0000-0000FB000000}"/>
    <cellStyle name="_Strip_ZCurve_Real-Time_Composite Page" xfId="254" xr:uid="{00000000-0005-0000-0000-0000FC000000}"/>
    <cellStyle name="_Strip_ZCurve_Real-Time_Core" xfId="255" xr:uid="{00000000-0005-0000-0000-0000FD000000}"/>
    <cellStyle name="_Strip_ZCurve_Real-Time_Futures" xfId="256" xr:uid="{00000000-0005-0000-0000-0000FE000000}"/>
    <cellStyle name="_Strip_ZCurve_Real-Time_Futures_1" xfId="257" xr:uid="{00000000-0005-0000-0000-0000FF000000}"/>
    <cellStyle name="_Strip_ZCurve_Real-Time_Swaps" xfId="258" xr:uid="{00000000-0005-0000-0000-000000010000}"/>
    <cellStyle name="_Strip_ZCurve_Real-Time_Treasuries" xfId="259" xr:uid="{00000000-0005-0000-0000-000001010000}"/>
    <cellStyle name="_Strip_ZCurve_Sheet1" xfId="260" xr:uid="{00000000-0005-0000-0000-000002010000}"/>
    <cellStyle name="_Strip_ZCurve_Swaps" xfId="261" xr:uid="{00000000-0005-0000-0000-000003010000}"/>
    <cellStyle name="_Strip_ZCurve_Swaps 2" xfId="262" xr:uid="{00000000-0005-0000-0000-000004010000}"/>
    <cellStyle name="_Strip_ZCurve_Swaps_Composite Page" xfId="263" xr:uid="{00000000-0005-0000-0000-000005010000}"/>
    <cellStyle name="_Strip_ZCurve_Swaps_Config" xfId="264" xr:uid="{00000000-0005-0000-0000-000006010000}"/>
    <cellStyle name="_Strip_ZCurve_T-Notes" xfId="265" xr:uid="{00000000-0005-0000-0000-000007010000}"/>
    <cellStyle name="_Strip_ZCurve_T-Notes 2" xfId="266" xr:uid="{00000000-0005-0000-0000-000008010000}"/>
    <cellStyle name="_Strip_ZCurve_T-Notes_Composite Page" xfId="267" xr:uid="{00000000-0005-0000-0000-000009010000}"/>
    <cellStyle name="_Strip_ZCurve_T-Notes_Config" xfId="268" xr:uid="{00000000-0005-0000-0000-00000A010000}"/>
    <cellStyle name="_Strip_ZCurve_ToDo" xfId="269" xr:uid="{00000000-0005-0000-0000-00000B010000}"/>
    <cellStyle name="_Strip_ZCurve_ToDo 2" xfId="270" xr:uid="{00000000-0005-0000-0000-00000C010000}"/>
    <cellStyle name="_Strip_ZCurve_ToDoList" xfId="271" xr:uid="{00000000-0005-0000-0000-00000D010000}"/>
    <cellStyle name="_Strip_ZCurve_ToDoList 2" xfId="272" xr:uid="{00000000-0005-0000-0000-00000E010000}"/>
    <cellStyle name="_Strip_ZCurve_Treasuries" xfId="273" xr:uid="{00000000-0005-0000-0000-00000F010000}"/>
    <cellStyle name="_Strip_ZCurve_Treasuries 2" xfId="274" xr:uid="{00000000-0005-0000-0000-000010010000}"/>
    <cellStyle name="_Strip_ZCurve_Treasuries_Composite Page" xfId="275" xr:uid="{00000000-0005-0000-0000-000011010000}"/>
    <cellStyle name="_Strip_ZCurve_Treasuries_Config" xfId="276" xr:uid="{00000000-0005-0000-0000-000012010000}"/>
    <cellStyle name="_Summary" xfId="277" xr:uid="{00000000-0005-0000-0000-000013010000}"/>
    <cellStyle name="_Summary 2" xfId="278" xr:uid="{00000000-0005-0000-0000-000014010000}"/>
    <cellStyle name="_Summary_Composite Page" xfId="279" xr:uid="{00000000-0005-0000-0000-000015010000}"/>
    <cellStyle name="_Summary_Config" xfId="280" xr:uid="{00000000-0005-0000-0000-000016010000}"/>
    <cellStyle name="_Today" xfId="281" xr:uid="{00000000-0005-0000-0000-000017010000}"/>
    <cellStyle name="_Trade Blotter" xfId="282" xr:uid="{00000000-0005-0000-0000-000018010000}"/>
    <cellStyle name="_Treasuries" xfId="283" xr:uid="{00000000-0005-0000-0000-000019010000}"/>
    <cellStyle name="_Treasuries 2" xfId="284" xr:uid="{00000000-0005-0000-0000-00001A010000}"/>
    <cellStyle name="_Treasuries_Composite Page" xfId="285" xr:uid="{00000000-0005-0000-0000-00001B010000}"/>
    <cellStyle name="_Treasuries_Config" xfId="286" xr:uid="{00000000-0005-0000-0000-00001C010000}"/>
    <cellStyle name="_Turn" xfId="287" xr:uid="{00000000-0005-0000-0000-00001D010000}"/>
    <cellStyle name="_Turn 2" xfId="288" xr:uid="{00000000-0005-0000-0000-00001E010000}"/>
    <cellStyle name="_Turn_121Fut_View" xfId="289" xr:uid="{00000000-0005-0000-0000-00001F010000}"/>
    <cellStyle name="_Turn_121Fut_View 2" xfId="290" xr:uid="{00000000-0005-0000-0000-000020010000}"/>
    <cellStyle name="_Turn_Apollo" xfId="291" xr:uid="{00000000-0005-0000-0000-000021010000}"/>
    <cellStyle name="_Turn_apollo_curves" xfId="292" xr:uid="{00000000-0005-0000-0000-000022010000}"/>
    <cellStyle name="_Turn_Apollo_Spread" xfId="293" xr:uid="{00000000-0005-0000-0000-000023010000}"/>
    <cellStyle name="_Turn_AssetSwap" xfId="294" xr:uid="{00000000-0005-0000-0000-000024010000}"/>
    <cellStyle name="_Turn_Composite Page" xfId="295" xr:uid="{00000000-0005-0000-0000-000025010000}"/>
    <cellStyle name="_Turn_Config" xfId="296" xr:uid="{00000000-0005-0000-0000-000026010000}"/>
    <cellStyle name="_Turn_Config_Composite Page" xfId="297" xr:uid="{00000000-0005-0000-0000-000027010000}"/>
    <cellStyle name="_Turn_Convexity" xfId="298" xr:uid="{00000000-0005-0000-0000-000028010000}"/>
    <cellStyle name="_Turn_Core" xfId="299" xr:uid="{00000000-0005-0000-0000-000029010000}"/>
    <cellStyle name="_Turn_Core 2" xfId="300" xr:uid="{00000000-0005-0000-0000-00002A010000}"/>
    <cellStyle name="_Turn_Core_Composite Page" xfId="301" xr:uid="{00000000-0005-0000-0000-00002B010000}"/>
    <cellStyle name="_Turn_Core_Config" xfId="302" xr:uid="{00000000-0005-0000-0000-00002C010000}"/>
    <cellStyle name="_Turn_cp_Closes" xfId="303" xr:uid="{00000000-0005-0000-0000-00002D010000}"/>
    <cellStyle name="_Turn_DISPLAY" xfId="304" xr:uid="{00000000-0005-0000-0000-00002E010000}"/>
    <cellStyle name="_Turn_EOD_Closes" xfId="305" xr:uid="{00000000-0005-0000-0000-00002F010000}"/>
    <cellStyle name="_Turn_EOD_Curve" xfId="306" xr:uid="{00000000-0005-0000-0000-000030010000}"/>
    <cellStyle name="_Turn_EOD_Curve 2" xfId="307" xr:uid="{00000000-0005-0000-0000-000031010000}"/>
    <cellStyle name="_Turn_EOD_Curve 3" xfId="308" xr:uid="{00000000-0005-0000-0000-000032010000}"/>
    <cellStyle name="_Turn_EOD_Curve_Composite Page" xfId="309" xr:uid="{00000000-0005-0000-0000-000033010000}"/>
    <cellStyle name="_Turn_EOD_Curve_Core" xfId="310" xr:uid="{00000000-0005-0000-0000-000034010000}"/>
    <cellStyle name="_Turn_EOD_Curve_Core 2" xfId="311" xr:uid="{00000000-0005-0000-0000-000035010000}"/>
    <cellStyle name="_Turn_EOD_Curve_Futures" xfId="312" xr:uid="{00000000-0005-0000-0000-000036010000}"/>
    <cellStyle name="_Turn_EOD_Curve_Swaps" xfId="313" xr:uid="{00000000-0005-0000-0000-000037010000}"/>
    <cellStyle name="_Turn_Futures" xfId="314" xr:uid="{00000000-0005-0000-0000-000038010000}"/>
    <cellStyle name="_Turn_Futures 2" xfId="315" xr:uid="{00000000-0005-0000-0000-000039010000}"/>
    <cellStyle name="_Turn_Futures_Composite Page" xfId="316" xr:uid="{00000000-0005-0000-0000-00003A010000}"/>
    <cellStyle name="_Turn_Futures_Config" xfId="317" xr:uid="{00000000-0005-0000-0000-00003B010000}"/>
    <cellStyle name="_Turn_Gamma" xfId="318" xr:uid="{00000000-0005-0000-0000-00003C010000}"/>
    <cellStyle name="_Turn_Gamma_1" xfId="319" xr:uid="{00000000-0005-0000-0000-00003D010000}"/>
    <cellStyle name="_Turn_Gamma_Composite Page" xfId="320" xr:uid="{00000000-0005-0000-0000-00003E010000}"/>
    <cellStyle name="_Turn_Gamma_Core" xfId="321" xr:uid="{00000000-0005-0000-0000-00003F010000}"/>
    <cellStyle name="_Turn_Gamma_Futures" xfId="322" xr:uid="{00000000-0005-0000-0000-000040010000}"/>
    <cellStyle name="_Turn_Gamma_Futures_1" xfId="323" xr:uid="{00000000-0005-0000-0000-000041010000}"/>
    <cellStyle name="_Turn_Gamma_Swaps" xfId="324" xr:uid="{00000000-0005-0000-0000-000042010000}"/>
    <cellStyle name="_Turn_Gamma_Treasuries" xfId="325" xr:uid="{00000000-0005-0000-0000-000043010000}"/>
    <cellStyle name="_Turn_holidays" xfId="326" xr:uid="{00000000-0005-0000-0000-000044010000}"/>
    <cellStyle name="_Turn_Real_Time" xfId="327" xr:uid="{00000000-0005-0000-0000-000045010000}"/>
    <cellStyle name="_Turn_Real-Time" xfId="328" xr:uid="{00000000-0005-0000-0000-000046010000}"/>
    <cellStyle name="_Turn_Real-Time 2" xfId="329" xr:uid="{00000000-0005-0000-0000-000047010000}"/>
    <cellStyle name="_Turn_Real-Time_1" xfId="330" xr:uid="{00000000-0005-0000-0000-000048010000}"/>
    <cellStyle name="_Turn_Real-Time_Composite Page" xfId="331" xr:uid="{00000000-0005-0000-0000-000049010000}"/>
    <cellStyle name="_Turn_Real-Time_Core" xfId="332" xr:uid="{00000000-0005-0000-0000-00004A010000}"/>
    <cellStyle name="_Turn_Real-Time_Futures" xfId="333" xr:uid="{00000000-0005-0000-0000-00004B010000}"/>
    <cellStyle name="_Turn_Real-Time_Futures_1" xfId="334" xr:uid="{00000000-0005-0000-0000-00004C010000}"/>
    <cellStyle name="_Turn_Real-Time_Swaps" xfId="335" xr:uid="{00000000-0005-0000-0000-00004D010000}"/>
    <cellStyle name="_Turn_Real-Time_Treasuries" xfId="336" xr:uid="{00000000-0005-0000-0000-00004E010000}"/>
    <cellStyle name="_Turn_Swaps" xfId="337" xr:uid="{00000000-0005-0000-0000-00004F010000}"/>
    <cellStyle name="_Turn_Swaps 2" xfId="338" xr:uid="{00000000-0005-0000-0000-000050010000}"/>
    <cellStyle name="_Turn_Swaps_Composite Page" xfId="339" xr:uid="{00000000-0005-0000-0000-000051010000}"/>
    <cellStyle name="_Turn_Swaps_Config" xfId="340" xr:uid="{00000000-0005-0000-0000-000052010000}"/>
    <cellStyle name="_Turn_T-Notes" xfId="341" xr:uid="{00000000-0005-0000-0000-000053010000}"/>
    <cellStyle name="_Turn_T-Notes 2" xfId="342" xr:uid="{00000000-0005-0000-0000-000054010000}"/>
    <cellStyle name="_Turn_T-Notes_Composite Page" xfId="343" xr:uid="{00000000-0005-0000-0000-000055010000}"/>
    <cellStyle name="_Turn_T-Notes_Config" xfId="344" xr:uid="{00000000-0005-0000-0000-000056010000}"/>
    <cellStyle name="_Turn_ToDo" xfId="345" xr:uid="{00000000-0005-0000-0000-000057010000}"/>
    <cellStyle name="_Turn_ToDo 2" xfId="346" xr:uid="{00000000-0005-0000-0000-000058010000}"/>
    <cellStyle name="_Turn_ToDoList" xfId="347" xr:uid="{00000000-0005-0000-0000-000059010000}"/>
    <cellStyle name="_Turn_ToDoList 2" xfId="348" xr:uid="{00000000-0005-0000-0000-00005A010000}"/>
    <cellStyle name="_Turn_Treasuries" xfId="349" xr:uid="{00000000-0005-0000-0000-00005B010000}"/>
    <cellStyle name="_Turn_Treasuries 2" xfId="350" xr:uid="{00000000-0005-0000-0000-00005C010000}"/>
    <cellStyle name="_Turn_Treasuries_Composite Page" xfId="351" xr:uid="{00000000-0005-0000-0000-00005D010000}"/>
    <cellStyle name="_Turn_Treasuries_Config" xfId="352" xr:uid="{00000000-0005-0000-0000-00005E010000}"/>
    <cellStyle name="_ValuationViewer" xfId="353" xr:uid="{00000000-0005-0000-0000-00005F010000}"/>
    <cellStyle name="_ValuationViewer_ValuationViewer" xfId="354" xr:uid="{00000000-0005-0000-0000-000060010000}"/>
    <cellStyle name="_Yesterday" xfId="355" xr:uid="{00000000-0005-0000-0000-000061010000}"/>
    <cellStyle name="=C:\WINNT35\SYSTEM32\COMMAND.COM" xfId="356" xr:uid="{00000000-0005-0000-0000-000062010000}"/>
    <cellStyle name="0.0000%" xfId="357" xr:uid="{00000000-0005-0000-0000-000063010000}"/>
    <cellStyle name="20% - Accent1 2" xfId="358" xr:uid="{00000000-0005-0000-0000-000064010000}"/>
    <cellStyle name="20% - Accent1 2 2" xfId="359" xr:uid="{00000000-0005-0000-0000-000065010000}"/>
    <cellStyle name="20% - Accent1 3" xfId="360" xr:uid="{00000000-0005-0000-0000-000066010000}"/>
    <cellStyle name="20% - Accent1 4" xfId="361" xr:uid="{00000000-0005-0000-0000-000067010000}"/>
    <cellStyle name="20% - Accent1 5" xfId="362" xr:uid="{00000000-0005-0000-0000-000068010000}"/>
    <cellStyle name="20% - Accent1 6" xfId="363" xr:uid="{00000000-0005-0000-0000-000069010000}"/>
    <cellStyle name="20% - Accent2 2" xfId="364" xr:uid="{00000000-0005-0000-0000-00006A010000}"/>
    <cellStyle name="20% - Accent2 2 2" xfId="365" xr:uid="{00000000-0005-0000-0000-00006B010000}"/>
    <cellStyle name="20% - Accent2 3" xfId="366" xr:uid="{00000000-0005-0000-0000-00006C010000}"/>
    <cellStyle name="20% - Accent2 4" xfId="367" xr:uid="{00000000-0005-0000-0000-00006D010000}"/>
    <cellStyle name="20% - Accent2 5" xfId="368" xr:uid="{00000000-0005-0000-0000-00006E010000}"/>
    <cellStyle name="20% - Accent2 6" xfId="369" xr:uid="{00000000-0005-0000-0000-00006F010000}"/>
    <cellStyle name="20% - Accent3 2" xfId="370" xr:uid="{00000000-0005-0000-0000-000070010000}"/>
    <cellStyle name="20% - Accent3 2 2" xfId="371" xr:uid="{00000000-0005-0000-0000-000071010000}"/>
    <cellStyle name="20% - Accent3 3" xfId="372" xr:uid="{00000000-0005-0000-0000-000072010000}"/>
    <cellStyle name="20% - Accent3 4" xfId="373" xr:uid="{00000000-0005-0000-0000-000073010000}"/>
    <cellStyle name="20% - Accent3 5" xfId="374" xr:uid="{00000000-0005-0000-0000-000074010000}"/>
    <cellStyle name="20% - Accent3 6" xfId="375" xr:uid="{00000000-0005-0000-0000-000075010000}"/>
    <cellStyle name="20% - Accent4 2" xfId="376" xr:uid="{00000000-0005-0000-0000-000076010000}"/>
    <cellStyle name="20% - Accent4 2 2" xfId="377" xr:uid="{00000000-0005-0000-0000-000077010000}"/>
    <cellStyle name="20% - Accent4 3" xfId="378" xr:uid="{00000000-0005-0000-0000-000078010000}"/>
    <cellStyle name="20% - Accent4 4" xfId="379" xr:uid="{00000000-0005-0000-0000-000079010000}"/>
    <cellStyle name="20% - Accent4 5" xfId="380" xr:uid="{00000000-0005-0000-0000-00007A010000}"/>
    <cellStyle name="20% - Accent4 6" xfId="381" xr:uid="{00000000-0005-0000-0000-00007B010000}"/>
    <cellStyle name="20% - Accent5 2" xfId="382" xr:uid="{00000000-0005-0000-0000-00007C010000}"/>
    <cellStyle name="20% - Accent5 2 2" xfId="383" xr:uid="{00000000-0005-0000-0000-00007D010000}"/>
    <cellStyle name="20% - Accent5 3" xfId="384" xr:uid="{00000000-0005-0000-0000-00007E010000}"/>
    <cellStyle name="20% - Accent5 4" xfId="385" xr:uid="{00000000-0005-0000-0000-00007F010000}"/>
    <cellStyle name="20% - Accent6 2" xfId="386" xr:uid="{00000000-0005-0000-0000-000080010000}"/>
    <cellStyle name="20% - Accent6 2 2" xfId="387" xr:uid="{00000000-0005-0000-0000-000081010000}"/>
    <cellStyle name="20% - Accent6 3" xfId="388" xr:uid="{00000000-0005-0000-0000-000082010000}"/>
    <cellStyle name="20% - Accent6 4" xfId="389" xr:uid="{00000000-0005-0000-0000-000083010000}"/>
    <cellStyle name="40% - Accent1 2" xfId="390" xr:uid="{00000000-0005-0000-0000-000084010000}"/>
    <cellStyle name="40% - Accent1 2 2" xfId="391" xr:uid="{00000000-0005-0000-0000-000085010000}"/>
    <cellStyle name="40% - Accent1 3" xfId="392" xr:uid="{00000000-0005-0000-0000-000086010000}"/>
    <cellStyle name="40% - Accent1 4" xfId="393" xr:uid="{00000000-0005-0000-0000-000087010000}"/>
    <cellStyle name="40% - Accent1 5" xfId="394" xr:uid="{00000000-0005-0000-0000-000088010000}"/>
    <cellStyle name="40% - Accent1 6" xfId="395" xr:uid="{00000000-0005-0000-0000-000089010000}"/>
    <cellStyle name="40% - Accent2 2" xfId="396" xr:uid="{00000000-0005-0000-0000-00008A010000}"/>
    <cellStyle name="40% - Accent2 2 2" xfId="397" xr:uid="{00000000-0005-0000-0000-00008B010000}"/>
    <cellStyle name="40% - Accent2 3" xfId="398" xr:uid="{00000000-0005-0000-0000-00008C010000}"/>
    <cellStyle name="40% - Accent2 4" xfId="399" xr:uid="{00000000-0005-0000-0000-00008D010000}"/>
    <cellStyle name="40% - Accent3 2" xfId="400" xr:uid="{00000000-0005-0000-0000-00008E010000}"/>
    <cellStyle name="40% - Accent3 2 2" xfId="401" xr:uid="{00000000-0005-0000-0000-00008F010000}"/>
    <cellStyle name="40% - Accent3 3" xfId="402" xr:uid="{00000000-0005-0000-0000-000090010000}"/>
    <cellStyle name="40% - Accent3 4" xfId="403" xr:uid="{00000000-0005-0000-0000-000091010000}"/>
    <cellStyle name="40% - Accent3 5" xfId="404" xr:uid="{00000000-0005-0000-0000-000092010000}"/>
    <cellStyle name="40% - Accent3 6" xfId="405" xr:uid="{00000000-0005-0000-0000-000093010000}"/>
    <cellStyle name="40% - Accent4 2" xfId="406" xr:uid="{00000000-0005-0000-0000-000094010000}"/>
    <cellStyle name="40% - Accent4 2 2" xfId="407" xr:uid="{00000000-0005-0000-0000-000095010000}"/>
    <cellStyle name="40% - Accent4 3" xfId="408" xr:uid="{00000000-0005-0000-0000-000096010000}"/>
    <cellStyle name="40% - Accent4 4" xfId="409" xr:uid="{00000000-0005-0000-0000-000097010000}"/>
    <cellStyle name="40% - Accent4 5" xfId="410" xr:uid="{00000000-0005-0000-0000-000098010000}"/>
    <cellStyle name="40% - Accent4 6" xfId="411" xr:uid="{00000000-0005-0000-0000-000099010000}"/>
    <cellStyle name="40% - Accent5 2" xfId="412" xr:uid="{00000000-0005-0000-0000-00009A010000}"/>
    <cellStyle name="40% - Accent5 2 2" xfId="413" xr:uid="{00000000-0005-0000-0000-00009B010000}"/>
    <cellStyle name="40% - Accent5 3" xfId="414" xr:uid="{00000000-0005-0000-0000-00009C010000}"/>
    <cellStyle name="40% - Accent5 4" xfId="415" xr:uid="{00000000-0005-0000-0000-00009D010000}"/>
    <cellStyle name="40% - Accent6 2" xfId="416" xr:uid="{00000000-0005-0000-0000-00009E010000}"/>
    <cellStyle name="40% - Accent6 2 2" xfId="417" xr:uid="{00000000-0005-0000-0000-00009F010000}"/>
    <cellStyle name="40% - Accent6 3" xfId="418" xr:uid="{00000000-0005-0000-0000-0000A0010000}"/>
    <cellStyle name="40% - Accent6 4" xfId="419" xr:uid="{00000000-0005-0000-0000-0000A1010000}"/>
    <cellStyle name="40% - Accent6 5" xfId="420" xr:uid="{00000000-0005-0000-0000-0000A2010000}"/>
    <cellStyle name="40% - Accent6 6" xfId="421" xr:uid="{00000000-0005-0000-0000-0000A3010000}"/>
    <cellStyle name="60% - Accent1 2" xfId="422" xr:uid="{00000000-0005-0000-0000-0000A4010000}"/>
    <cellStyle name="60% - Accent1 2 2" xfId="423" xr:uid="{00000000-0005-0000-0000-0000A5010000}"/>
    <cellStyle name="60% - Accent1 3" xfId="424" xr:uid="{00000000-0005-0000-0000-0000A6010000}"/>
    <cellStyle name="60% - Accent1 4" xfId="425" xr:uid="{00000000-0005-0000-0000-0000A7010000}"/>
    <cellStyle name="60% - Accent1 5" xfId="426" xr:uid="{00000000-0005-0000-0000-0000A8010000}"/>
    <cellStyle name="60% - Accent1 6" xfId="427" xr:uid="{00000000-0005-0000-0000-0000A9010000}"/>
    <cellStyle name="60% - Accent2 2" xfId="428" xr:uid="{00000000-0005-0000-0000-0000AA010000}"/>
    <cellStyle name="60% - Accent2 2 2" xfId="429" xr:uid="{00000000-0005-0000-0000-0000AB010000}"/>
    <cellStyle name="60% - Accent2 3" xfId="430" xr:uid="{00000000-0005-0000-0000-0000AC010000}"/>
    <cellStyle name="60% - Accent2 4" xfId="431" xr:uid="{00000000-0005-0000-0000-0000AD010000}"/>
    <cellStyle name="60% - Accent3 2" xfId="432" xr:uid="{00000000-0005-0000-0000-0000AE010000}"/>
    <cellStyle name="60% - Accent3 2 2" xfId="433" xr:uid="{00000000-0005-0000-0000-0000AF010000}"/>
    <cellStyle name="60% - Accent3 3" xfId="434" xr:uid="{00000000-0005-0000-0000-0000B0010000}"/>
    <cellStyle name="60% - Accent3 4" xfId="435" xr:uid="{00000000-0005-0000-0000-0000B1010000}"/>
    <cellStyle name="60% - Accent3 5" xfId="436" xr:uid="{00000000-0005-0000-0000-0000B2010000}"/>
    <cellStyle name="60% - Accent3 6" xfId="437" xr:uid="{00000000-0005-0000-0000-0000B3010000}"/>
    <cellStyle name="60% - Accent4 2" xfId="438" xr:uid="{00000000-0005-0000-0000-0000B4010000}"/>
    <cellStyle name="60% - Accent4 2 2" xfId="439" xr:uid="{00000000-0005-0000-0000-0000B5010000}"/>
    <cellStyle name="60% - Accent4 3" xfId="440" xr:uid="{00000000-0005-0000-0000-0000B6010000}"/>
    <cellStyle name="60% - Accent4 4" xfId="441" xr:uid="{00000000-0005-0000-0000-0000B7010000}"/>
    <cellStyle name="60% - Accent4 5" xfId="442" xr:uid="{00000000-0005-0000-0000-0000B8010000}"/>
    <cellStyle name="60% - Accent4 6" xfId="443" xr:uid="{00000000-0005-0000-0000-0000B9010000}"/>
    <cellStyle name="60% - Accent5 2" xfId="444" xr:uid="{00000000-0005-0000-0000-0000BA010000}"/>
    <cellStyle name="60% - Accent5 2 2" xfId="445" xr:uid="{00000000-0005-0000-0000-0000BB010000}"/>
    <cellStyle name="60% - Accent5 3" xfId="446" xr:uid="{00000000-0005-0000-0000-0000BC010000}"/>
    <cellStyle name="60% - Accent5 4" xfId="447" xr:uid="{00000000-0005-0000-0000-0000BD010000}"/>
    <cellStyle name="60% - Accent6 2" xfId="448" xr:uid="{00000000-0005-0000-0000-0000BE010000}"/>
    <cellStyle name="60% - Accent6 2 2" xfId="449" xr:uid="{00000000-0005-0000-0000-0000BF010000}"/>
    <cellStyle name="60% - Accent6 3" xfId="450" xr:uid="{00000000-0005-0000-0000-0000C0010000}"/>
    <cellStyle name="60% - Accent6 4" xfId="451" xr:uid="{00000000-0005-0000-0000-0000C1010000}"/>
    <cellStyle name="60% - Accent6 5" xfId="452" xr:uid="{00000000-0005-0000-0000-0000C2010000}"/>
    <cellStyle name="60% - Accent6 6" xfId="453" xr:uid="{00000000-0005-0000-0000-0000C3010000}"/>
    <cellStyle name="Accent1 2" xfId="454" xr:uid="{00000000-0005-0000-0000-0000C4010000}"/>
    <cellStyle name="Accent1 2 2" xfId="455" xr:uid="{00000000-0005-0000-0000-0000C5010000}"/>
    <cellStyle name="Accent1 3" xfId="456" xr:uid="{00000000-0005-0000-0000-0000C6010000}"/>
    <cellStyle name="Accent1 4" xfId="457" xr:uid="{00000000-0005-0000-0000-0000C7010000}"/>
    <cellStyle name="Accent1 5" xfId="458" xr:uid="{00000000-0005-0000-0000-0000C8010000}"/>
    <cellStyle name="Accent1 6" xfId="459" xr:uid="{00000000-0005-0000-0000-0000C9010000}"/>
    <cellStyle name="Accent2 2" xfId="460" xr:uid="{00000000-0005-0000-0000-0000CA010000}"/>
    <cellStyle name="Accent2 2 2" xfId="461" xr:uid="{00000000-0005-0000-0000-0000CB010000}"/>
    <cellStyle name="Accent2 3" xfId="462" xr:uid="{00000000-0005-0000-0000-0000CC010000}"/>
    <cellStyle name="Accent2 4" xfId="463" xr:uid="{00000000-0005-0000-0000-0000CD010000}"/>
    <cellStyle name="Accent3 2" xfId="464" xr:uid="{00000000-0005-0000-0000-0000CE010000}"/>
    <cellStyle name="Accent3 2 2" xfId="465" xr:uid="{00000000-0005-0000-0000-0000CF010000}"/>
    <cellStyle name="Accent3 3" xfId="466" xr:uid="{00000000-0005-0000-0000-0000D0010000}"/>
    <cellStyle name="Accent3 4" xfId="467" xr:uid="{00000000-0005-0000-0000-0000D1010000}"/>
    <cellStyle name="Accent4 2" xfId="468" xr:uid="{00000000-0005-0000-0000-0000D2010000}"/>
    <cellStyle name="Accent4 2 2" xfId="469" xr:uid="{00000000-0005-0000-0000-0000D3010000}"/>
    <cellStyle name="Accent4 3" xfId="470" xr:uid="{00000000-0005-0000-0000-0000D4010000}"/>
    <cellStyle name="Accent4 4" xfId="471" xr:uid="{00000000-0005-0000-0000-0000D5010000}"/>
    <cellStyle name="Accent4 5" xfId="472" xr:uid="{00000000-0005-0000-0000-0000D6010000}"/>
    <cellStyle name="Accent4 6" xfId="473" xr:uid="{00000000-0005-0000-0000-0000D7010000}"/>
    <cellStyle name="Accent5 2" xfId="474" xr:uid="{00000000-0005-0000-0000-0000D8010000}"/>
    <cellStyle name="Accent5 2 2" xfId="475" xr:uid="{00000000-0005-0000-0000-0000D9010000}"/>
    <cellStyle name="Accent5 3" xfId="476" xr:uid="{00000000-0005-0000-0000-0000DA010000}"/>
    <cellStyle name="Accent5 4" xfId="477" xr:uid="{00000000-0005-0000-0000-0000DB010000}"/>
    <cellStyle name="Accent6 2" xfId="478" xr:uid="{00000000-0005-0000-0000-0000DC010000}"/>
    <cellStyle name="Accent6 2 2" xfId="479" xr:uid="{00000000-0005-0000-0000-0000DD010000}"/>
    <cellStyle name="Accent6 3" xfId="480" xr:uid="{00000000-0005-0000-0000-0000DE010000}"/>
    <cellStyle name="Accent6 4" xfId="481" xr:uid="{00000000-0005-0000-0000-0000DF010000}"/>
    <cellStyle name="AppSvrCode" xfId="482" xr:uid="{00000000-0005-0000-0000-0000E0010000}"/>
    <cellStyle name="Array" xfId="483" xr:uid="{00000000-0005-0000-0000-0000E1010000}"/>
    <cellStyle name="Background" xfId="484" xr:uid="{00000000-0005-0000-0000-0000E2010000}"/>
    <cellStyle name="BackGround 2" xfId="485" xr:uid="{00000000-0005-0000-0000-0000E3010000}"/>
    <cellStyle name="Background 3" xfId="486" xr:uid="{00000000-0005-0000-0000-0000E4010000}"/>
    <cellStyle name="Background 4" xfId="487" xr:uid="{00000000-0005-0000-0000-0000E5010000}"/>
    <cellStyle name="Background 5" xfId="488" xr:uid="{00000000-0005-0000-0000-0000E6010000}"/>
    <cellStyle name="Background 6" xfId="489" xr:uid="{00000000-0005-0000-0000-0000E7010000}"/>
    <cellStyle name="Background 7" xfId="490" xr:uid="{00000000-0005-0000-0000-0000E8010000}"/>
    <cellStyle name="Background_apollo_curves" xfId="491" xr:uid="{00000000-0005-0000-0000-0000E9010000}"/>
    <cellStyle name="Bad 2" xfId="492" xr:uid="{00000000-0005-0000-0000-0000EA010000}"/>
    <cellStyle name="Bad 2 2" xfId="493" xr:uid="{00000000-0005-0000-0000-0000EB010000}"/>
    <cellStyle name="Bad 3" xfId="494" xr:uid="{00000000-0005-0000-0000-0000EC010000}"/>
    <cellStyle name="Bad 4" xfId="495" xr:uid="{00000000-0005-0000-0000-0000ED010000}"/>
    <cellStyle name="Bad 5" xfId="496" xr:uid="{00000000-0005-0000-0000-0000EE010000}"/>
    <cellStyle name="Bad 6" xfId="497" xr:uid="{00000000-0005-0000-0000-0000EF010000}"/>
    <cellStyle name="blp_column_header" xfId="498" xr:uid="{00000000-0005-0000-0000-0000F0010000}"/>
    <cellStyle name="Border" xfId="499" xr:uid="{00000000-0005-0000-0000-0000F1010000}"/>
    <cellStyle name="bullet" xfId="500" xr:uid="{00000000-0005-0000-0000-0000F2010000}"/>
    <cellStyle name="calc" xfId="501" xr:uid="{00000000-0005-0000-0000-0000F3010000}"/>
    <cellStyle name="Calculation 2" xfId="502" xr:uid="{00000000-0005-0000-0000-0000F4010000}"/>
    <cellStyle name="Calculation 2 2" xfId="503" xr:uid="{00000000-0005-0000-0000-0000F5010000}"/>
    <cellStyle name="Calculation 2 2 2" xfId="504" xr:uid="{00000000-0005-0000-0000-0000F6010000}"/>
    <cellStyle name="Calculation 2 2 2 2" xfId="505" xr:uid="{00000000-0005-0000-0000-0000F7010000}"/>
    <cellStyle name="Calculation 2 2 2 2 2" xfId="506" xr:uid="{00000000-0005-0000-0000-0000F8010000}"/>
    <cellStyle name="Calculation 2 2 2 2 2 2" xfId="507" xr:uid="{00000000-0005-0000-0000-0000F9010000}"/>
    <cellStyle name="Calculation 2 2 2 2 2 2 2" xfId="508" xr:uid="{00000000-0005-0000-0000-0000FA010000}"/>
    <cellStyle name="Calculation 2 2 2 2 2 2 2 2" xfId="509" xr:uid="{00000000-0005-0000-0000-0000FB010000}"/>
    <cellStyle name="Calculation 2 2 2 2 2 2 2 2 2" xfId="510" xr:uid="{00000000-0005-0000-0000-0000FC010000}"/>
    <cellStyle name="Calculation 2 2 2 2 2 2 2 3" xfId="511" xr:uid="{00000000-0005-0000-0000-0000FD010000}"/>
    <cellStyle name="Calculation 2 2 2 2 2 2 3" xfId="512" xr:uid="{00000000-0005-0000-0000-0000FE010000}"/>
    <cellStyle name="Calculation 2 2 2 2 2 2 3 2" xfId="513" xr:uid="{00000000-0005-0000-0000-0000FF010000}"/>
    <cellStyle name="Calculation 2 2 2 2 2 2 4" xfId="514" xr:uid="{00000000-0005-0000-0000-000000020000}"/>
    <cellStyle name="Calculation 2 2 2 2 2 3" xfId="515" xr:uid="{00000000-0005-0000-0000-000001020000}"/>
    <cellStyle name="Calculation 2 2 2 2 2 3 2" xfId="516" xr:uid="{00000000-0005-0000-0000-000002020000}"/>
    <cellStyle name="Calculation 2 2 2 2 2 3 2 2" xfId="517" xr:uid="{00000000-0005-0000-0000-000003020000}"/>
    <cellStyle name="Calculation 2 2 2 2 2 3 3" xfId="518" xr:uid="{00000000-0005-0000-0000-000004020000}"/>
    <cellStyle name="Calculation 2 2 2 2 2 3 4" xfId="519" xr:uid="{00000000-0005-0000-0000-000005020000}"/>
    <cellStyle name="Calculation 2 2 2 2 2 4" xfId="520" xr:uid="{00000000-0005-0000-0000-000006020000}"/>
    <cellStyle name="Calculation 2 2 2 2 2 4 2" xfId="521" xr:uid="{00000000-0005-0000-0000-000007020000}"/>
    <cellStyle name="Calculation 2 2 2 2 2 4 2 2" xfId="522" xr:uid="{00000000-0005-0000-0000-000008020000}"/>
    <cellStyle name="Calculation 2 2 2 2 2 4 3" xfId="523" xr:uid="{00000000-0005-0000-0000-000009020000}"/>
    <cellStyle name="Calculation 2 2 2 2 2 5" xfId="524" xr:uid="{00000000-0005-0000-0000-00000A020000}"/>
    <cellStyle name="Calculation 2 2 2 2 2 5 2" xfId="525" xr:uid="{00000000-0005-0000-0000-00000B020000}"/>
    <cellStyle name="Calculation 2 2 2 2 2 6" xfId="526" xr:uid="{00000000-0005-0000-0000-00000C020000}"/>
    <cellStyle name="Calculation 2 2 2 2 3" xfId="527" xr:uid="{00000000-0005-0000-0000-00000D020000}"/>
    <cellStyle name="Calculation 2 2 2 2 3 2" xfId="528" xr:uid="{00000000-0005-0000-0000-00000E020000}"/>
    <cellStyle name="Calculation 2 2 2 2 3 2 2" xfId="529" xr:uid="{00000000-0005-0000-0000-00000F020000}"/>
    <cellStyle name="Calculation 2 2 2 2 3 2 2 2" xfId="530" xr:uid="{00000000-0005-0000-0000-000010020000}"/>
    <cellStyle name="Calculation 2 2 2 2 3 2 2 2 2" xfId="531" xr:uid="{00000000-0005-0000-0000-000011020000}"/>
    <cellStyle name="Calculation 2 2 2 2 3 2 2 3" xfId="532" xr:uid="{00000000-0005-0000-0000-000012020000}"/>
    <cellStyle name="Calculation 2 2 2 2 3 2 3" xfId="533" xr:uid="{00000000-0005-0000-0000-000013020000}"/>
    <cellStyle name="Calculation 2 2 2 2 3 2 3 2" xfId="534" xr:uid="{00000000-0005-0000-0000-000014020000}"/>
    <cellStyle name="Calculation 2 2 2 2 3 2 4" xfId="535" xr:uid="{00000000-0005-0000-0000-000015020000}"/>
    <cellStyle name="Calculation 2 2 2 2 3 3" xfId="536" xr:uid="{00000000-0005-0000-0000-000016020000}"/>
    <cellStyle name="Calculation 2 2 2 2 3 3 2" xfId="537" xr:uid="{00000000-0005-0000-0000-000017020000}"/>
    <cellStyle name="Calculation 2 2 2 2 3 3 2 2" xfId="538" xr:uid="{00000000-0005-0000-0000-000018020000}"/>
    <cellStyle name="Calculation 2 2 2 2 3 3 3" xfId="539" xr:uid="{00000000-0005-0000-0000-000019020000}"/>
    <cellStyle name="Calculation 2 2 2 2 3 3 4" xfId="540" xr:uid="{00000000-0005-0000-0000-00001A020000}"/>
    <cellStyle name="Calculation 2 2 2 2 3 4" xfId="541" xr:uid="{00000000-0005-0000-0000-00001B020000}"/>
    <cellStyle name="Calculation 2 2 2 2 3 4 2" xfId="542" xr:uid="{00000000-0005-0000-0000-00001C020000}"/>
    <cellStyle name="Calculation 2 2 2 2 3 4 2 2" xfId="543" xr:uid="{00000000-0005-0000-0000-00001D020000}"/>
    <cellStyle name="Calculation 2 2 2 2 3 4 3" xfId="544" xr:uid="{00000000-0005-0000-0000-00001E020000}"/>
    <cellStyle name="Calculation 2 2 2 2 3 5" xfId="545" xr:uid="{00000000-0005-0000-0000-00001F020000}"/>
    <cellStyle name="Calculation 2 2 2 2 3 5 2" xfId="546" xr:uid="{00000000-0005-0000-0000-000020020000}"/>
    <cellStyle name="Calculation 2 2 2 2 3 6" xfId="547" xr:uid="{00000000-0005-0000-0000-000021020000}"/>
    <cellStyle name="Calculation 2 2 2 2 4" xfId="548" xr:uid="{00000000-0005-0000-0000-000022020000}"/>
    <cellStyle name="Calculation 2 2 2 2 4 2" xfId="549" xr:uid="{00000000-0005-0000-0000-000023020000}"/>
    <cellStyle name="Calculation 2 2 2 2 4 2 2" xfId="550" xr:uid="{00000000-0005-0000-0000-000024020000}"/>
    <cellStyle name="Calculation 2 2 2 2 4 2 2 2" xfId="551" xr:uid="{00000000-0005-0000-0000-000025020000}"/>
    <cellStyle name="Calculation 2 2 2 2 4 2 2 2 2" xfId="552" xr:uid="{00000000-0005-0000-0000-000026020000}"/>
    <cellStyle name="Calculation 2 2 2 2 4 2 2 3" xfId="553" xr:uid="{00000000-0005-0000-0000-000027020000}"/>
    <cellStyle name="Calculation 2 2 2 2 4 2 3" xfId="554" xr:uid="{00000000-0005-0000-0000-000028020000}"/>
    <cellStyle name="Calculation 2 2 2 2 4 2 3 2" xfId="555" xr:uid="{00000000-0005-0000-0000-000029020000}"/>
    <cellStyle name="Calculation 2 2 2 2 4 2 4" xfId="556" xr:uid="{00000000-0005-0000-0000-00002A020000}"/>
    <cellStyle name="Calculation 2 2 2 2 4 3" xfId="557" xr:uid="{00000000-0005-0000-0000-00002B020000}"/>
    <cellStyle name="Calculation 2 2 2 2 4 3 2" xfId="558" xr:uid="{00000000-0005-0000-0000-00002C020000}"/>
    <cellStyle name="Calculation 2 2 2 2 4 3 2 2" xfId="559" xr:uid="{00000000-0005-0000-0000-00002D020000}"/>
    <cellStyle name="Calculation 2 2 2 2 4 3 3" xfId="560" xr:uid="{00000000-0005-0000-0000-00002E020000}"/>
    <cellStyle name="Calculation 2 2 2 2 4 3 4" xfId="561" xr:uid="{00000000-0005-0000-0000-00002F020000}"/>
    <cellStyle name="Calculation 2 2 2 2 4 4" xfId="562" xr:uid="{00000000-0005-0000-0000-000030020000}"/>
    <cellStyle name="Calculation 2 2 2 2 4 4 2" xfId="563" xr:uid="{00000000-0005-0000-0000-000031020000}"/>
    <cellStyle name="Calculation 2 2 2 2 4 4 2 2" xfId="564" xr:uid="{00000000-0005-0000-0000-000032020000}"/>
    <cellStyle name="Calculation 2 2 2 2 4 4 3" xfId="565" xr:uid="{00000000-0005-0000-0000-000033020000}"/>
    <cellStyle name="Calculation 2 2 2 2 4 5" xfId="566" xr:uid="{00000000-0005-0000-0000-000034020000}"/>
    <cellStyle name="Calculation 2 2 2 2 4 5 2" xfId="567" xr:uid="{00000000-0005-0000-0000-000035020000}"/>
    <cellStyle name="Calculation 2 2 2 2 4 6" xfId="568" xr:uid="{00000000-0005-0000-0000-000036020000}"/>
    <cellStyle name="Calculation 2 2 2 2 5" xfId="569" xr:uid="{00000000-0005-0000-0000-000037020000}"/>
    <cellStyle name="Calculation 2 2 2 2 5 2" xfId="570" xr:uid="{00000000-0005-0000-0000-000038020000}"/>
    <cellStyle name="Calculation 2 2 2 3" xfId="571" xr:uid="{00000000-0005-0000-0000-000039020000}"/>
    <cellStyle name="Calculation 2 2 2 3 2" xfId="572" xr:uid="{00000000-0005-0000-0000-00003A020000}"/>
    <cellStyle name="Calculation 2 2 2 3 2 2" xfId="573" xr:uid="{00000000-0005-0000-0000-00003B020000}"/>
    <cellStyle name="Calculation 2 2 2 3 2 2 2" xfId="574" xr:uid="{00000000-0005-0000-0000-00003C020000}"/>
    <cellStyle name="Calculation 2 2 2 3 2 2 2 2" xfId="575" xr:uid="{00000000-0005-0000-0000-00003D020000}"/>
    <cellStyle name="Calculation 2 2 2 3 2 2 3" xfId="576" xr:uid="{00000000-0005-0000-0000-00003E020000}"/>
    <cellStyle name="Calculation 2 2 2 3 2 3" xfId="577" xr:uid="{00000000-0005-0000-0000-00003F020000}"/>
    <cellStyle name="Calculation 2 2 2 3 2 3 2" xfId="578" xr:uid="{00000000-0005-0000-0000-000040020000}"/>
    <cellStyle name="Calculation 2 2 2 3 2 4" xfId="579" xr:uid="{00000000-0005-0000-0000-000041020000}"/>
    <cellStyle name="Calculation 2 2 2 3 3" xfId="580" xr:uid="{00000000-0005-0000-0000-000042020000}"/>
    <cellStyle name="Calculation 2 2 2 3 3 2" xfId="581" xr:uid="{00000000-0005-0000-0000-000043020000}"/>
    <cellStyle name="Calculation 2 2 2 3 3 2 2" xfId="582" xr:uid="{00000000-0005-0000-0000-000044020000}"/>
    <cellStyle name="Calculation 2 2 2 3 3 3" xfId="583" xr:uid="{00000000-0005-0000-0000-000045020000}"/>
    <cellStyle name="Calculation 2 2 2 3 3 4" xfId="584" xr:uid="{00000000-0005-0000-0000-000046020000}"/>
    <cellStyle name="Calculation 2 2 2 3 4" xfId="585" xr:uid="{00000000-0005-0000-0000-000047020000}"/>
    <cellStyle name="Calculation 2 2 2 3 4 2" xfId="586" xr:uid="{00000000-0005-0000-0000-000048020000}"/>
    <cellStyle name="Calculation 2 2 2 3 4 2 2" xfId="587" xr:uid="{00000000-0005-0000-0000-000049020000}"/>
    <cellStyle name="Calculation 2 2 2 3 4 3" xfId="588" xr:uid="{00000000-0005-0000-0000-00004A020000}"/>
    <cellStyle name="Calculation 2 2 2 3 5" xfId="589" xr:uid="{00000000-0005-0000-0000-00004B020000}"/>
    <cellStyle name="Calculation 2 2 2 3 5 2" xfId="590" xr:uid="{00000000-0005-0000-0000-00004C020000}"/>
    <cellStyle name="Calculation 2 2 2 3 6" xfId="591" xr:uid="{00000000-0005-0000-0000-00004D020000}"/>
    <cellStyle name="Calculation 2 2 2 4" xfId="592" xr:uid="{00000000-0005-0000-0000-00004E020000}"/>
    <cellStyle name="Calculation 2 2 2 4 2" xfId="593" xr:uid="{00000000-0005-0000-0000-00004F020000}"/>
    <cellStyle name="Calculation 2 2 2 4 2 2" xfId="594" xr:uid="{00000000-0005-0000-0000-000050020000}"/>
    <cellStyle name="Calculation 2 2 2 4 2 2 2" xfId="595" xr:uid="{00000000-0005-0000-0000-000051020000}"/>
    <cellStyle name="Calculation 2 2 2 4 2 2 2 2" xfId="596" xr:uid="{00000000-0005-0000-0000-000052020000}"/>
    <cellStyle name="Calculation 2 2 2 4 2 2 3" xfId="597" xr:uid="{00000000-0005-0000-0000-000053020000}"/>
    <cellStyle name="Calculation 2 2 2 4 2 3" xfId="598" xr:uid="{00000000-0005-0000-0000-000054020000}"/>
    <cellStyle name="Calculation 2 2 2 4 2 3 2" xfId="599" xr:uid="{00000000-0005-0000-0000-000055020000}"/>
    <cellStyle name="Calculation 2 2 2 4 2 4" xfId="600" xr:uid="{00000000-0005-0000-0000-000056020000}"/>
    <cellStyle name="Calculation 2 2 2 4 3" xfId="601" xr:uid="{00000000-0005-0000-0000-000057020000}"/>
    <cellStyle name="Calculation 2 2 2 4 3 2" xfId="602" xr:uid="{00000000-0005-0000-0000-000058020000}"/>
    <cellStyle name="Calculation 2 2 2 4 3 2 2" xfId="603" xr:uid="{00000000-0005-0000-0000-000059020000}"/>
    <cellStyle name="Calculation 2 2 2 4 3 3" xfId="604" xr:uid="{00000000-0005-0000-0000-00005A020000}"/>
    <cellStyle name="Calculation 2 2 2 4 3 4" xfId="605" xr:uid="{00000000-0005-0000-0000-00005B020000}"/>
    <cellStyle name="Calculation 2 2 2 4 4" xfId="606" xr:uid="{00000000-0005-0000-0000-00005C020000}"/>
    <cellStyle name="Calculation 2 2 2 4 4 2" xfId="607" xr:uid="{00000000-0005-0000-0000-00005D020000}"/>
    <cellStyle name="Calculation 2 2 2 4 4 2 2" xfId="608" xr:uid="{00000000-0005-0000-0000-00005E020000}"/>
    <cellStyle name="Calculation 2 2 2 4 4 3" xfId="609" xr:uid="{00000000-0005-0000-0000-00005F020000}"/>
    <cellStyle name="Calculation 2 2 2 4 5" xfId="610" xr:uid="{00000000-0005-0000-0000-000060020000}"/>
    <cellStyle name="Calculation 2 2 2 4 5 2" xfId="611" xr:uid="{00000000-0005-0000-0000-000061020000}"/>
    <cellStyle name="Calculation 2 2 2 4 6" xfId="612" xr:uid="{00000000-0005-0000-0000-000062020000}"/>
    <cellStyle name="Calculation 2 2 2 5" xfId="613" xr:uid="{00000000-0005-0000-0000-000063020000}"/>
    <cellStyle name="Calculation 2 2 2 5 2" xfId="614" xr:uid="{00000000-0005-0000-0000-000064020000}"/>
    <cellStyle name="Calculation 2 2 2 5 2 2" xfId="615" xr:uid="{00000000-0005-0000-0000-000065020000}"/>
    <cellStyle name="Calculation 2 2 2 5 2 2 2" xfId="616" xr:uid="{00000000-0005-0000-0000-000066020000}"/>
    <cellStyle name="Calculation 2 2 2 5 2 2 2 2" xfId="617" xr:uid="{00000000-0005-0000-0000-000067020000}"/>
    <cellStyle name="Calculation 2 2 2 5 2 2 3" xfId="618" xr:uid="{00000000-0005-0000-0000-000068020000}"/>
    <cellStyle name="Calculation 2 2 2 5 2 3" xfId="619" xr:uid="{00000000-0005-0000-0000-000069020000}"/>
    <cellStyle name="Calculation 2 2 2 5 2 3 2" xfId="620" xr:uid="{00000000-0005-0000-0000-00006A020000}"/>
    <cellStyle name="Calculation 2 2 2 5 2 4" xfId="621" xr:uid="{00000000-0005-0000-0000-00006B020000}"/>
    <cellStyle name="Calculation 2 2 2 5 3" xfId="622" xr:uid="{00000000-0005-0000-0000-00006C020000}"/>
    <cellStyle name="Calculation 2 2 2 5 3 2" xfId="623" xr:uid="{00000000-0005-0000-0000-00006D020000}"/>
    <cellStyle name="Calculation 2 2 2 5 3 2 2" xfId="624" xr:uid="{00000000-0005-0000-0000-00006E020000}"/>
    <cellStyle name="Calculation 2 2 2 5 3 3" xfId="625" xr:uid="{00000000-0005-0000-0000-00006F020000}"/>
    <cellStyle name="Calculation 2 2 2 5 3 4" xfId="626" xr:uid="{00000000-0005-0000-0000-000070020000}"/>
    <cellStyle name="Calculation 2 2 2 5 4" xfId="627" xr:uid="{00000000-0005-0000-0000-000071020000}"/>
    <cellStyle name="Calculation 2 2 2 5 4 2" xfId="628" xr:uid="{00000000-0005-0000-0000-000072020000}"/>
    <cellStyle name="Calculation 2 2 2 5 4 2 2" xfId="629" xr:uid="{00000000-0005-0000-0000-000073020000}"/>
    <cellStyle name="Calculation 2 2 2 5 4 3" xfId="630" xr:uid="{00000000-0005-0000-0000-000074020000}"/>
    <cellStyle name="Calculation 2 2 2 5 5" xfId="631" xr:uid="{00000000-0005-0000-0000-000075020000}"/>
    <cellStyle name="Calculation 2 2 2 5 5 2" xfId="632" xr:uid="{00000000-0005-0000-0000-000076020000}"/>
    <cellStyle name="Calculation 2 2 2 5 6" xfId="633" xr:uid="{00000000-0005-0000-0000-000077020000}"/>
    <cellStyle name="Calculation 2 2 3" xfId="634" xr:uid="{00000000-0005-0000-0000-000078020000}"/>
    <cellStyle name="Calculation 2 2 3 2" xfId="635" xr:uid="{00000000-0005-0000-0000-000079020000}"/>
    <cellStyle name="Calculation 2 2 3 2 2" xfId="636" xr:uid="{00000000-0005-0000-0000-00007A020000}"/>
    <cellStyle name="Calculation 2 2 3 2 2 2" xfId="637" xr:uid="{00000000-0005-0000-0000-00007B020000}"/>
    <cellStyle name="Calculation 2 2 3 2 2 2 2" xfId="638" xr:uid="{00000000-0005-0000-0000-00007C020000}"/>
    <cellStyle name="Calculation 2 2 3 2 2 2 2 2" xfId="639" xr:uid="{00000000-0005-0000-0000-00007D020000}"/>
    <cellStyle name="Calculation 2 2 3 2 2 2 3" xfId="640" xr:uid="{00000000-0005-0000-0000-00007E020000}"/>
    <cellStyle name="Calculation 2 2 3 2 2 3" xfId="641" xr:uid="{00000000-0005-0000-0000-00007F020000}"/>
    <cellStyle name="Calculation 2 2 3 2 2 3 2" xfId="642" xr:uid="{00000000-0005-0000-0000-000080020000}"/>
    <cellStyle name="Calculation 2 2 3 2 2 4" xfId="643" xr:uid="{00000000-0005-0000-0000-000081020000}"/>
    <cellStyle name="Calculation 2 2 3 2 3" xfId="644" xr:uid="{00000000-0005-0000-0000-000082020000}"/>
    <cellStyle name="Calculation 2 2 3 2 3 2" xfId="645" xr:uid="{00000000-0005-0000-0000-000083020000}"/>
    <cellStyle name="Calculation 2 2 3 2 3 2 2" xfId="646" xr:uid="{00000000-0005-0000-0000-000084020000}"/>
    <cellStyle name="Calculation 2 2 3 2 3 3" xfId="647" xr:uid="{00000000-0005-0000-0000-000085020000}"/>
    <cellStyle name="Calculation 2 2 3 2 3 4" xfId="648" xr:uid="{00000000-0005-0000-0000-000086020000}"/>
    <cellStyle name="Calculation 2 2 3 2 4" xfId="649" xr:uid="{00000000-0005-0000-0000-000087020000}"/>
    <cellStyle name="Calculation 2 2 3 2 4 2" xfId="650" xr:uid="{00000000-0005-0000-0000-000088020000}"/>
    <cellStyle name="Calculation 2 2 3 2 4 2 2" xfId="651" xr:uid="{00000000-0005-0000-0000-000089020000}"/>
    <cellStyle name="Calculation 2 2 3 2 4 3" xfId="652" xr:uid="{00000000-0005-0000-0000-00008A020000}"/>
    <cellStyle name="Calculation 2 2 3 2 5" xfId="653" xr:uid="{00000000-0005-0000-0000-00008B020000}"/>
    <cellStyle name="Calculation 2 2 3 2 5 2" xfId="654" xr:uid="{00000000-0005-0000-0000-00008C020000}"/>
    <cellStyle name="Calculation 2 2 3 2 6" xfId="655" xr:uid="{00000000-0005-0000-0000-00008D020000}"/>
    <cellStyle name="Calculation 2 2 3 3" xfId="656" xr:uid="{00000000-0005-0000-0000-00008E020000}"/>
    <cellStyle name="Calculation 2 2 3 3 2" xfId="657" xr:uid="{00000000-0005-0000-0000-00008F020000}"/>
    <cellStyle name="Calculation 2 2 3 3 2 2" xfId="658" xr:uid="{00000000-0005-0000-0000-000090020000}"/>
    <cellStyle name="Calculation 2 2 3 3 2 2 2" xfId="659" xr:uid="{00000000-0005-0000-0000-000091020000}"/>
    <cellStyle name="Calculation 2 2 3 3 2 2 2 2" xfId="660" xr:uid="{00000000-0005-0000-0000-000092020000}"/>
    <cellStyle name="Calculation 2 2 3 3 2 2 3" xfId="661" xr:uid="{00000000-0005-0000-0000-000093020000}"/>
    <cellStyle name="Calculation 2 2 3 3 2 3" xfId="662" xr:uid="{00000000-0005-0000-0000-000094020000}"/>
    <cellStyle name="Calculation 2 2 3 3 2 3 2" xfId="663" xr:uid="{00000000-0005-0000-0000-000095020000}"/>
    <cellStyle name="Calculation 2 2 3 3 2 4" xfId="664" xr:uid="{00000000-0005-0000-0000-000096020000}"/>
    <cellStyle name="Calculation 2 2 3 3 3" xfId="665" xr:uid="{00000000-0005-0000-0000-000097020000}"/>
    <cellStyle name="Calculation 2 2 3 3 3 2" xfId="666" xr:uid="{00000000-0005-0000-0000-000098020000}"/>
    <cellStyle name="Calculation 2 2 3 3 3 2 2" xfId="667" xr:uid="{00000000-0005-0000-0000-000099020000}"/>
    <cellStyle name="Calculation 2 2 3 3 3 3" xfId="668" xr:uid="{00000000-0005-0000-0000-00009A020000}"/>
    <cellStyle name="Calculation 2 2 3 3 3 4" xfId="669" xr:uid="{00000000-0005-0000-0000-00009B020000}"/>
    <cellStyle name="Calculation 2 2 3 3 4" xfId="670" xr:uid="{00000000-0005-0000-0000-00009C020000}"/>
    <cellStyle name="Calculation 2 2 3 3 4 2" xfId="671" xr:uid="{00000000-0005-0000-0000-00009D020000}"/>
    <cellStyle name="Calculation 2 2 3 3 4 2 2" xfId="672" xr:uid="{00000000-0005-0000-0000-00009E020000}"/>
    <cellStyle name="Calculation 2 2 3 3 4 3" xfId="673" xr:uid="{00000000-0005-0000-0000-00009F020000}"/>
    <cellStyle name="Calculation 2 2 3 3 5" xfId="674" xr:uid="{00000000-0005-0000-0000-0000A0020000}"/>
    <cellStyle name="Calculation 2 2 3 3 5 2" xfId="675" xr:uid="{00000000-0005-0000-0000-0000A1020000}"/>
    <cellStyle name="Calculation 2 2 3 3 6" xfId="676" xr:uid="{00000000-0005-0000-0000-0000A2020000}"/>
    <cellStyle name="Calculation 2 2 3 4" xfId="677" xr:uid="{00000000-0005-0000-0000-0000A3020000}"/>
    <cellStyle name="Calculation 2 2 3 4 2" xfId="678" xr:uid="{00000000-0005-0000-0000-0000A4020000}"/>
    <cellStyle name="Calculation 2 2 3 4 2 2" xfId="679" xr:uid="{00000000-0005-0000-0000-0000A5020000}"/>
    <cellStyle name="Calculation 2 2 3 4 2 2 2" xfId="680" xr:uid="{00000000-0005-0000-0000-0000A6020000}"/>
    <cellStyle name="Calculation 2 2 3 4 2 2 2 2" xfId="681" xr:uid="{00000000-0005-0000-0000-0000A7020000}"/>
    <cellStyle name="Calculation 2 2 3 4 2 2 3" xfId="682" xr:uid="{00000000-0005-0000-0000-0000A8020000}"/>
    <cellStyle name="Calculation 2 2 3 4 2 3" xfId="683" xr:uid="{00000000-0005-0000-0000-0000A9020000}"/>
    <cellStyle name="Calculation 2 2 3 4 2 3 2" xfId="684" xr:uid="{00000000-0005-0000-0000-0000AA020000}"/>
    <cellStyle name="Calculation 2 2 3 4 2 4" xfId="685" xr:uid="{00000000-0005-0000-0000-0000AB020000}"/>
    <cellStyle name="Calculation 2 2 3 4 3" xfId="686" xr:uid="{00000000-0005-0000-0000-0000AC020000}"/>
    <cellStyle name="Calculation 2 2 3 4 3 2" xfId="687" xr:uid="{00000000-0005-0000-0000-0000AD020000}"/>
    <cellStyle name="Calculation 2 2 3 4 3 2 2" xfId="688" xr:uid="{00000000-0005-0000-0000-0000AE020000}"/>
    <cellStyle name="Calculation 2 2 3 4 3 3" xfId="689" xr:uid="{00000000-0005-0000-0000-0000AF020000}"/>
    <cellStyle name="Calculation 2 2 3 4 3 4" xfId="690" xr:uid="{00000000-0005-0000-0000-0000B0020000}"/>
    <cellStyle name="Calculation 2 2 3 4 4" xfId="691" xr:uid="{00000000-0005-0000-0000-0000B1020000}"/>
    <cellStyle name="Calculation 2 2 3 4 4 2" xfId="692" xr:uid="{00000000-0005-0000-0000-0000B2020000}"/>
    <cellStyle name="Calculation 2 2 3 4 4 2 2" xfId="693" xr:uid="{00000000-0005-0000-0000-0000B3020000}"/>
    <cellStyle name="Calculation 2 2 3 4 4 3" xfId="694" xr:uid="{00000000-0005-0000-0000-0000B4020000}"/>
    <cellStyle name="Calculation 2 2 3 4 5" xfId="695" xr:uid="{00000000-0005-0000-0000-0000B5020000}"/>
    <cellStyle name="Calculation 2 2 3 4 5 2" xfId="696" xr:uid="{00000000-0005-0000-0000-0000B6020000}"/>
    <cellStyle name="Calculation 2 2 3 4 6" xfId="697" xr:uid="{00000000-0005-0000-0000-0000B7020000}"/>
    <cellStyle name="Calculation 2 2 3 5" xfId="698" xr:uid="{00000000-0005-0000-0000-0000B8020000}"/>
    <cellStyle name="Calculation 2 2 3 5 2" xfId="699" xr:uid="{00000000-0005-0000-0000-0000B9020000}"/>
    <cellStyle name="Calculation 2 2 4" xfId="700" xr:uid="{00000000-0005-0000-0000-0000BA020000}"/>
    <cellStyle name="Calculation 2 2 4 2" xfId="701" xr:uid="{00000000-0005-0000-0000-0000BB020000}"/>
    <cellStyle name="Calculation 2 2 4 2 2" xfId="702" xr:uid="{00000000-0005-0000-0000-0000BC020000}"/>
    <cellStyle name="Calculation 2 2 4 2 2 2" xfId="703" xr:uid="{00000000-0005-0000-0000-0000BD020000}"/>
    <cellStyle name="Calculation 2 2 4 2 2 2 2" xfId="704" xr:uid="{00000000-0005-0000-0000-0000BE020000}"/>
    <cellStyle name="Calculation 2 2 4 2 2 2 2 2" xfId="705" xr:uid="{00000000-0005-0000-0000-0000BF020000}"/>
    <cellStyle name="Calculation 2 2 4 2 2 2 3" xfId="706" xr:uid="{00000000-0005-0000-0000-0000C0020000}"/>
    <cellStyle name="Calculation 2 2 4 2 2 3" xfId="707" xr:uid="{00000000-0005-0000-0000-0000C1020000}"/>
    <cellStyle name="Calculation 2 2 4 2 2 3 2" xfId="708" xr:uid="{00000000-0005-0000-0000-0000C2020000}"/>
    <cellStyle name="Calculation 2 2 4 2 2 4" xfId="709" xr:uid="{00000000-0005-0000-0000-0000C3020000}"/>
    <cellStyle name="Calculation 2 2 4 2 3" xfId="710" xr:uid="{00000000-0005-0000-0000-0000C4020000}"/>
    <cellStyle name="Calculation 2 2 4 2 3 2" xfId="711" xr:uid="{00000000-0005-0000-0000-0000C5020000}"/>
    <cellStyle name="Calculation 2 2 4 2 3 2 2" xfId="712" xr:uid="{00000000-0005-0000-0000-0000C6020000}"/>
    <cellStyle name="Calculation 2 2 4 2 3 3" xfId="713" xr:uid="{00000000-0005-0000-0000-0000C7020000}"/>
    <cellStyle name="Calculation 2 2 4 2 3 4" xfId="714" xr:uid="{00000000-0005-0000-0000-0000C8020000}"/>
    <cellStyle name="Calculation 2 2 4 2 4" xfId="715" xr:uid="{00000000-0005-0000-0000-0000C9020000}"/>
    <cellStyle name="Calculation 2 2 4 2 4 2" xfId="716" xr:uid="{00000000-0005-0000-0000-0000CA020000}"/>
    <cellStyle name="Calculation 2 2 4 2 4 2 2" xfId="717" xr:uid="{00000000-0005-0000-0000-0000CB020000}"/>
    <cellStyle name="Calculation 2 2 4 2 4 3" xfId="718" xr:uid="{00000000-0005-0000-0000-0000CC020000}"/>
    <cellStyle name="Calculation 2 2 4 2 5" xfId="719" xr:uid="{00000000-0005-0000-0000-0000CD020000}"/>
    <cellStyle name="Calculation 2 2 4 2 5 2" xfId="720" xr:uid="{00000000-0005-0000-0000-0000CE020000}"/>
    <cellStyle name="Calculation 2 2 4 2 6" xfId="721" xr:uid="{00000000-0005-0000-0000-0000CF020000}"/>
    <cellStyle name="Calculation 2 2 4 3" xfId="722" xr:uid="{00000000-0005-0000-0000-0000D0020000}"/>
    <cellStyle name="Calculation 2 2 4 3 2" xfId="723" xr:uid="{00000000-0005-0000-0000-0000D1020000}"/>
    <cellStyle name="Calculation 2 2 4 3 2 2" xfId="724" xr:uid="{00000000-0005-0000-0000-0000D2020000}"/>
    <cellStyle name="Calculation 2 2 4 3 2 2 2" xfId="725" xr:uid="{00000000-0005-0000-0000-0000D3020000}"/>
    <cellStyle name="Calculation 2 2 4 3 2 2 2 2" xfId="726" xr:uid="{00000000-0005-0000-0000-0000D4020000}"/>
    <cellStyle name="Calculation 2 2 4 3 2 2 3" xfId="727" xr:uid="{00000000-0005-0000-0000-0000D5020000}"/>
    <cellStyle name="Calculation 2 2 4 3 2 3" xfId="728" xr:uid="{00000000-0005-0000-0000-0000D6020000}"/>
    <cellStyle name="Calculation 2 2 4 3 2 3 2" xfId="729" xr:uid="{00000000-0005-0000-0000-0000D7020000}"/>
    <cellStyle name="Calculation 2 2 4 3 2 4" xfId="730" xr:uid="{00000000-0005-0000-0000-0000D8020000}"/>
    <cellStyle name="Calculation 2 2 4 3 3" xfId="731" xr:uid="{00000000-0005-0000-0000-0000D9020000}"/>
    <cellStyle name="Calculation 2 2 4 3 3 2" xfId="732" xr:uid="{00000000-0005-0000-0000-0000DA020000}"/>
    <cellStyle name="Calculation 2 2 4 3 3 2 2" xfId="733" xr:uid="{00000000-0005-0000-0000-0000DB020000}"/>
    <cellStyle name="Calculation 2 2 4 3 3 3" xfId="734" xr:uid="{00000000-0005-0000-0000-0000DC020000}"/>
    <cellStyle name="Calculation 2 2 4 3 3 4" xfId="735" xr:uid="{00000000-0005-0000-0000-0000DD020000}"/>
    <cellStyle name="Calculation 2 2 4 3 4" xfId="736" xr:uid="{00000000-0005-0000-0000-0000DE020000}"/>
    <cellStyle name="Calculation 2 2 4 3 4 2" xfId="737" xr:uid="{00000000-0005-0000-0000-0000DF020000}"/>
    <cellStyle name="Calculation 2 2 4 3 4 2 2" xfId="738" xr:uid="{00000000-0005-0000-0000-0000E0020000}"/>
    <cellStyle name="Calculation 2 2 4 3 4 3" xfId="739" xr:uid="{00000000-0005-0000-0000-0000E1020000}"/>
    <cellStyle name="Calculation 2 2 4 3 5" xfId="740" xr:uid="{00000000-0005-0000-0000-0000E2020000}"/>
    <cellStyle name="Calculation 2 2 4 3 5 2" xfId="741" xr:uid="{00000000-0005-0000-0000-0000E3020000}"/>
    <cellStyle name="Calculation 2 2 4 3 6" xfId="742" xr:uid="{00000000-0005-0000-0000-0000E4020000}"/>
    <cellStyle name="Calculation 2 2 4 4" xfId="743" xr:uid="{00000000-0005-0000-0000-0000E5020000}"/>
    <cellStyle name="Calculation 2 2 4 4 2" xfId="744" xr:uid="{00000000-0005-0000-0000-0000E6020000}"/>
    <cellStyle name="Calculation 2 2 4 4 2 2" xfId="745" xr:uid="{00000000-0005-0000-0000-0000E7020000}"/>
    <cellStyle name="Calculation 2 2 4 4 2 2 2" xfId="746" xr:uid="{00000000-0005-0000-0000-0000E8020000}"/>
    <cellStyle name="Calculation 2 2 4 4 2 3" xfId="747" xr:uid="{00000000-0005-0000-0000-0000E9020000}"/>
    <cellStyle name="Calculation 2 2 4 4 3" xfId="748" xr:uid="{00000000-0005-0000-0000-0000EA020000}"/>
    <cellStyle name="Calculation 2 2 4 4 3 2" xfId="749" xr:uid="{00000000-0005-0000-0000-0000EB020000}"/>
    <cellStyle name="Calculation 2 2 4 4 4" xfId="750" xr:uid="{00000000-0005-0000-0000-0000EC020000}"/>
    <cellStyle name="Calculation 2 2 4 5" xfId="751" xr:uid="{00000000-0005-0000-0000-0000ED020000}"/>
    <cellStyle name="Calculation 2 2 4 5 2" xfId="752" xr:uid="{00000000-0005-0000-0000-0000EE020000}"/>
    <cellStyle name="Calculation 2 2 4 5 2 2" xfId="753" xr:uid="{00000000-0005-0000-0000-0000EF020000}"/>
    <cellStyle name="Calculation 2 2 4 5 3" xfId="754" xr:uid="{00000000-0005-0000-0000-0000F0020000}"/>
    <cellStyle name="Calculation 2 2 4 5 4" xfId="755" xr:uid="{00000000-0005-0000-0000-0000F1020000}"/>
    <cellStyle name="Calculation 2 2 4 6" xfId="756" xr:uid="{00000000-0005-0000-0000-0000F2020000}"/>
    <cellStyle name="Calculation 2 2 4 6 2" xfId="757" xr:uid="{00000000-0005-0000-0000-0000F3020000}"/>
    <cellStyle name="Calculation 2 2 4 6 2 2" xfId="758" xr:uid="{00000000-0005-0000-0000-0000F4020000}"/>
    <cellStyle name="Calculation 2 2 4 6 3" xfId="759" xr:uid="{00000000-0005-0000-0000-0000F5020000}"/>
    <cellStyle name="Calculation 2 2 4 7" xfId="760" xr:uid="{00000000-0005-0000-0000-0000F6020000}"/>
    <cellStyle name="Calculation 2 2 4 7 2" xfId="761" xr:uid="{00000000-0005-0000-0000-0000F7020000}"/>
    <cellStyle name="Calculation 2 2 4 8" xfId="762" xr:uid="{00000000-0005-0000-0000-0000F8020000}"/>
    <cellStyle name="Calculation 2 2 5" xfId="763" xr:uid="{00000000-0005-0000-0000-0000F9020000}"/>
    <cellStyle name="Calculation 2 2 5 2" xfId="764" xr:uid="{00000000-0005-0000-0000-0000FA020000}"/>
    <cellStyle name="Calculation 2 2 5 2 2" xfId="765" xr:uid="{00000000-0005-0000-0000-0000FB020000}"/>
    <cellStyle name="Calculation 2 2 5 2 2 2" xfId="766" xr:uid="{00000000-0005-0000-0000-0000FC020000}"/>
    <cellStyle name="Calculation 2 2 5 2 2 2 2" xfId="767" xr:uid="{00000000-0005-0000-0000-0000FD020000}"/>
    <cellStyle name="Calculation 2 2 5 2 2 3" xfId="768" xr:uid="{00000000-0005-0000-0000-0000FE020000}"/>
    <cellStyle name="Calculation 2 2 5 2 3" xfId="769" xr:uid="{00000000-0005-0000-0000-0000FF020000}"/>
    <cellStyle name="Calculation 2 2 5 2 3 2" xfId="770" xr:uid="{00000000-0005-0000-0000-000000030000}"/>
    <cellStyle name="Calculation 2 2 5 2 4" xfId="771" xr:uid="{00000000-0005-0000-0000-000001030000}"/>
    <cellStyle name="Calculation 2 2 5 3" xfId="772" xr:uid="{00000000-0005-0000-0000-000002030000}"/>
    <cellStyle name="Calculation 2 2 5 3 2" xfId="773" xr:uid="{00000000-0005-0000-0000-000003030000}"/>
    <cellStyle name="Calculation 2 2 5 3 2 2" xfId="774" xr:uid="{00000000-0005-0000-0000-000004030000}"/>
    <cellStyle name="Calculation 2 2 5 3 3" xfId="775" xr:uid="{00000000-0005-0000-0000-000005030000}"/>
    <cellStyle name="Calculation 2 2 5 3 4" xfId="776" xr:uid="{00000000-0005-0000-0000-000006030000}"/>
    <cellStyle name="Calculation 2 2 5 4" xfId="777" xr:uid="{00000000-0005-0000-0000-000007030000}"/>
    <cellStyle name="Calculation 2 2 5 4 2" xfId="778" xr:uid="{00000000-0005-0000-0000-000008030000}"/>
    <cellStyle name="Calculation 2 2 5 4 2 2" xfId="779" xr:uid="{00000000-0005-0000-0000-000009030000}"/>
    <cellStyle name="Calculation 2 2 5 4 3" xfId="780" xr:uid="{00000000-0005-0000-0000-00000A030000}"/>
    <cellStyle name="Calculation 2 2 5 5" xfId="781" xr:uid="{00000000-0005-0000-0000-00000B030000}"/>
    <cellStyle name="Calculation 2 2 5 5 2" xfId="782" xr:uid="{00000000-0005-0000-0000-00000C030000}"/>
    <cellStyle name="Calculation 2 2 5 6" xfId="783" xr:uid="{00000000-0005-0000-0000-00000D030000}"/>
    <cellStyle name="Calculation 2 3" xfId="784" xr:uid="{00000000-0005-0000-0000-00000E030000}"/>
    <cellStyle name="Calculation 2 3 2" xfId="785" xr:uid="{00000000-0005-0000-0000-00000F030000}"/>
    <cellStyle name="Calculation 2 3 2 2" xfId="786" xr:uid="{00000000-0005-0000-0000-000010030000}"/>
    <cellStyle name="Calculation 2 3 2 2 2" xfId="787" xr:uid="{00000000-0005-0000-0000-000011030000}"/>
    <cellStyle name="Calculation 2 3 2 2 2 2" xfId="788" xr:uid="{00000000-0005-0000-0000-000012030000}"/>
    <cellStyle name="Calculation 2 3 2 2 2 2 2" xfId="789" xr:uid="{00000000-0005-0000-0000-000013030000}"/>
    <cellStyle name="Calculation 2 3 2 2 2 2 2 2" xfId="790" xr:uid="{00000000-0005-0000-0000-000014030000}"/>
    <cellStyle name="Calculation 2 3 2 2 2 2 3" xfId="791" xr:uid="{00000000-0005-0000-0000-000015030000}"/>
    <cellStyle name="Calculation 2 3 2 2 2 3" xfId="792" xr:uid="{00000000-0005-0000-0000-000016030000}"/>
    <cellStyle name="Calculation 2 3 2 2 2 3 2" xfId="793" xr:uid="{00000000-0005-0000-0000-000017030000}"/>
    <cellStyle name="Calculation 2 3 2 2 2 4" xfId="794" xr:uid="{00000000-0005-0000-0000-000018030000}"/>
    <cellStyle name="Calculation 2 3 2 2 3" xfId="795" xr:uid="{00000000-0005-0000-0000-000019030000}"/>
    <cellStyle name="Calculation 2 3 2 2 3 2" xfId="796" xr:uid="{00000000-0005-0000-0000-00001A030000}"/>
    <cellStyle name="Calculation 2 3 2 2 3 2 2" xfId="797" xr:uid="{00000000-0005-0000-0000-00001B030000}"/>
    <cellStyle name="Calculation 2 3 2 2 3 3" xfId="798" xr:uid="{00000000-0005-0000-0000-00001C030000}"/>
    <cellStyle name="Calculation 2 3 2 2 3 4" xfId="799" xr:uid="{00000000-0005-0000-0000-00001D030000}"/>
    <cellStyle name="Calculation 2 3 2 2 4" xfId="800" xr:uid="{00000000-0005-0000-0000-00001E030000}"/>
    <cellStyle name="Calculation 2 3 2 2 4 2" xfId="801" xr:uid="{00000000-0005-0000-0000-00001F030000}"/>
    <cellStyle name="Calculation 2 3 2 2 4 2 2" xfId="802" xr:uid="{00000000-0005-0000-0000-000020030000}"/>
    <cellStyle name="Calculation 2 3 2 2 4 3" xfId="803" xr:uid="{00000000-0005-0000-0000-000021030000}"/>
    <cellStyle name="Calculation 2 3 2 2 5" xfId="804" xr:uid="{00000000-0005-0000-0000-000022030000}"/>
    <cellStyle name="Calculation 2 3 2 2 5 2" xfId="805" xr:uid="{00000000-0005-0000-0000-000023030000}"/>
    <cellStyle name="Calculation 2 3 2 2 6" xfId="806" xr:uid="{00000000-0005-0000-0000-000024030000}"/>
    <cellStyle name="Calculation 2 3 2 3" xfId="807" xr:uid="{00000000-0005-0000-0000-000025030000}"/>
    <cellStyle name="Calculation 2 3 2 3 2" xfId="808" xr:uid="{00000000-0005-0000-0000-000026030000}"/>
    <cellStyle name="Calculation 2 3 2 3 2 2" xfId="809" xr:uid="{00000000-0005-0000-0000-000027030000}"/>
    <cellStyle name="Calculation 2 3 2 3 2 2 2" xfId="810" xr:uid="{00000000-0005-0000-0000-000028030000}"/>
    <cellStyle name="Calculation 2 3 2 3 2 2 2 2" xfId="811" xr:uid="{00000000-0005-0000-0000-000029030000}"/>
    <cellStyle name="Calculation 2 3 2 3 2 2 3" xfId="812" xr:uid="{00000000-0005-0000-0000-00002A030000}"/>
    <cellStyle name="Calculation 2 3 2 3 2 3" xfId="813" xr:uid="{00000000-0005-0000-0000-00002B030000}"/>
    <cellStyle name="Calculation 2 3 2 3 2 3 2" xfId="814" xr:uid="{00000000-0005-0000-0000-00002C030000}"/>
    <cellStyle name="Calculation 2 3 2 3 2 4" xfId="815" xr:uid="{00000000-0005-0000-0000-00002D030000}"/>
    <cellStyle name="Calculation 2 3 2 3 3" xfId="816" xr:uid="{00000000-0005-0000-0000-00002E030000}"/>
    <cellStyle name="Calculation 2 3 2 3 3 2" xfId="817" xr:uid="{00000000-0005-0000-0000-00002F030000}"/>
    <cellStyle name="Calculation 2 3 2 3 3 2 2" xfId="818" xr:uid="{00000000-0005-0000-0000-000030030000}"/>
    <cellStyle name="Calculation 2 3 2 3 3 3" xfId="819" xr:uid="{00000000-0005-0000-0000-000031030000}"/>
    <cellStyle name="Calculation 2 3 2 3 3 4" xfId="820" xr:uid="{00000000-0005-0000-0000-000032030000}"/>
    <cellStyle name="Calculation 2 3 2 3 4" xfId="821" xr:uid="{00000000-0005-0000-0000-000033030000}"/>
    <cellStyle name="Calculation 2 3 2 3 4 2" xfId="822" xr:uid="{00000000-0005-0000-0000-000034030000}"/>
    <cellStyle name="Calculation 2 3 2 3 4 2 2" xfId="823" xr:uid="{00000000-0005-0000-0000-000035030000}"/>
    <cellStyle name="Calculation 2 3 2 3 4 3" xfId="824" xr:uid="{00000000-0005-0000-0000-000036030000}"/>
    <cellStyle name="Calculation 2 3 2 3 5" xfId="825" xr:uid="{00000000-0005-0000-0000-000037030000}"/>
    <cellStyle name="Calculation 2 3 2 3 5 2" xfId="826" xr:uid="{00000000-0005-0000-0000-000038030000}"/>
    <cellStyle name="Calculation 2 3 2 3 6" xfId="827" xr:uid="{00000000-0005-0000-0000-000039030000}"/>
    <cellStyle name="Calculation 2 3 2 4" xfId="828" xr:uid="{00000000-0005-0000-0000-00003A030000}"/>
    <cellStyle name="Calculation 2 3 2 4 2" xfId="829" xr:uid="{00000000-0005-0000-0000-00003B030000}"/>
    <cellStyle name="Calculation 2 3 2 4 2 2" xfId="830" xr:uid="{00000000-0005-0000-0000-00003C030000}"/>
    <cellStyle name="Calculation 2 3 2 4 2 2 2" xfId="831" xr:uid="{00000000-0005-0000-0000-00003D030000}"/>
    <cellStyle name="Calculation 2 3 2 4 2 2 2 2" xfId="832" xr:uid="{00000000-0005-0000-0000-00003E030000}"/>
    <cellStyle name="Calculation 2 3 2 4 2 2 3" xfId="833" xr:uid="{00000000-0005-0000-0000-00003F030000}"/>
    <cellStyle name="Calculation 2 3 2 4 2 3" xfId="834" xr:uid="{00000000-0005-0000-0000-000040030000}"/>
    <cellStyle name="Calculation 2 3 2 4 2 3 2" xfId="835" xr:uid="{00000000-0005-0000-0000-000041030000}"/>
    <cellStyle name="Calculation 2 3 2 4 2 4" xfId="836" xr:uid="{00000000-0005-0000-0000-000042030000}"/>
    <cellStyle name="Calculation 2 3 2 4 3" xfId="837" xr:uid="{00000000-0005-0000-0000-000043030000}"/>
    <cellStyle name="Calculation 2 3 2 4 3 2" xfId="838" xr:uid="{00000000-0005-0000-0000-000044030000}"/>
    <cellStyle name="Calculation 2 3 2 4 3 2 2" xfId="839" xr:uid="{00000000-0005-0000-0000-000045030000}"/>
    <cellStyle name="Calculation 2 3 2 4 3 3" xfId="840" xr:uid="{00000000-0005-0000-0000-000046030000}"/>
    <cellStyle name="Calculation 2 3 2 4 3 4" xfId="841" xr:uid="{00000000-0005-0000-0000-000047030000}"/>
    <cellStyle name="Calculation 2 3 2 4 4" xfId="842" xr:uid="{00000000-0005-0000-0000-000048030000}"/>
    <cellStyle name="Calculation 2 3 2 4 4 2" xfId="843" xr:uid="{00000000-0005-0000-0000-000049030000}"/>
    <cellStyle name="Calculation 2 3 2 4 4 2 2" xfId="844" xr:uid="{00000000-0005-0000-0000-00004A030000}"/>
    <cellStyle name="Calculation 2 3 2 4 4 3" xfId="845" xr:uid="{00000000-0005-0000-0000-00004B030000}"/>
    <cellStyle name="Calculation 2 3 2 4 5" xfId="846" xr:uid="{00000000-0005-0000-0000-00004C030000}"/>
    <cellStyle name="Calculation 2 3 2 4 5 2" xfId="847" xr:uid="{00000000-0005-0000-0000-00004D030000}"/>
    <cellStyle name="Calculation 2 3 2 4 6" xfId="848" xr:uid="{00000000-0005-0000-0000-00004E030000}"/>
    <cellStyle name="Calculation 2 3 2 5" xfId="849" xr:uid="{00000000-0005-0000-0000-00004F030000}"/>
    <cellStyle name="Calculation 2 3 2 5 2" xfId="850" xr:uid="{00000000-0005-0000-0000-000050030000}"/>
    <cellStyle name="Calculation 2 3 3" xfId="851" xr:uid="{00000000-0005-0000-0000-000051030000}"/>
    <cellStyle name="Calculation 2 3 3 2" xfId="852" xr:uid="{00000000-0005-0000-0000-000052030000}"/>
    <cellStyle name="Calculation 2 3 3 2 2" xfId="853" xr:uid="{00000000-0005-0000-0000-000053030000}"/>
    <cellStyle name="Calculation 2 3 3 2 2 2" xfId="854" xr:uid="{00000000-0005-0000-0000-000054030000}"/>
    <cellStyle name="Calculation 2 3 3 2 2 2 2" xfId="855" xr:uid="{00000000-0005-0000-0000-000055030000}"/>
    <cellStyle name="Calculation 2 3 3 2 2 3" xfId="856" xr:uid="{00000000-0005-0000-0000-000056030000}"/>
    <cellStyle name="Calculation 2 3 3 2 3" xfId="857" xr:uid="{00000000-0005-0000-0000-000057030000}"/>
    <cellStyle name="Calculation 2 3 3 2 3 2" xfId="858" xr:uid="{00000000-0005-0000-0000-000058030000}"/>
    <cellStyle name="Calculation 2 3 3 2 4" xfId="859" xr:uid="{00000000-0005-0000-0000-000059030000}"/>
    <cellStyle name="Calculation 2 3 3 3" xfId="860" xr:uid="{00000000-0005-0000-0000-00005A030000}"/>
    <cellStyle name="Calculation 2 3 3 3 2" xfId="861" xr:uid="{00000000-0005-0000-0000-00005B030000}"/>
    <cellStyle name="Calculation 2 3 3 3 2 2" xfId="862" xr:uid="{00000000-0005-0000-0000-00005C030000}"/>
    <cellStyle name="Calculation 2 3 3 3 3" xfId="863" xr:uid="{00000000-0005-0000-0000-00005D030000}"/>
    <cellStyle name="Calculation 2 3 3 3 4" xfId="864" xr:uid="{00000000-0005-0000-0000-00005E030000}"/>
    <cellStyle name="Calculation 2 3 3 4" xfId="865" xr:uid="{00000000-0005-0000-0000-00005F030000}"/>
    <cellStyle name="Calculation 2 3 3 4 2" xfId="866" xr:uid="{00000000-0005-0000-0000-000060030000}"/>
    <cellStyle name="Calculation 2 3 3 4 2 2" xfId="867" xr:uid="{00000000-0005-0000-0000-000061030000}"/>
    <cellStyle name="Calculation 2 3 3 4 3" xfId="868" xr:uid="{00000000-0005-0000-0000-000062030000}"/>
    <cellStyle name="Calculation 2 3 3 5" xfId="869" xr:uid="{00000000-0005-0000-0000-000063030000}"/>
    <cellStyle name="Calculation 2 3 3 5 2" xfId="870" xr:uid="{00000000-0005-0000-0000-000064030000}"/>
    <cellStyle name="Calculation 2 3 3 6" xfId="871" xr:uid="{00000000-0005-0000-0000-000065030000}"/>
    <cellStyle name="Calculation 2 3 4" xfId="872" xr:uid="{00000000-0005-0000-0000-000066030000}"/>
    <cellStyle name="Calculation 2 3 4 2" xfId="873" xr:uid="{00000000-0005-0000-0000-000067030000}"/>
    <cellStyle name="Calculation 2 3 4 2 2" xfId="874" xr:uid="{00000000-0005-0000-0000-000068030000}"/>
    <cellStyle name="Calculation 2 3 4 2 2 2" xfId="875" xr:uid="{00000000-0005-0000-0000-000069030000}"/>
    <cellStyle name="Calculation 2 3 4 2 2 2 2" xfId="876" xr:uid="{00000000-0005-0000-0000-00006A030000}"/>
    <cellStyle name="Calculation 2 3 4 2 2 3" xfId="877" xr:uid="{00000000-0005-0000-0000-00006B030000}"/>
    <cellStyle name="Calculation 2 3 4 2 3" xfId="878" xr:uid="{00000000-0005-0000-0000-00006C030000}"/>
    <cellStyle name="Calculation 2 3 4 2 3 2" xfId="879" xr:uid="{00000000-0005-0000-0000-00006D030000}"/>
    <cellStyle name="Calculation 2 3 4 2 4" xfId="880" xr:uid="{00000000-0005-0000-0000-00006E030000}"/>
    <cellStyle name="Calculation 2 3 4 3" xfId="881" xr:uid="{00000000-0005-0000-0000-00006F030000}"/>
    <cellStyle name="Calculation 2 3 4 3 2" xfId="882" xr:uid="{00000000-0005-0000-0000-000070030000}"/>
    <cellStyle name="Calculation 2 3 4 3 2 2" xfId="883" xr:uid="{00000000-0005-0000-0000-000071030000}"/>
    <cellStyle name="Calculation 2 3 4 3 3" xfId="884" xr:uid="{00000000-0005-0000-0000-000072030000}"/>
    <cellStyle name="Calculation 2 3 4 3 4" xfId="885" xr:uid="{00000000-0005-0000-0000-000073030000}"/>
    <cellStyle name="Calculation 2 3 4 4" xfId="886" xr:uid="{00000000-0005-0000-0000-000074030000}"/>
    <cellStyle name="Calculation 2 3 4 4 2" xfId="887" xr:uid="{00000000-0005-0000-0000-000075030000}"/>
    <cellStyle name="Calculation 2 3 4 4 2 2" xfId="888" xr:uid="{00000000-0005-0000-0000-000076030000}"/>
    <cellStyle name="Calculation 2 3 4 4 3" xfId="889" xr:uid="{00000000-0005-0000-0000-000077030000}"/>
    <cellStyle name="Calculation 2 3 4 5" xfId="890" xr:uid="{00000000-0005-0000-0000-000078030000}"/>
    <cellStyle name="Calculation 2 3 4 5 2" xfId="891" xr:uid="{00000000-0005-0000-0000-000079030000}"/>
    <cellStyle name="Calculation 2 3 4 6" xfId="892" xr:uid="{00000000-0005-0000-0000-00007A030000}"/>
    <cellStyle name="Calculation 2 3 5" xfId="893" xr:uid="{00000000-0005-0000-0000-00007B030000}"/>
    <cellStyle name="Calculation 2 3 5 2" xfId="894" xr:uid="{00000000-0005-0000-0000-00007C030000}"/>
    <cellStyle name="Calculation 2 3 5 2 2" xfId="895" xr:uid="{00000000-0005-0000-0000-00007D030000}"/>
    <cellStyle name="Calculation 2 3 5 2 2 2" xfId="896" xr:uid="{00000000-0005-0000-0000-00007E030000}"/>
    <cellStyle name="Calculation 2 3 5 2 2 2 2" xfId="897" xr:uid="{00000000-0005-0000-0000-00007F030000}"/>
    <cellStyle name="Calculation 2 3 5 2 2 3" xfId="898" xr:uid="{00000000-0005-0000-0000-000080030000}"/>
    <cellStyle name="Calculation 2 3 5 2 3" xfId="899" xr:uid="{00000000-0005-0000-0000-000081030000}"/>
    <cellStyle name="Calculation 2 3 5 2 3 2" xfId="900" xr:uid="{00000000-0005-0000-0000-000082030000}"/>
    <cellStyle name="Calculation 2 3 5 2 4" xfId="901" xr:uid="{00000000-0005-0000-0000-000083030000}"/>
    <cellStyle name="Calculation 2 3 5 3" xfId="902" xr:uid="{00000000-0005-0000-0000-000084030000}"/>
    <cellStyle name="Calculation 2 3 5 3 2" xfId="903" xr:uid="{00000000-0005-0000-0000-000085030000}"/>
    <cellStyle name="Calculation 2 3 5 3 2 2" xfId="904" xr:uid="{00000000-0005-0000-0000-000086030000}"/>
    <cellStyle name="Calculation 2 3 5 3 3" xfId="905" xr:uid="{00000000-0005-0000-0000-000087030000}"/>
    <cellStyle name="Calculation 2 3 5 3 4" xfId="906" xr:uid="{00000000-0005-0000-0000-000088030000}"/>
    <cellStyle name="Calculation 2 3 5 4" xfId="907" xr:uid="{00000000-0005-0000-0000-000089030000}"/>
    <cellStyle name="Calculation 2 3 5 4 2" xfId="908" xr:uid="{00000000-0005-0000-0000-00008A030000}"/>
    <cellStyle name="Calculation 2 3 5 4 2 2" xfId="909" xr:uid="{00000000-0005-0000-0000-00008B030000}"/>
    <cellStyle name="Calculation 2 3 5 4 3" xfId="910" xr:uid="{00000000-0005-0000-0000-00008C030000}"/>
    <cellStyle name="Calculation 2 3 5 5" xfId="911" xr:uid="{00000000-0005-0000-0000-00008D030000}"/>
    <cellStyle name="Calculation 2 3 5 5 2" xfId="912" xr:uid="{00000000-0005-0000-0000-00008E030000}"/>
    <cellStyle name="Calculation 2 3 5 6" xfId="913" xr:uid="{00000000-0005-0000-0000-00008F030000}"/>
    <cellStyle name="Calculation 2 4" xfId="914" xr:uid="{00000000-0005-0000-0000-000090030000}"/>
    <cellStyle name="Calculation 2 4 2" xfId="915" xr:uid="{00000000-0005-0000-0000-000091030000}"/>
    <cellStyle name="Calculation 2 4 2 2" xfId="916" xr:uid="{00000000-0005-0000-0000-000092030000}"/>
    <cellStyle name="Calculation 2 4 2 2 2" xfId="917" xr:uid="{00000000-0005-0000-0000-000093030000}"/>
    <cellStyle name="Calculation 2 4 2 2 2 2" xfId="918" xr:uid="{00000000-0005-0000-0000-000094030000}"/>
    <cellStyle name="Calculation 2 4 2 2 2 2 2" xfId="919" xr:uid="{00000000-0005-0000-0000-000095030000}"/>
    <cellStyle name="Calculation 2 4 2 2 2 3" xfId="920" xr:uid="{00000000-0005-0000-0000-000096030000}"/>
    <cellStyle name="Calculation 2 4 2 2 3" xfId="921" xr:uid="{00000000-0005-0000-0000-000097030000}"/>
    <cellStyle name="Calculation 2 4 2 2 3 2" xfId="922" xr:uid="{00000000-0005-0000-0000-000098030000}"/>
    <cellStyle name="Calculation 2 4 2 2 4" xfId="923" xr:uid="{00000000-0005-0000-0000-000099030000}"/>
    <cellStyle name="Calculation 2 4 2 3" xfId="924" xr:uid="{00000000-0005-0000-0000-00009A030000}"/>
    <cellStyle name="Calculation 2 4 2 3 2" xfId="925" xr:uid="{00000000-0005-0000-0000-00009B030000}"/>
    <cellStyle name="Calculation 2 4 2 3 2 2" xfId="926" xr:uid="{00000000-0005-0000-0000-00009C030000}"/>
    <cellStyle name="Calculation 2 4 2 3 3" xfId="927" xr:uid="{00000000-0005-0000-0000-00009D030000}"/>
    <cellStyle name="Calculation 2 4 2 3 4" xfId="928" xr:uid="{00000000-0005-0000-0000-00009E030000}"/>
    <cellStyle name="Calculation 2 4 2 4" xfId="929" xr:uid="{00000000-0005-0000-0000-00009F030000}"/>
    <cellStyle name="Calculation 2 4 2 4 2" xfId="930" xr:uid="{00000000-0005-0000-0000-0000A0030000}"/>
    <cellStyle name="Calculation 2 4 2 4 2 2" xfId="931" xr:uid="{00000000-0005-0000-0000-0000A1030000}"/>
    <cellStyle name="Calculation 2 4 2 4 3" xfId="932" xr:uid="{00000000-0005-0000-0000-0000A2030000}"/>
    <cellStyle name="Calculation 2 4 2 5" xfId="933" xr:uid="{00000000-0005-0000-0000-0000A3030000}"/>
    <cellStyle name="Calculation 2 4 2 5 2" xfId="934" xr:uid="{00000000-0005-0000-0000-0000A4030000}"/>
    <cellStyle name="Calculation 2 4 2 6" xfId="935" xr:uid="{00000000-0005-0000-0000-0000A5030000}"/>
    <cellStyle name="Calculation 2 4 3" xfId="936" xr:uid="{00000000-0005-0000-0000-0000A6030000}"/>
    <cellStyle name="Calculation 2 4 3 2" xfId="937" xr:uid="{00000000-0005-0000-0000-0000A7030000}"/>
    <cellStyle name="Calculation 2 4 3 2 2" xfId="938" xr:uid="{00000000-0005-0000-0000-0000A8030000}"/>
    <cellStyle name="Calculation 2 4 3 2 2 2" xfId="939" xr:uid="{00000000-0005-0000-0000-0000A9030000}"/>
    <cellStyle name="Calculation 2 4 3 2 2 2 2" xfId="940" xr:uid="{00000000-0005-0000-0000-0000AA030000}"/>
    <cellStyle name="Calculation 2 4 3 2 2 3" xfId="941" xr:uid="{00000000-0005-0000-0000-0000AB030000}"/>
    <cellStyle name="Calculation 2 4 3 2 3" xfId="942" xr:uid="{00000000-0005-0000-0000-0000AC030000}"/>
    <cellStyle name="Calculation 2 4 3 2 3 2" xfId="943" xr:uid="{00000000-0005-0000-0000-0000AD030000}"/>
    <cellStyle name="Calculation 2 4 3 2 4" xfId="944" xr:uid="{00000000-0005-0000-0000-0000AE030000}"/>
    <cellStyle name="Calculation 2 4 3 3" xfId="945" xr:uid="{00000000-0005-0000-0000-0000AF030000}"/>
    <cellStyle name="Calculation 2 4 3 3 2" xfId="946" xr:uid="{00000000-0005-0000-0000-0000B0030000}"/>
    <cellStyle name="Calculation 2 4 3 3 2 2" xfId="947" xr:uid="{00000000-0005-0000-0000-0000B1030000}"/>
    <cellStyle name="Calculation 2 4 3 3 3" xfId="948" xr:uid="{00000000-0005-0000-0000-0000B2030000}"/>
    <cellStyle name="Calculation 2 4 3 3 4" xfId="949" xr:uid="{00000000-0005-0000-0000-0000B3030000}"/>
    <cellStyle name="Calculation 2 4 3 4" xfId="950" xr:uid="{00000000-0005-0000-0000-0000B4030000}"/>
    <cellStyle name="Calculation 2 4 3 4 2" xfId="951" xr:uid="{00000000-0005-0000-0000-0000B5030000}"/>
    <cellStyle name="Calculation 2 4 3 4 2 2" xfId="952" xr:uid="{00000000-0005-0000-0000-0000B6030000}"/>
    <cellStyle name="Calculation 2 4 3 4 3" xfId="953" xr:uid="{00000000-0005-0000-0000-0000B7030000}"/>
    <cellStyle name="Calculation 2 4 3 5" xfId="954" xr:uid="{00000000-0005-0000-0000-0000B8030000}"/>
    <cellStyle name="Calculation 2 4 3 5 2" xfId="955" xr:uid="{00000000-0005-0000-0000-0000B9030000}"/>
    <cellStyle name="Calculation 2 4 3 6" xfId="956" xr:uid="{00000000-0005-0000-0000-0000BA030000}"/>
    <cellStyle name="Calculation 2 4 4" xfId="957" xr:uid="{00000000-0005-0000-0000-0000BB030000}"/>
    <cellStyle name="Calculation 2 4 4 2" xfId="958" xr:uid="{00000000-0005-0000-0000-0000BC030000}"/>
    <cellStyle name="Calculation 2 4 4 2 2" xfId="959" xr:uid="{00000000-0005-0000-0000-0000BD030000}"/>
    <cellStyle name="Calculation 2 4 4 2 2 2" xfId="960" xr:uid="{00000000-0005-0000-0000-0000BE030000}"/>
    <cellStyle name="Calculation 2 4 4 2 2 2 2" xfId="961" xr:uid="{00000000-0005-0000-0000-0000BF030000}"/>
    <cellStyle name="Calculation 2 4 4 2 2 3" xfId="962" xr:uid="{00000000-0005-0000-0000-0000C0030000}"/>
    <cellStyle name="Calculation 2 4 4 2 3" xfId="963" xr:uid="{00000000-0005-0000-0000-0000C1030000}"/>
    <cellStyle name="Calculation 2 4 4 2 3 2" xfId="964" xr:uid="{00000000-0005-0000-0000-0000C2030000}"/>
    <cellStyle name="Calculation 2 4 4 2 4" xfId="965" xr:uid="{00000000-0005-0000-0000-0000C3030000}"/>
    <cellStyle name="Calculation 2 4 4 3" xfId="966" xr:uid="{00000000-0005-0000-0000-0000C4030000}"/>
    <cellStyle name="Calculation 2 4 4 3 2" xfId="967" xr:uid="{00000000-0005-0000-0000-0000C5030000}"/>
    <cellStyle name="Calculation 2 4 4 3 2 2" xfId="968" xr:uid="{00000000-0005-0000-0000-0000C6030000}"/>
    <cellStyle name="Calculation 2 4 4 3 3" xfId="969" xr:uid="{00000000-0005-0000-0000-0000C7030000}"/>
    <cellStyle name="Calculation 2 4 4 3 4" xfId="970" xr:uid="{00000000-0005-0000-0000-0000C8030000}"/>
    <cellStyle name="Calculation 2 4 4 4" xfId="971" xr:uid="{00000000-0005-0000-0000-0000C9030000}"/>
    <cellStyle name="Calculation 2 4 4 4 2" xfId="972" xr:uid="{00000000-0005-0000-0000-0000CA030000}"/>
    <cellStyle name="Calculation 2 4 4 4 2 2" xfId="973" xr:uid="{00000000-0005-0000-0000-0000CB030000}"/>
    <cellStyle name="Calculation 2 4 4 4 3" xfId="974" xr:uid="{00000000-0005-0000-0000-0000CC030000}"/>
    <cellStyle name="Calculation 2 4 4 5" xfId="975" xr:uid="{00000000-0005-0000-0000-0000CD030000}"/>
    <cellStyle name="Calculation 2 4 4 5 2" xfId="976" xr:uid="{00000000-0005-0000-0000-0000CE030000}"/>
    <cellStyle name="Calculation 2 4 4 6" xfId="977" xr:uid="{00000000-0005-0000-0000-0000CF030000}"/>
    <cellStyle name="Calculation 2 4 5" xfId="978" xr:uid="{00000000-0005-0000-0000-0000D0030000}"/>
    <cellStyle name="Calculation 2 4 5 2" xfId="979" xr:uid="{00000000-0005-0000-0000-0000D1030000}"/>
    <cellStyle name="Calculation 2 5" xfId="980" xr:uid="{00000000-0005-0000-0000-0000D2030000}"/>
    <cellStyle name="Calculation 2 5 2" xfId="981" xr:uid="{00000000-0005-0000-0000-0000D3030000}"/>
    <cellStyle name="Calculation 2 5 2 2" xfId="982" xr:uid="{00000000-0005-0000-0000-0000D4030000}"/>
    <cellStyle name="Calculation 2 5 2 2 2" xfId="983" xr:uid="{00000000-0005-0000-0000-0000D5030000}"/>
    <cellStyle name="Calculation 2 5 2 2 2 2" xfId="984" xr:uid="{00000000-0005-0000-0000-0000D6030000}"/>
    <cellStyle name="Calculation 2 5 2 2 2 2 2" xfId="985" xr:uid="{00000000-0005-0000-0000-0000D7030000}"/>
    <cellStyle name="Calculation 2 5 2 2 2 3" xfId="986" xr:uid="{00000000-0005-0000-0000-0000D8030000}"/>
    <cellStyle name="Calculation 2 5 2 2 3" xfId="987" xr:uid="{00000000-0005-0000-0000-0000D9030000}"/>
    <cellStyle name="Calculation 2 5 2 2 3 2" xfId="988" xr:uid="{00000000-0005-0000-0000-0000DA030000}"/>
    <cellStyle name="Calculation 2 5 2 2 4" xfId="989" xr:uid="{00000000-0005-0000-0000-0000DB030000}"/>
    <cellStyle name="Calculation 2 5 2 3" xfId="990" xr:uid="{00000000-0005-0000-0000-0000DC030000}"/>
    <cellStyle name="Calculation 2 5 2 3 2" xfId="991" xr:uid="{00000000-0005-0000-0000-0000DD030000}"/>
    <cellStyle name="Calculation 2 5 2 3 2 2" xfId="992" xr:uid="{00000000-0005-0000-0000-0000DE030000}"/>
    <cellStyle name="Calculation 2 5 2 3 3" xfId="993" xr:uid="{00000000-0005-0000-0000-0000DF030000}"/>
    <cellStyle name="Calculation 2 5 2 3 4" xfId="994" xr:uid="{00000000-0005-0000-0000-0000E0030000}"/>
    <cellStyle name="Calculation 2 5 2 4" xfId="995" xr:uid="{00000000-0005-0000-0000-0000E1030000}"/>
    <cellStyle name="Calculation 2 5 2 4 2" xfId="996" xr:uid="{00000000-0005-0000-0000-0000E2030000}"/>
    <cellStyle name="Calculation 2 5 2 4 2 2" xfId="997" xr:uid="{00000000-0005-0000-0000-0000E3030000}"/>
    <cellStyle name="Calculation 2 5 2 4 3" xfId="998" xr:uid="{00000000-0005-0000-0000-0000E4030000}"/>
    <cellStyle name="Calculation 2 5 2 5" xfId="999" xr:uid="{00000000-0005-0000-0000-0000E5030000}"/>
    <cellStyle name="Calculation 2 5 2 5 2" xfId="1000" xr:uid="{00000000-0005-0000-0000-0000E6030000}"/>
    <cellStyle name="Calculation 2 5 2 6" xfId="1001" xr:uid="{00000000-0005-0000-0000-0000E7030000}"/>
    <cellStyle name="Calculation 2 5 3" xfId="1002" xr:uid="{00000000-0005-0000-0000-0000E8030000}"/>
    <cellStyle name="Calculation 2 5 3 2" xfId="1003" xr:uid="{00000000-0005-0000-0000-0000E9030000}"/>
    <cellStyle name="Calculation 2 5 3 2 2" xfId="1004" xr:uid="{00000000-0005-0000-0000-0000EA030000}"/>
    <cellStyle name="Calculation 2 5 3 2 2 2" xfId="1005" xr:uid="{00000000-0005-0000-0000-0000EB030000}"/>
    <cellStyle name="Calculation 2 5 3 2 2 2 2" xfId="1006" xr:uid="{00000000-0005-0000-0000-0000EC030000}"/>
    <cellStyle name="Calculation 2 5 3 2 2 3" xfId="1007" xr:uid="{00000000-0005-0000-0000-0000ED030000}"/>
    <cellStyle name="Calculation 2 5 3 2 3" xfId="1008" xr:uid="{00000000-0005-0000-0000-0000EE030000}"/>
    <cellStyle name="Calculation 2 5 3 2 3 2" xfId="1009" xr:uid="{00000000-0005-0000-0000-0000EF030000}"/>
    <cellStyle name="Calculation 2 5 3 2 4" xfId="1010" xr:uid="{00000000-0005-0000-0000-0000F0030000}"/>
    <cellStyle name="Calculation 2 5 3 3" xfId="1011" xr:uid="{00000000-0005-0000-0000-0000F1030000}"/>
    <cellStyle name="Calculation 2 5 3 3 2" xfId="1012" xr:uid="{00000000-0005-0000-0000-0000F2030000}"/>
    <cellStyle name="Calculation 2 5 3 3 2 2" xfId="1013" xr:uid="{00000000-0005-0000-0000-0000F3030000}"/>
    <cellStyle name="Calculation 2 5 3 3 3" xfId="1014" xr:uid="{00000000-0005-0000-0000-0000F4030000}"/>
    <cellStyle name="Calculation 2 5 3 3 4" xfId="1015" xr:uid="{00000000-0005-0000-0000-0000F5030000}"/>
    <cellStyle name="Calculation 2 5 3 4" xfId="1016" xr:uid="{00000000-0005-0000-0000-0000F6030000}"/>
    <cellStyle name="Calculation 2 5 3 4 2" xfId="1017" xr:uid="{00000000-0005-0000-0000-0000F7030000}"/>
    <cellStyle name="Calculation 2 5 3 4 2 2" xfId="1018" xr:uid="{00000000-0005-0000-0000-0000F8030000}"/>
    <cellStyle name="Calculation 2 5 3 4 3" xfId="1019" xr:uid="{00000000-0005-0000-0000-0000F9030000}"/>
    <cellStyle name="Calculation 2 5 3 5" xfId="1020" xr:uid="{00000000-0005-0000-0000-0000FA030000}"/>
    <cellStyle name="Calculation 2 5 3 5 2" xfId="1021" xr:uid="{00000000-0005-0000-0000-0000FB030000}"/>
    <cellStyle name="Calculation 2 5 3 6" xfId="1022" xr:uid="{00000000-0005-0000-0000-0000FC030000}"/>
    <cellStyle name="Calculation 2 5 4" xfId="1023" xr:uid="{00000000-0005-0000-0000-0000FD030000}"/>
    <cellStyle name="Calculation 2 5 4 2" xfId="1024" xr:uid="{00000000-0005-0000-0000-0000FE030000}"/>
    <cellStyle name="Calculation 2 5 4 2 2" xfId="1025" xr:uid="{00000000-0005-0000-0000-0000FF030000}"/>
    <cellStyle name="Calculation 2 5 4 2 2 2" xfId="1026" xr:uid="{00000000-0005-0000-0000-000000040000}"/>
    <cellStyle name="Calculation 2 5 4 2 3" xfId="1027" xr:uid="{00000000-0005-0000-0000-000001040000}"/>
    <cellStyle name="Calculation 2 5 4 3" xfId="1028" xr:uid="{00000000-0005-0000-0000-000002040000}"/>
    <cellStyle name="Calculation 2 5 4 3 2" xfId="1029" xr:uid="{00000000-0005-0000-0000-000003040000}"/>
    <cellStyle name="Calculation 2 5 4 4" xfId="1030" xr:uid="{00000000-0005-0000-0000-000004040000}"/>
    <cellStyle name="Calculation 2 5 5" xfId="1031" xr:uid="{00000000-0005-0000-0000-000005040000}"/>
    <cellStyle name="Calculation 2 5 5 2" xfId="1032" xr:uid="{00000000-0005-0000-0000-000006040000}"/>
    <cellStyle name="Calculation 2 5 5 2 2" xfId="1033" xr:uid="{00000000-0005-0000-0000-000007040000}"/>
    <cellStyle name="Calculation 2 5 5 3" xfId="1034" xr:uid="{00000000-0005-0000-0000-000008040000}"/>
    <cellStyle name="Calculation 2 5 5 4" xfId="1035" xr:uid="{00000000-0005-0000-0000-000009040000}"/>
    <cellStyle name="Calculation 2 5 6" xfId="1036" xr:uid="{00000000-0005-0000-0000-00000A040000}"/>
    <cellStyle name="Calculation 2 5 6 2" xfId="1037" xr:uid="{00000000-0005-0000-0000-00000B040000}"/>
    <cellStyle name="Calculation 2 5 6 2 2" xfId="1038" xr:uid="{00000000-0005-0000-0000-00000C040000}"/>
    <cellStyle name="Calculation 2 5 6 3" xfId="1039" xr:uid="{00000000-0005-0000-0000-00000D040000}"/>
    <cellStyle name="Calculation 2 5 7" xfId="1040" xr:uid="{00000000-0005-0000-0000-00000E040000}"/>
    <cellStyle name="Calculation 2 5 7 2" xfId="1041" xr:uid="{00000000-0005-0000-0000-00000F040000}"/>
    <cellStyle name="Calculation 2 5 8" xfId="1042" xr:uid="{00000000-0005-0000-0000-000010040000}"/>
    <cellStyle name="Calculation 2 6" xfId="1043" xr:uid="{00000000-0005-0000-0000-000011040000}"/>
    <cellStyle name="Calculation 2 6 2" xfId="1044" xr:uid="{00000000-0005-0000-0000-000012040000}"/>
    <cellStyle name="Calculation 2 6 2 2" xfId="1045" xr:uid="{00000000-0005-0000-0000-000013040000}"/>
    <cellStyle name="Calculation 2 6 2 2 2" xfId="1046" xr:uid="{00000000-0005-0000-0000-000014040000}"/>
    <cellStyle name="Calculation 2 6 2 2 2 2" xfId="1047" xr:uid="{00000000-0005-0000-0000-000015040000}"/>
    <cellStyle name="Calculation 2 6 2 2 3" xfId="1048" xr:uid="{00000000-0005-0000-0000-000016040000}"/>
    <cellStyle name="Calculation 2 6 2 3" xfId="1049" xr:uid="{00000000-0005-0000-0000-000017040000}"/>
    <cellStyle name="Calculation 2 6 2 3 2" xfId="1050" xr:uid="{00000000-0005-0000-0000-000018040000}"/>
    <cellStyle name="Calculation 2 6 2 4" xfId="1051" xr:uid="{00000000-0005-0000-0000-000019040000}"/>
    <cellStyle name="Calculation 2 6 3" xfId="1052" xr:uid="{00000000-0005-0000-0000-00001A040000}"/>
    <cellStyle name="Calculation 2 6 3 2" xfId="1053" xr:uid="{00000000-0005-0000-0000-00001B040000}"/>
    <cellStyle name="Calculation 2 6 3 2 2" xfId="1054" xr:uid="{00000000-0005-0000-0000-00001C040000}"/>
    <cellStyle name="Calculation 2 6 3 3" xfId="1055" xr:uid="{00000000-0005-0000-0000-00001D040000}"/>
    <cellStyle name="Calculation 2 6 3 4" xfId="1056" xr:uid="{00000000-0005-0000-0000-00001E040000}"/>
    <cellStyle name="Calculation 2 6 4" xfId="1057" xr:uid="{00000000-0005-0000-0000-00001F040000}"/>
    <cellStyle name="Calculation 2 6 4 2" xfId="1058" xr:uid="{00000000-0005-0000-0000-000020040000}"/>
    <cellStyle name="Calculation 2 6 4 2 2" xfId="1059" xr:uid="{00000000-0005-0000-0000-000021040000}"/>
    <cellStyle name="Calculation 2 6 4 3" xfId="1060" xr:uid="{00000000-0005-0000-0000-000022040000}"/>
    <cellStyle name="Calculation 2 6 5" xfId="1061" xr:uid="{00000000-0005-0000-0000-000023040000}"/>
    <cellStyle name="Calculation 2 6 5 2" xfId="1062" xr:uid="{00000000-0005-0000-0000-000024040000}"/>
    <cellStyle name="Calculation 2 6 6" xfId="1063" xr:uid="{00000000-0005-0000-0000-000025040000}"/>
    <cellStyle name="Calculation 3" xfId="1064" xr:uid="{00000000-0005-0000-0000-000026040000}"/>
    <cellStyle name="Calculation 3 2" xfId="1065" xr:uid="{00000000-0005-0000-0000-000027040000}"/>
    <cellStyle name="Calculation 3 2 2" xfId="1066" xr:uid="{00000000-0005-0000-0000-000028040000}"/>
    <cellStyle name="Calculation 3 2 2 2" xfId="1067" xr:uid="{00000000-0005-0000-0000-000029040000}"/>
    <cellStyle name="Calculation 3 2 2 2 2" xfId="1068" xr:uid="{00000000-0005-0000-0000-00002A040000}"/>
    <cellStyle name="Calculation 3 2 2 2 2 2" xfId="1069" xr:uid="{00000000-0005-0000-0000-00002B040000}"/>
    <cellStyle name="Calculation 3 2 2 2 2 2 2" xfId="1070" xr:uid="{00000000-0005-0000-0000-00002C040000}"/>
    <cellStyle name="Calculation 3 2 2 2 2 2 2 2" xfId="1071" xr:uid="{00000000-0005-0000-0000-00002D040000}"/>
    <cellStyle name="Calculation 3 2 2 2 2 2 3" xfId="1072" xr:uid="{00000000-0005-0000-0000-00002E040000}"/>
    <cellStyle name="Calculation 3 2 2 2 2 3" xfId="1073" xr:uid="{00000000-0005-0000-0000-00002F040000}"/>
    <cellStyle name="Calculation 3 2 2 2 2 3 2" xfId="1074" xr:uid="{00000000-0005-0000-0000-000030040000}"/>
    <cellStyle name="Calculation 3 2 2 2 2 4" xfId="1075" xr:uid="{00000000-0005-0000-0000-000031040000}"/>
    <cellStyle name="Calculation 3 2 2 2 3" xfId="1076" xr:uid="{00000000-0005-0000-0000-000032040000}"/>
    <cellStyle name="Calculation 3 2 2 2 3 2" xfId="1077" xr:uid="{00000000-0005-0000-0000-000033040000}"/>
    <cellStyle name="Calculation 3 2 2 2 3 2 2" xfId="1078" xr:uid="{00000000-0005-0000-0000-000034040000}"/>
    <cellStyle name="Calculation 3 2 2 2 3 3" xfId="1079" xr:uid="{00000000-0005-0000-0000-000035040000}"/>
    <cellStyle name="Calculation 3 2 2 2 3 4" xfId="1080" xr:uid="{00000000-0005-0000-0000-000036040000}"/>
    <cellStyle name="Calculation 3 2 2 2 4" xfId="1081" xr:uid="{00000000-0005-0000-0000-000037040000}"/>
    <cellStyle name="Calculation 3 2 2 2 4 2" xfId="1082" xr:uid="{00000000-0005-0000-0000-000038040000}"/>
    <cellStyle name="Calculation 3 2 2 2 4 2 2" xfId="1083" xr:uid="{00000000-0005-0000-0000-000039040000}"/>
    <cellStyle name="Calculation 3 2 2 2 4 3" xfId="1084" xr:uid="{00000000-0005-0000-0000-00003A040000}"/>
    <cellStyle name="Calculation 3 2 2 2 5" xfId="1085" xr:uid="{00000000-0005-0000-0000-00003B040000}"/>
    <cellStyle name="Calculation 3 2 2 2 5 2" xfId="1086" xr:uid="{00000000-0005-0000-0000-00003C040000}"/>
    <cellStyle name="Calculation 3 2 2 2 6" xfId="1087" xr:uid="{00000000-0005-0000-0000-00003D040000}"/>
    <cellStyle name="Calculation 3 2 2 3" xfId="1088" xr:uid="{00000000-0005-0000-0000-00003E040000}"/>
    <cellStyle name="Calculation 3 2 2 3 2" xfId="1089" xr:uid="{00000000-0005-0000-0000-00003F040000}"/>
    <cellStyle name="Calculation 3 2 2 3 2 2" xfId="1090" xr:uid="{00000000-0005-0000-0000-000040040000}"/>
    <cellStyle name="Calculation 3 2 2 3 2 2 2" xfId="1091" xr:uid="{00000000-0005-0000-0000-000041040000}"/>
    <cellStyle name="Calculation 3 2 2 3 2 2 2 2" xfId="1092" xr:uid="{00000000-0005-0000-0000-000042040000}"/>
    <cellStyle name="Calculation 3 2 2 3 2 2 3" xfId="1093" xr:uid="{00000000-0005-0000-0000-000043040000}"/>
    <cellStyle name="Calculation 3 2 2 3 2 3" xfId="1094" xr:uid="{00000000-0005-0000-0000-000044040000}"/>
    <cellStyle name="Calculation 3 2 2 3 2 3 2" xfId="1095" xr:uid="{00000000-0005-0000-0000-000045040000}"/>
    <cellStyle name="Calculation 3 2 2 3 2 4" xfId="1096" xr:uid="{00000000-0005-0000-0000-000046040000}"/>
    <cellStyle name="Calculation 3 2 2 3 3" xfId="1097" xr:uid="{00000000-0005-0000-0000-000047040000}"/>
    <cellStyle name="Calculation 3 2 2 3 3 2" xfId="1098" xr:uid="{00000000-0005-0000-0000-000048040000}"/>
    <cellStyle name="Calculation 3 2 2 3 3 2 2" xfId="1099" xr:uid="{00000000-0005-0000-0000-000049040000}"/>
    <cellStyle name="Calculation 3 2 2 3 3 3" xfId="1100" xr:uid="{00000000-0005-0000-0000-00004A040000}"/>
    <cellStyle name="Calculation 3 2 2 3 3 4" xfId="1101" xr:uid="{00000000-0005-0000-0000-00004B040000}"/>
    <cellStyle name="Calculation 3 2 2 3 4" xfId="1102" xr:uid="{00000000-0005-0000-0000-00004C040000}"/>
    <cellStyle name="Calculation 3 2 2 3 4 2" xfId="1103" xr:uid="{00000000-0005-0000-0000-00004D040000}"/>
    <cellStyle name="Calculation 3 2 2 3 4 2 2" xfId="1104" xr:uid="{00000000-0005-0000-0000-00004E040000}"/>
    <cellStyle name="Calculation 3 2 2 3 4 3" xfId="1105" xr:uid="{00000000-0005-0000-0000-00004F040000}"/>
    <cellStyle name="Calculation 3 2 2 3 5" xfId="1106" xr:uid="{00000000-0005-0000-0000-000050040000}"/>
    <cellStyle name="Calculation 3 2 2 3 5 2" xfId="1107" xr:uid="{00000000-0005-0000-0000-000051040000}"/>
    <cellStyle name="Calculation 3 2 2 3 6" xfId="1108" xr:uid="{00000000-0005-0000-0000-000052040000}"/>
    <cellStyle name="Calculation 3 2 2 4" xfId="1109" xr:uid="{00000000-0005-0000-0000-000053040000}"/>
    <cellStyle name="Calculation 3 2 2 4 2" xfId="1110" xr:uid="{00000000-0005-0000-0000-000054040000}"/>
    <cellStyle name="Calculation 3 2 2 4 2 2" xfId="1111" xr:uid="{00000000-0005-0000-0000-000055040000}"/>
    <cellStyle name="Calculation 3 2 2 4 2 2 2" xfId="1112" xr:uid="{00000000-0005-0000-0000-000056040000}"/>
    <cellStyle name="Calculation 3 2 2 4 2 2 2 2" xfId="1113" xr:uid="{00000000-0005-0000-0000-000057040000}"/>
    <cellStyle name="Calculation 3 2 2 4 2 2 3" xfId="1114" xr:uid="{00000000-0005-0000-0000-000058040000}"/>
    <cellStyle name="Calculation 3 2 2 4 2 3" xfId="1115" xr:uid="{00000000-0005-0000-0000-000059040000}"/>
    <cellStyle name="Calculation 3 2 2 4 2 3 2" xfId="1116" xr:uid="{00000000-0005-0000-0000-00005A040000}"/>
    <cellStyle name="Calculation 3 2 2 4 2 4" xfId="1117" xr:uid="{00000000-0005-0000-0000-00005B040000}"/>
    <cellStyle name="Calculation 3 2 2 4 3" xfId="1118" xr:uid="{00000000-0005-0000-0000-00005C040000}"/>
    <cellStyle name="Calculation 3 2 2 4 3 2" xfId="1119" xr:uid="{00000000-0005-0000-0000-00005D040000}"/>
    <cellStyle name="Calculation 3 2 2 4 3 2 2" xfId="1120" xr:uid="{00000000-0005-0000-0000-00005E040000}"/>
    <cellStyle name="Calculation 3 2 2 4 3 3" xfId="1121" xr:uid="{00000000-0005-0000-0000-00005F040000}"/>
    <cellStyle name="Calculation 3 2 2 4 3 4" xfId="1122" xr:uid="{00000000-0005-0000-0000-000060040000}"/>
    <cellStyle name="Calculation 3 2 2 4 4" xfId="1123" xr:uid="{00000000-0005-0000-0000-000061040000}"/>
    <cellStyle name="Calculation 3 2 2 4 4 2" xfId="1124" xr:uid="{00000000-0005-0000-0000-000062040000}"/>
    <cellStyle name="Calculation 3 2 2 4 4 2 2" xfId="1125" xr:uid="{00000000-0005-0000-0000-000063040000}"/>
    <cellStyle name="Calculation 3 2 2 4 4 3" xfId="1126" xr:uid="{00000000-0005-0000-0000-000064040000}"/>
    <cellStyle name="Calculation 3 2 2 4 5" xfId="1127" xr:uid="{00000000-0005-0000-0000-000065040000}"/>
    <cellStyle name="Calculation 3 2 2 4 5 2" xfId="1128" xr:uid="{00000000-0005-0000-0000-000066040000}"/>
    <cellStyle name="Calculation 3 2 2 4 6" xfId="1129" xr:uid="{00000000-0005-0000-0000-000067040000}"/>
    <cellStyle name="Calculation 3 2 2 5" xfId="1130" xr:uid="{00000000-0005-0000-0000-000068040000}"/>
    <cellStyle name="Calculation 3 2 2 5 2" xfId="1131" xr:uid="{00000000-0005-0000-0000-000069040000}"/>
    <cellStyle name="Calculation 3 2 3" xfId="1132" xr:uid="{00000000-0005-0000-0000-00006A040000}"/>
    <cellStyle name="Calculation 3 2 3 2" xfId="1133" xr:uid="{00000000-0005-0000-0000-00006B040000}"/>
    <cellStyle name="Calculation 3 2 3 2 2" xfId="1134" xr:uid="{00000000-0005-0000-0000-00006C040000}"/>
    <cellStyle name="Calculation 3 2 3 2 2 2" xfId="1135" xr:uid="{00000000-0005-0000-0000-00006D040000}"/>
    <cellStyle name="Calculation 3 2 3 2 2 2 2" xfId="1136" xr:uid="{00000000-0005-0000-0000-00006E040000}"/>
    <cellStyle name="Calculation 3 2 3 2 2 3" xfId="1137" xr:uid="{00000000-0005-0000-0000-00006F040000}"/>
    <cellStyle name="Calculation 3 2 3 2 3" xfId="1138" xr:uid="{00000000-0005-0000-0000-000070040000}"/>
    <cellStyle name="Calculation 3 2 3 2 3 2" xfId="1139" xr:uid="{00000000-0005-0000-0000-000071040000}"/>
    <cellStyle name="Calculation 3 2 3 2 4" xfId="1140" xr:uid="{00000000-0005-0000-0000-000072040000}"/>
    <cellStyle name="Calculation 3 2 3 3" xfId="1141" xr:uid="{00000000-0005-0000-0000-000073040000}"/>
    <cellStyle name="Calculation 3 2 3 3 2" xfId="1142" xr:uid="{00000000-0005-0000-0000-000074040000}"/>
    <cellStyle name="Calculation 3 2 3 3 2 2" xfId="1143" xr:uid="{00000000-0005-0000-0000-000075040000}"/>
    <cellStyle name="Calculation 3 2 3 3 3" xfId="1144" xr:uid="{00000000-0005-0000-0000-000076040000}"/>
    <cellStyle name="Calculation 3 2 3 3 4" xfId="1145" xr:uid="{00000000-0005-0000-0000-000077040000}"/>
    <cellStyle name="Calculation 3 2 3 4" xfId="1146" xr:uid="{00000000-0005-0000-0000-000078040000}"/>
    <cellStyle name="Calculation 3 2 3 4 2" xfId="1147" xr:uid="{00000000-0005-0000-0000-000079040000}"/>
    <cellStyle name="Calculation 3 2 3 4 2 2" xfId="1148" xr:uid="{00000000-0005-0000-0000-00007A040000}"/>
    <cellStyle name="Calculation 3 2 3 4 3" xfId="1149" xr:uid="{00000000-0005-0000-0000-00007B040000}"/>
    <cellStyle name="Calculation 3 2 3 5" xfId="1150" xr:uid="{00000000-0005-0000-0000-00007C040000}"/>
    <cellStyle name="Calculation 3 2 3 5 2" xfId="1151" xr:uid="{00000000-0005-0000-0000-00007D040000}"/>
    <cellStyle name="Calculation 3 2 3 6" xfId="1152" xr:uid="{00000000-0005-0000-0000-00007E040000}"/>
    <cellStyle name="Calculation 3 2 4" xfId="1153" xr:uid="{00000000-0005-0000-0000-00007F040000}"/>
    <cellStyle name="Calculation 3 2 4 2" xfId="1154" xr:uid="{00000000-0005-0000-0000-000080040000}"/>
    <cellStyle name="Calculation 3 2 4 2 2" xfId="1155" xr:uid="{00000000-0005-0000-0000-000081040000}"/>
    <cellStyle name="Calculation 3 2 4 2 2 2" xfId="1156" xr:uid="{00000000-0005-0000-0000-000082040000}"/>
    <cellStyle name="Calculation 3 2 4 2 2 2 2" xfId="1157" xr:uid="{00000000-0005-0000-0000-000083040000}"/>
    <cellStyle name="Calculation 3 2 4 2 2 3" xfId="1158" xr:uid="{00000000-0005-0000-0000-000084040000}"/>
    <cellStyle name="Calculation 3 2 4 2 3" xfId="1159" xr:uid="{00000000-0005-0000-0000-000085040000}"/>
    <cellStyle name="Calculation 3 2 4 2 3 2" xfId="1160" xr:uid="{00000000-0005-0000-0000-000086040000}"/>
    <cellStyle name="Calculation 3 2 4 2 4" xfId="1161" xr:uid="{00000000-0005-0000-0000-000087040000}"/>
    <cellStyle name="Calculation 3 2 4 3" xfId="1162" xr:uid="{00000000-0005-0000-0000-000088040000}"/>
    <cellStyle name="Calculation 3 2 4 3 2" xfId="1163" xr:uid="{00000000-0005-0000-0000-000089040000}"/>
    <cellStyle name="Calculation 3 2 4 3 2 2" xfId="1164" xr:uid="{00000000-0005-0000-0000-00008A040000}"/>
    <cellStyle name="Calculation 3 2 4 3 3" xfId="1165" xr:uid="{00000000-0005-0000-0000-00008B040000}"/>
    <cellStyle name="Calculation 3 2 4 3 4" xfId="1166" xr:uid="{00000000-0005-0000-0000-00008C040000}"/>
    <cellStyle name="Calculation 3 2 4 4" xfId="1167" xr:uid="{00000000-0005-0000-0000-00008D040000}"/>
    <cellStyle name="Calculation 3 2 4 4 2" xfId="1168" xr:uid="{00000000-0005-0000-0000-00008E040000}"/>
    <cellStyle name="Calculation 3 2 4 4 2 2" xfId="1169" xr:uid="{00000000-0005-0000-0000-00008F040000}"/>
    <cellStyle name="Calculation 3 2 4 4 3" xfId="1170" xr:uid="{00000000-0005-0000-0000-000090040000}"/>
    <cellStyle name="Calculation 3 2 4 5" xfId="1171" xr:uid="{00000000-0005-0000-0000-000091040000}"/>
    <cellStyle name="Calculation 3 2 4 5 2" xfId="1172" xr:uid="{00000000-0005-0000-0000-000092040000}"/>
    <cellStyle name="Calculation 3 2 4 6" xfId="1173" xr:uid="{00000000-0005-0000-0000-000093040000}"/>
    <cellStyle name="Calculation 3 2 5" xfId="1174" xr:uid="{00000000-0005-0000-0000-000094040000}"/>
    <cellStyle name="Calculation 3 2 5 2" xfId="1175" xr:uid="{00000000-0005-0000-0000-000095040000}"/>
    <cellStyle name="Calculation 3 2 5 2 2" xfId="1176" xr:uid="{00000000-0005-0000-0000-000096040000}"/>
    <cellStyle name="Calculation 3 2 5 2 2 2" xfId="1177" xr:uid="{00000000-0005-0000-0000-000097040000}"/>
    <cellStyle name="Calculation 3 2 5 2 2 2 2" xfId="1178" xr:uid="{00000000-0005-0000-0000-000098040000}"/>
    <cellStyle name="Calculation 3 2 5 2 2 3" xfId="1179" xr:uid="{00000000-0005-0000-0000-000099040000}"/>
    <cellStyle name="Calculation 3 2 5 2 3" xfId="1180" xr:uid="{00000000-0005-0000-0000-00009A040000}"/>
    <cellStyle name="Calculation 3 2 5 2 3 2" xfId="1181" xr:uid="{00000000-0005-0000-0000-00009B040000}"/>
    <cellStyle name="Calculation 3 2 5 2 4" xfId="1182" xr:uid="{00000000-0005-0000-0000-00009C040000}"/>
    <cellStyle name="Calculation 3 2 5 3" xfId="1183" xr:uid="{00000000-0005-0000-0000-00009D040000}"/>
    <cellStyle name="Calculation 3 2 5 3 2" xfId="1184" xr:uid="{00000000-0005-0000-0000-00009E040000}"/>
    <cellStyle name="Calculation 3 2 5 3 2 2" xfId="1185" xr:uid="{00000000-0005-0000-0000-00009F040000}"/>
    <cellStyle name="Calculation 3 2 5 3 3" xfId="1186" xr:uid="{00000000-0005-0000-0000-0000A0040000}"/>
    <cellStyle name="Calculation 3 2 5 3 4" xfId="1187" xr:uid="{00000000-0005-0000-0000-0000A1040000}"/>
    <cellStyle name="Calculation 3 2 5 4" xfId="1188" xr:uid="{00000000-0005-0000-0000-0000A2040000}"/>
    <cellStyle name="Calculation 3 2 5 4 2" xfId="1189" xr:uid="{00000000-0005-0000-0000-0000A3040000}"/>
    <cellStyle name="Calculation 3 2 5 4 2 2" xfId="1190" xr:uid="{00000000-0005-0000-0000-0000A4040000}"/>
    <cellStyle name="Calculation 3 2 5 4 3" xfId="1191" xr:uid="{00000000-0005-0000-0000-0000A5040000}"/>
    <cellStyle name="Calculation 3 2 5 5" xfId="1192" xr:uid="{00000000-0005-0000-0000-0000A6040000}"/>
    <cellStyle name="Calculation 3 2 5 5 2" xfId="1193" xr:uid="{00000000-0005-0000-0000-0000A7040000}"/>
    <cellStyle name="Calculation 3 2 5 6" xfId="1194" xr:uid="{00000000-0005-0000-0000-0000A8040000}"/>
    <cellStyle name="Calculation 3 3" xfId="1195" xr:uid="{00000000-0005-0000-0000-0000A9040000}"/>
    <cellStyle name="Calculation 3 3 2" xfId="1196" xr:uid="{00000000-0005-0000-0000-0000AA040000}"/>
    <cellStyle name="Calculation 3 3 2 2" xfId="1197" xr:uid="{00000000-0005-0000-0000-0000AB040000}"/>
    <cellStyle name="Calculation 3 3 2 2 2" xfId="1198" xr:uid="{00000000-0005-0000-0000-0000AC040000}"/>
    <cellStyle name="Calculation 3 3 2 2 2 2" xfId="1199" xr:uid="{00000000-0005-0000-0000-0000AD040000}"/>
    <cellStyle name="Calculation 3 3 2 2 2 2 2" xfId="1200" xr:uid="{00000000-0005-0000-0000-0000AE040000}"/>
    <cellStyle name="Calculation 3 3 2 2 2 3" xfId="1201" xr:uid="{00000000-0005-0000-0000-0000AF040000}"/>
    <cellStyle name="Calculation 3 3 2 2 3" xfId="1202" xr:uid="{00000000-0005-0000-0000-0000B0040000}"/>
    <cellStyle name="Calculation 3 3 2 2 3 2" xfId="1203" xr:uid="{00000000-0005-0000-0000-0000B1040000}"/>
    <cellStyle name="Calculation 3 3 2 2 4" xfId="1204" xr:uid="{00000000-0005-0000-0000-0000B2040000}"/>
    <cellStyle name="Calculation 3 3 2 3" xfId="1205" xr:uid="{00000000-0005-0000-0000-0000B3040000}"/>
    <cellStyle name="Calculation 3 3 2 3 2" xfId="1206" xr:uid="{00000000-0005-0000-0000-0000B4040000}"/>
    <cellStyle name="Calculation 3 3 2 3 2 2" xfId="1207" xr:uid="{00000000-0005-0000-0000-0000B5040000}"/>
    <cellStyle name="Calculation 3 3 2 3 3" xfId="1208" xr:uid="{00000000-0005-0000-0000-0000B6040000}"/>
    <cellStyle name="Calculation 3 3 2 3 4" xfId="1209" xr:uid="{00000000-0005-0000-0000-0000B7040000}"/>
    <cellStyle name="Calculation 3 3 2 4" xfId="1210" xr:uid="{00000000-0005-0000-0000-0000B8040000}"/>
    <cellStyle name="Calculation 3 3 2 4 2" xfId="1211" xr:uid="{00000000-0005-0000-0000-0000B9040000}"/>
    <cellStyle name="Calculation 3 3 2 4 2 2" xfId="1212" xr:uid="{00000000-0005-0000-0000-0000BA040000}"/>
    <cellStyle name="Calculation 3 3 2 4 3" xfId="1213" xr:uid="{00000000-0005-0000-0000-0000BB040000}"/>
    <cellStyle name="Calculation 3 3 2 5" xfId="1214" xr:uid="{00000000-0005-0000-0000-0000BC040000}"/>
    <cellStyle name="Calculation 3 3 2 5 2" xfId="1215" xr:uid="{00000000-0005-0000-0000-0000BD040000}"/>
    <cellStyle name="Calculation 3 3 2 6" xfId="1216" xr:uid="{00000000-0005-0000-0000-0000BE040000}"/>
    <cellStyle name="Calculation 3 3 3" xfId="1217" xr:uid="{00000000-0005-0000-0000-0000BF040000}"/>
    <cellStyle name="Calculation 3 3 3 2" xfId="1218" xr:uid="{00000000-0005-0000-0000-0000C0040000}"/>
    <cellStyle name="Calculation 3 3 3 2 2" xfId="1219" xr:uid="{00000000-0005-0000-0000-0000C1040000}"/>
    <cellStyle name="Calculation 3 3 3 2 2 2" xfId="1220" xr:uid="{00000000-0005-0000-0000-0000C2040000}"/>
    <cellStyle name="Calculation 3 3 3 2 2 2 2" xfId="1221" xr:uid="{00000000-0005-0000-0000-0000C3040000}"/>
    <cellStyle name="Calculation 3 3 3 2 2 3" xfId="1222" xr:uid="{00000000-0005-0000-0000-0000C4040000}"/>
    <cellStyle name="Calculation 3 3 3 2 3" xfId="1223" xr:uid="{00000000-0005-0000-0000-0000C5040000}"/>
    <cellStyle name="Calculation 3 3 3 2 3 2" xfId="1224" xr:uid="{00000000-0005-0000-0000-0000C6040000}"/>
    <cellStyle name="Calculation 3 3 3 2 4" xfId="1225" xr:uid="{00000000-0005-0000-0000-0000C7040000}"/>
    <cellStyle name="Calculation 3 3 3 3" xfId="1226" xr:uid="{00000000-0005-0000-0000-0000C8040000}"/>
    <cellStyle name="Calculation 3 3 3 3 2" xfId="1227" xr:uid="{00000000-0005-0000-0000-0000C9040000}"/>
    <cellStyle name="Calculation 3 3 3 3 2 2" xfId="1228" xr:uid="{00000000-0005-0000-0000-0000CA040000}"/>
    <cellStyle name="Calculation 3 3 3 3 3" xfId="1229" xr:uid="{00000000-0005-0000-0000-0000CB040000}"/>
    <cellStyle name="Calculation 3 3 3 3 4" xfId="1230" xr:uid="{00000000-0005-0000-0000-0000CC040000}"/>
    <cellStyle name="Calculation 3 3 3 4" xfId="1231" xr:uid="{00000000-0005-0000-0000-0000CD040000}"/>
    <cellStyle name="Calculation 3 3 3 4 2" xfId="1232" xr:uid="{00000000-0005-0000-0000-0000CE040000}"/>
    <cellStyle name="Calculation 3 3 3 4 2 2" xfId="1233" xr:uid="{00000000-0005-0000-0000-0000CF040000}"/>
    <cellStyle name="Calculation 3 3 3 4 3" xfId="1234" xr:uid="{00000000-0005-0000-0000-0000D0040000}"/>
    <cellStyle name="Calculation 3 3 3 5" xfId="1235" xr:uid="{00000000-0005-0000-0000-0000D1040000}"/>
    <cellStyle name="Calculation 3 3 3 5 2" xfId="1236" xr:uid="{00000000-0005-0000-0000-0000D2040000}"/>
    <cellStyle name="Calculation 3 3 3 6" xfId="1237" xr:uid="{00000000-0005-0000-0000-0000D3040000}"/>
    <cellStyle name="Calculation 3 3 4" xfId="1238" xr:uid="{00000000-0005-0000-0000-0000D4040000}"/>
    <cellStyle name="Calculation 3 3 4 2" xfId="1239" xr:uid="{00000000-0005-0000-0000-0000D5040000}"/>
    <cellStyle name="Calculation 3 3 4 2 2" xfId="1240" xr:uid="{00000000-0005-0000-0000-0000D6040000}"/>
    <cellStyle name="Calculation 3 3 4 2 2 2" xfId="1241" xr:uid="{00000000-0005-0000-0000-0000D7040000}"/>
    <cellStyle name="Calculation 3 3 4 2 2 2 2" xfId="1242" xr:uid="{00000000-0005-0000-0000-0000D8040000}"/>
    <cellStyle name="Calculation 3 3 4 2 2 3" xfId="1243" xr:uid="{00000000-0005-0000-0000-0000D9040000}"/>
    <cellStyle name="Calculation 3 3 4 2 3" xfId="1244" xr:uid="{00000000-0005-0000-0000-0000DA040000}"/>
    <cellStyle name="Calculation 3 3 4 2 3 2" xfId="1245" xr:uid="{00000000-0005-0000-0000-0000DB040000}"/>
    <cellStyle name="Calculation 3 3 4 2 4" xfId="1246" xr:uid="{00000000-0005-0000-0000-0000DC040000}"/>
    <cellStyle name="Calculation 3 3 4 3" xfId="1247" xr:uid="{00000000-0005-0000-0000-0000DD040000}"/>
    <cellStyle name="Calculation 3 3 4 3 2" xfId="1248" xr:uid="{00000000-0005-0000-0000-0000DE040000}"/>
    <cellStyle name="Calculation 3 3 4 3 2 2" xfId="1249" xr:uid="{00000000-0005-0000-0000-0000DF040000}"/>
    <cellStyle name="Calculation 3 3 4 3 3" xfId="1250" xr:uid="{00000000-0005-0000-0000-0000E0040000}"/>
    <cellStyle name="Calculation 3 3 4 3 4" xfId="1251" xr:uid="{00000000-0005-0000-0000-0000E1040000}"/>
    <cellStyle name="Calculation 3 3 4 4" xfId="1252" xr:uid="{00000000-0005-0000-0000-0000E2040000}"/>
    <cellStyle name="Calculation 3 3 4 4 2" xfId="1253" xr:uid="{00000000-0005-0000-0000-0000E3040000}"/>
    <cellStyle name="Calculation 3 3 4 4 2 2" xfId="1254" xr:uid="{00000000-0005-0000-0000-0000E4040000}"/>
    <cellStyle name="Calculation 3 3 4 4 3" xfId="1255" xr:uid="{00000000-0005-0000-0000-0000E5040000}"/>
    <cellStyle name="Calculation 3 3 4 5" xfId="1256" xr:uid="{00000000-0005-0000-0000-0000E6040000}"/>
    <cellStyle name="Calculation 3 3 4 5 2" xfId="1257" xr:uid="{00000000-0005-0000-0000-0000E7040000}"/>
    <cellStyle name="Calculation 3 3 4 6" xfId="1258" xr:uid="{00000000-0005-0000-0000-0000E8040000}"/>
    <cellStyle name="Calculation 3 3 5" xfId="1259" xr:uid="{00000000-0005-0000-0000-0000E9040000}"/>
    <cellStyle name="Calculation 3 3 5 2" xfId="1260" xr:uid="{00000000-0005-0000-0000-0000EA040000}"/>
    <cellStyle name="Calculation 3 4" xfId="1261" xr:uid="{00000000-0005-0000-0000-0000EB040000}"/>
    <cellStyle name="Calculation 3 4 2" xfId="1262" xr:uid="{00000000-0005-0000-0000-0000EC040000}"/>
    <cellStyle name="Calculation 3 4 2 2" xfId="1263" xr:uid="{00000000-0005-0000-0000-0000ED040000}"/>
    <cellStyle name="Calculation 3 4 2 2 2" xfId="1264" xr:uid="{00000000-0005-0000-0000-0000EE040000}"/>
    <cellStyle name="Calculation 3 4 2 2 2 2" xfId="1265" xr:uid="{00000000-0005-0000-0000-0000EF040000}"/>
    <cellStyle name="Calculation 3 4 2 2 2 2 2" xfId="1266" xr:uid="{00000000-0005-0000-0000-0000F0040000}"/>
    <cellStyle name="Calculation 3 4 2 2 2 3" xfId="1267" xr:uid="{00000000-0005-0000-0000-0000F1040000}"/>
    <cellStyle name="Calculation 3 4 2 2 3" xfId="1268" xr:uid="{00000000-0005-0000-0000-0000F2040000}"/>
    <cellStyle name="Calculation 3 4 2 2 3 2" xfId="1269" xr:uid="{00000000-0005-0000-0000-0000F3040000}"/>
    <cellStyle name="Calculation 3 4 2 2 4" xfId="1270" xr:uid="{00000000-0005-0000-0000-0000F4040000}"/>
    <cellStyle name="Calculation 3 4 2 3" xfId="1271" xr:uid="{00000000-0005-0000-0000-0000F5040000}"/>
    <cellStyle name="Calculation 3 4 2 3 2" xfId="1272" xr:uid="{00000000-0005-0000-0000-0000F6040000}"/>
    <cellStyle name="Calculation 3 4 2 3 2 2" xfId="1273" xr:uid="{00000000-0005-0000-0000-0000F7040000}"/>
    <cellStyle name="Calculation 3 4 2 3 3" xfId="1274" xr:uid="{00000000-0005-0000-0000-0000F8040000}"/>
    <cellStyle name="Calculation 3 4 2 3 4" xfId="1275" xr:uid="{00000000-0005-0000-0000-0000F9040000}"/>
    <cellStyle name="Calculation 3 4 2 4" xfId="1276" xr:uid="{00000000-0005-0000-0000-0000FA040000}"/>
    <cellStyle name="Calculation 3 4 2 4 2" xfId="1277" xr:uid="{00000000-0005-0000-0000-0000FB040000}"/>
    <cellStyle name="Calculation 3 4 2 4 2 2" xfId="1278" xr:uid="{00000000-0005-0000-0000-0000FC040000}"/>
    <cellStyle name="Calculation 3 4 2 4 3" xfId="1279" xr:uid="{00000000-0005-0000-0000-0000FD040000}"/>
    <cellStyle name="Calculation 3 4 2 5" xfId="1280" xr:uid="{00000000-0005-0000-0000-0000FE040000}"/>
    <cellStyle name="Calculation 3 4 2 5 2" xfId="1281" xr:uid="{00000000-0005-0000-0000-0000FF040000}"/>
    <cellStyle name="Calculation 3 4 2 6" xfId="1282" xr:uid="{00000000-0005-0000-0000-000000050000}"/>
    <cellStyle name="Calculation 3 4 3" xfId="1283" xr:uid="{00000000-0005-0000-0000-000001050000}"/>
    <cellStyle name="Calculation 3 4 3 2" xfId="1284" xr:uid="{00000000-0005-0000-0000-000002050000}"/>
    <cellStyle name="Calculation 3 4 3 2 2" xfId="1285" xr:uid="{00000000-0005-0000-0000-000003050000}"/>
    <cellStyle name="Calculation 3 4 3 2 2 2" xfId="1286" xr:uid="{00000000-0005-0000-0000-000004050000}"/>
    <cellStyle name="Calculation 3 4 3 2 2 2 2" xfId="1287" xr:uid="{00000000-0005-0000-0000-000005050000}"/>
    <cellStyle name="Calculation 3 4 3 2 2 3" xfId="1288" xr:uid="{00000000-0005-0000-0000-000006050000}"/>
    <cellStyle name="Calculation 3 4 3 2 3" xfId="1289" xr:uid="{00000000-0005-0000-0000-000007050000}"/>
    <cellStyle name="Calculation 3 4 3 2 3 2" xfId="1290" xr:uid="{00000000-0005-0000-0000-000008050000}"/>
    <cellStyle name="Calculation 3 4 3 2 4" xfId="1291" xr:uid="{00000000-0005-0000-0000-000009050000}"/>
    <cellStyle name="Calculation 3 4 3 3" xfId="1292" xr:uid="{00000000-0005-0000-0000-00000A050000}"/>
    <cellStyle name="Calculation 3 4 3 3 2" xfId="1293" xr:uid="{00000000-0005-0000-0000-00000B050000}"/>
    <cellStyle name="Calculation 3 4 3 3 2 2" xfId="1294" xr:uid="{00000000-0005-0000-0000-00000C050000}"/>
    <cellStyle name="Calculation 3 4 3 3 3" xfId="1295" xr:uid="{00000000-0005-0000-0000-00000D050000}"/>
    <cellStyle name="Calculation 3 4 3 3 4" xfId="1296" xr:uid="{00000000-0005-0000-0000-00000E050000}"/>
    <cellStyle name="Calculation 3 4 3 4" xfId="1297" xr:uid="{00000000-0005-0000-0000-00000F050000}"/>
    <cellStyle name="Calculation 3 4 3 4 2" xfId="1298" xr:uid="{00000000-0005-0000-0000-000010050000}"/>
    <cellStyle name="Calculation 3 4 3 4 2 2" xfId="1299" xr:uid="{00000000-0005-0000-0000-000011050000}"/>
    <cellStyle name="Calculation 3 4 3 4 3" xfId="1300" xr:uid="{00000000-0005-0000-0000-000012050000}"/>
    <cellStyle name="Calculation 3 4 3 5" xfId="1301" xr:uid="{00000000-0005-0000-0000-000013050000}"/>
    <cellStyle name="Calculation 3 4 3 5 2" xfId="1302" xr:uid="{00000000-0005-0000-0000-000014050000}"/>
    <cellStyle name="Calculation 3 4 3 6" xfId="1303" xr:uid="{00000000-0005-0000-0000-000015050000}"/>
    <cellStyle name="Calculation 3 4 4" xfId="1304" xr:uid="{00000000-0005-0000-0000-000016050000}"/>
    <cellStyle name="Calculation 3 4 4 2" xfId="1305" xr:uid="{00000000-0005-0000-0000-000017050000}"/>
    <cellStyle name="Calculation 3 4 4 2 2" xfId="1306" xr:uid="{00000000-0005-0000-0000-000018050000}"/>
    <cellStyle name="Calculation 3 4 4 2 2 2" xfId="1307" xr:uid="{00000000-0005-0000-0000-000019050000}"/>
    <cellStyle name="Calculation 3 4 4 2 3" xfId="1308" xr:uid="{00000000-0005-0000-0000-00001A050000}"/>
    <cellStyle name="Calculation 3 4 4 3" xfId="1309" xr:uid="{00000000-0005-0000-0000-00001B050000}"/>
    <cellStyle name="Calculation 3 4 4 3 2" xfId="1310" xr:uid="{00000000-0005-0000-0000-00001C050000}"/>
    <cellStyle name="Calculation 3 4 4 4" xfId="1311" xr:uid="{00000000-0005-0000-0000-00001D050000}"/>
    <cellStyle name="Calculation 3 4 5" xfId="1312" xr:uid="{00000000-0005-0000-0000-00001E050000}"/>
    <cellStyle name="Calculation 3 4 5 2" xfId="1313" xr:uid="{00000000-0005-0000-0000-00001F050000}"/>
    <cellStyle name="Calculation 3 4 5 2 2" xfId="1314" xr:uid="{00000000-0005-0000-0000-000020050000}"/>
    <cellStyle name="Calculation 3 4 5 3" xfId="1315" xr:uid="{00000000-0005-0000-0000-000021050000}"/>
    <cellStyle name="Calculation 3 4 5 4" xfId="1316" xr:uid="{00000000-0005-0000-0000-000022050000}"/>
    <cellStyle name="Calculation 3 4 6" xfId="1317" xr:uid="{00000000-0005-0000-0000-000023050000}"/>
    <cellStyle name="Calculation 3 4 6 2" xfId="1318" xr:uid="{00000000-0005-0000-0000-000024050000}"/>
    <cellStyle name="Calculation 3 4 6 2 2" xfId="1319" xr:uid="{00000000-0005-0000-0000-000025050000}"/>
    <cellStyle name="Calculation 3 4 6 3" xfId="1320" xr:uid="{00000000-0005-0000-0000-000026050000}"/>
    <cellStyle name="Calculation 3 4 7" xfId="1321" xr:uid="{00000000-0005-0000-0000-000027050000}"/>
    <cellStyle name="Calculation 3 4 7 2" xfId="1322" xr:uid="{00000000-0005-0000-0000-000028050000}"/>
    <cellStyle name="Calculation 3 4 8" xfId="1323" xr:uid="{00000000-0005-0000-0000-000029050000}"/>
    <cellStyle name="Calculation 3 5" xfId="1324" xr:uid="{00000000-0005-0000-0000-00002A050000}"/>
    <cellStyle name="Calculation 3 5 2" xfId="1325" xr:uid="{00000000-0005-0000-0000-00002B050000}"/>
    <cellStyle name="Calculation 3 5 2 2" xfId="1326" xr:uid="{00000000-0005-0000-0000-00002C050000}"/>
    <cellStyle name="Calculation 3 5 2 2 2" xfId="1327" xr:uid="{00000000-0005-0000-0000-00002D050000}"/>
    <cellStyle name="Calculation 3 5 2 2 2 2" xfId="1328" xr:uid="{00000000-0005-0000-0000-00002E050000}"/>
    <cellStyle name="Calculation 3 5 2 2 3" xfId="1329" xr:uid="{00000000-0005-0000-0000-00002F050000}"/>
    <cellStyle name="Calculation 3 5 2 3" xfId="1330" xr:uid="{00000000-0005-0000-0000-000030050000}"/>
    <cellStyle name="Calculation 3 5 2 3 2" xfId="1331" xr:uid="{00000000-0005-0000-0000-000031050000}"/>
    <cellStyle name="Calculation 3 5 2 4" xfId="1332" xr:uid="{00000000-0005-0000-0000-000032050000}"/>
    <cellStyle name="Calculation 3 5 3" xfId="1333" xr:uid="{00000000-0005-0000-0000-000033050000}"/>
    <cellStyle name="Calculation 3 5 3 2" xfId="1334" xr:uid="{00000000-0005-0000-0000-000034050000}"/>
    <cellStyle name="Calculation 3 5 3 2 2" xfId="1335" xr:uid="{00000000-0005-0000-0000-000035050000}"/>
    <cellStyle name="Calculation 3 5 3 3" xfId="1336" xr:uid="{00000000-0005-0000-0000-000036050000}"/>
    <cellStyle name="Calculation 3 5 3 4" xfId="1337" xr:uid="{00000000-0005-0000-0000-000037050000}"/>
    <cellStyle name="Calculation 3 5 4" xfId="1338" xr:uid="{00000000-0005-0000-0000-000038050000}"/>
    <cellStyle name="Calculation 3 5 4 2" xfId="1339" xr:uid="{00000000-0005-0000-0000-000039050000}"/>
    <cellStyle name="Calculation 3 5 4 2 2" xfId="1340" xr:uid="{00000000-0005-0000-0000-00003A050000}"/>
    <cellStyle name="Calculation 3 5 4 3" xfId="1341" xr:uid="{00000000-0005-0000-0000-00003B050000}"/>
    <cellStyle name="Calculation 3 5 5" xfId="1342" xr:uid="{00000000-0005-0000-0000-00003C050000}"/>
    <cellStyle name="Calculation 3 5 5 2" xfId="1343" xr:uid="{00000000-0005-0000-0000-00003D050000}"/>
    <cellStyle name="Calculation 3 5 6" xfId="1344" xr:uid="{00000000-0005-0000-0000-00003E050000}"/>
    <cellStyle name="Calculation 4" xfId="1345" xr:uid="{00000000-0005-0000-0000-00003F050000}"/>
    <cellStyle name="Calculation 4 2" xfId="1346" xr:uid="{00000000-0005-0000-0000-000040050000}"/>
    <cellStyle name="Calculation 4 2 2" xfId="1347" xr:uid="{00000000-0005-0000-0000-000041050000}"/>
    <cellStyle name="Calculation 4 2 2 2" xfId="1348" xr:uid="{00000000-0005-0000-0000-000042050000}"/>
    <cellStyle name="Calculation 4 2 2 2 2" xfId="1349" xr:uid="{00000000-0005-0000-0000-000043050000}"/>
    <cellStyle name="Calculation 4 2 2 2 2 2" xfId="1350" xr:uid="{00000000-0005-0000-0000-000044050000}"/>
    <cellStyle name="Calculation 4 2 2 2 2 2 2" xfId="1351" xr:uid="{00000000-0005-0000-0000-000045050000}"/>
    <cellStyle name="Calculation 4 2 2 2 2 3" xfId="1352" xr:uid="{00000000-0005-0000-0000-000046050000}"/>
    <cellStyle name="Calculation 4 2 2 2 3" xfId="1353" xr:uid="{00000000-0005-0000-0000-000047050000}"/>
    <cellStyle name="Calculation 4 2 2 2 3 2" xfId="1354" xr:uid="{00000000-0005-0000-0000-000048050000}"/>
    <cellStyle name="Calculation 4 2 2 2 4" xfId="1355" xr:uid="{00000000-0005-0000-0000-000049050000}"/>
    <cellStyle name="Calculation 4 2 2 3" xfId="1356" xr:uid="{00000000-0005-0000-0000-00004A050000}"/>
    <cellStyle name="Calculation 4 2 2 3 2" xfId="1357" xr:uid="{00000000-0005-0000-0000-00004B050000}"/>
    <cellStyle name="Calculation 4 2 2 3 2 2" xfId="1358" xr:uid="{00000000-0005-0000-0000-00004C050000}"/>
    <cellStyle name="Calculation 4 2 2 3 3" xfId="1359" xr:uid="{00000000-0005-0000-0000-00004D050000}"/>
    <cellStyle name="Calculation 4 2 2 3 4" xfId="1360" xr:uid="{00000000-0005-0000-0000-00004E050000}"/>
    <cellStyle name="Calculation 4 2 2 4" xfId="1361" xr:uid="{00000000-0005-0000-0000-00004F050000}"/>
    <cellStyle name="Calculation 4 2 2 4 2" xfId="1362" xr:uid="{00000000-0005-0000-0000-000050050000}"/>
    <cellStyle name="Calculation 4 2 2 4 2 2" xfId="1363" xr:uid="{00000000-0005-0000-0000-000051050000}"/>
    <cellStyle name="Calculation 4 2 2 4 3" xfId="1364" xr:uid="{00000000-0005-0000-0000-000052050000}"/>
    <cellStyle name="Calculation 4 2 2 5" xfId="1365" xr:uid="{00000000-0005-0000-0000-000053050000}"/>
    <cellStyle name="Calculation 4 2 2 5 2" xfId="1366" xr:uid="{00000000-0005-0000-0000-000054050000}"/>
    <cellStyle name="Calculation 4 2 2 6" xfId="1367" xr:uid="{00000000-0005-0000-0000-000055050000}"/>
    <cellStyle name="Calculation 4 2 3" xfId="1368" xr:uid="{00000000-0005-0000-0000-000056050000}"/>
    <cellStyle name="Calculation 4 2 3 2" xfId="1369" xr:uid="{00000000-0005-0000-0000-000057050000}"/>
    <cellStyle name="Calculation 4 2 3 2 2" xfId="1370" xr:uid="{00000000-0005-0000-0000-000058050000}"/>
    <cellStyle name="Calculation 4 2 3 2 2 2" xfId="1371" xr:uid="{00000000-0005-0000-0000-000059050000}"/>
    <cellStyle name="Calculation 4 2 3 2 2 2 2" xfId="1372" xr:uid="{00000000-0005-0000-0000-00005A050000}"/>
    <cellStyle name="Calculation 4 2 3 2 2 3" xfId="1373" xr:uid="{00000000-0005-0000-0000-00005B050000}"/>
    <cellStyle name="Calculation 4 2 3 2 3" xfId="1374" xr:uid="{00000000-0005-0000-0000-00005C050000}"/>
    <cellStyle name="Calculation 4 2 3 2 3 2" xfId="1375" xr:uid="{00000000-0005-0000-0000-00005D050000}"/>
    <cellStyle name="Calculation 4 2 3 2 4" xfId="1376" xr:uid="{00000000-0005-0000-0000-00005E050000}"/>
    <cellStyle name="Calculation 4 2 3 3" xfId="1377" xr:uid="{00000000-0005-0000-0000-00005F050000}"/>
    <cellStyle name="Calculation 4 2 3 3 2" xfId="1378" xr:uid="{00000000-0005-0000-0000-000060050000}"/>
    <cellStyle name="Calculation 4 2 3 3 2 2" xfId="1379" xr:uid="{00000000-0005-0000-0000-000061050000}"/>
    <cellStyle name="Calculation 4 2 3 3 3" xfId="1380" xr:uid="{00000000-0005-0000-0000-000062050000}"/>
    <cellStyle name="Calculation 4 2 3 3 4" xfId="1381" xr:uid="{00000000-0005-0000-0000-000063050000}"/>
    <cellStyle name="Calculation 4 2 3 4" xfId="1382" xr:uid="{00000000-0005-0000-0000-000064050000}"/>
    <cellStyle name="Calculation 4 2 3 4 2" xfId="1383" xr:uid="{00000000-0005-0000-0000-000065050000}"/>
    <cellStyle name="Calculation 4 2 3 4 2 2" xfId="1384" xr:uid="{00000000-0005-0000-0000-000066050000}"/>
    <cellStyle name="Calculation 4 2 3 4 3" xfId="1385" xr:uid="{00000000-0005-0000-0000-000067050000}"/>
    <cellStyle name="Calculation 4 2 3 5" xfId="1386" xr:uid="{00000000-0005-0000-0000-000068050000}"/>
    <cellStyle name="Calculation 4 2 3 5 2" xfId="1387" xr:uid="{00000000-0005-0000-0000-000069050000}"/>
    <cellStyle name="Calculation 4 2 3 6" xfId="1388" xr:uid="{00000000-0005-0000-0000-00006A050000}"/>
    <cellStyle name="Calculation 4 2 4" xfId="1389" xr:uid="{00000000-0005-0000-0000-00006B050000}"/>
    <cellStyle name="Calculation 4 2 4 2" xfId="1390" xr:uid="{00000000-0005-0000-0000-00006C050000}"/>
    <cellStyle name="Calculation 4 2 4 2 2" xfId="1391" xr:uid="{00000000-0005-0000-0000-00006D050000}"/>
    <cellStyle name="Calculation 4 2 4 2 2 2" xfId="1392" xr:uid="{00000000-0005-0000-0000-00006E050000}"/>
    <cellStyle name="Calculation 4 2 4 2 2 2 2" xfId="1393" xr:uid="{00000000-0005-0000-0000-00006F050000}"/>
    <cellStyle name="Calculation 4 2 4 2 2 3" xfId="1394" xr:uid="{00000000-0005-0000-0000-000070050000}"/>
    <cellStyle name="Calculation 4 2 4 2 3" xfId="1395" xr:uid="{00000000-0005-0000-0000-000071050000}"/>
    <cellStyle name="Calculation 4 2 4 2 3 2" xfId="1396" xr:uid="{00000000-0005-0000-0000-000072050000}"/>
    <cellStyle name="Calculation 4 2 4 2 4" xfId="1397" xr:uid="{00000000-0005-0000-0000-000073050000}"/>
    <cellStyle name="Calculation 4 2 4 3" xfId="1398" xr:uid="{00000000-0005-0000-0000-000074050000}"/>
    <cellStyle name="Calculation 4 2 4 3 2" xfId="1399" xr:uid="{00000000-0005-0000-0000-000075050000}"/>
    <cellStyle name="Calculation 4 2 4 3 2 2" xfId="1400" xr:uid="{00000000-0005-0000-0000-000076050000}"/>
    <cellStyle name="Calculation 4 2 4 3 3" xfId="1401" xr:uid="{00000000-0005-0000-0000-000077050000}"/>
    <cellStyle name="Calculation 4 2 4 3 4" xfId="1402" xr:uid="{00000000-0005-0000-0000-000078050000}"/>
    <cellStyle name="Calculation 4 2 4 4" xfId="1403" xr:uid="{00000000-0005-0000-0000-000079050000}"/>
    <cellStyle name="Calculation 4 2 4 4 2" xfId="1404" xr:uid="{00000000-0005-0000-0000-00007A050000}"/>
    <cellStyle name="Calculation 4 2 4 4 2 2" xfId="1405" xr:uid="{00000000-0005-0000-0000-00007B050000}"/>
    <cellStyle name="Calculation 4 2 4 4 3" xfId="1406" xr:uid="{00000000-0005-0000-0000-00007C050000}"/>
    <cellStyle name="Calculation 4 2 4 5" xfId="1407" xr:uid="{00000000-0005-0000-0000-00007D050000}"/>
    <cellStyle name="Calculation 4 2 4 5 2" xfId="1408" xr:uid="{00000000-0005-0000-0000-00007E050000}"/>
    <cellStyle name="Calculation 4 2 4 6" xfId="1409" xr:uid="{00000000-0005-0000-0000-00007F050000}"/>
    <cellStyle name="Calculation 4 2 5" xfId="1410" xr:uid="{00000000-0005-0000-0000-000080050000}"/>
    <cellStyle name="Calculation 4 2 5 2" xfId="1411" xr:uid="{00000000-0005-0000-0000-000081050000}"/>
    <cellStyle name="Calculation 4 3" xfId="1412" xr:uid="{00000000-0005-0000-0000-000082050000}"/>
    <cellStyle name="Calculation 4 3 2" xfId="1413" xr:uid="{00000000-0005-0000-0000-000083050000}"/>
    <cellStyle name="Calculation 4 3 2 2" xfId="1414" xr:uid="{00000000-0005-0000-0000-000084050000}"/>
    <cellStyle name="Calculation 4 3 2 2 2" xfId="1415" xr:uid="{00000000-0005-0000-0000-000085050000}"/>
    <cellStyle name="Calculation 4 3 2 2 2 2" xfId="1416" xr:uid="{00000000-0005-0000-0000-000086050000}"/>
    <cellStyle name="Calculation 4 3 2 2 2 2 2" xfId="1417" xr:uid="{00000000-0005-0000-0000-000087050000}"/>
    <cellStyle name="Calculation 4 3 2 2 2 3" xfId="1418" xr:uid="{00000000-0005-0000-0000-000088050000}"/>
    <cellStyle name="Calculation 4 3 2 2 3" xfId="1419" xr:uid="{00000000-0005-0000-0000-000089050000}"/>
    <cellStyle name="Calculation 4 3 2 2 3 2" xfId="1420" xr:uid="{00000000-0005-0000-0000-00008A050000}"/>
    <cellStyle name="Calculation 4 3 2 2 4" xfId="1421" xr:uid="{00000000-0005-0000-0000-00008B050000}"/>
    <cellStyle name="Calculation 4 3 2 3" xfId="1422" xr:uid="{00000000-0005-0000-0000-00008C050000}"/>
    <cellStyle name="Calculation 4 3 2 3 2" xfId="1423" xr:uid="{00000000-0005-0000-0000-00008D050000}"/>
    <cellStyle name="Calculation 4 3 2 3 2 2" xfId="1424" xr:uid="{00000000-0005-0000-0000-00008E050000}"/>
    <cellStyle name="Calculation 4 3 2 3 3" xfId="1425" xr:uid="{00000000-0005-0000-0000-00008F050000}"/>
    <cellStyle name="Calculation 4 3 2 3 4" xfId="1426" xr:uid="{00000000-0005-0000-0000-000090050000}"/>
    <cellStyle name="Calculation 4 3 2 4" xfId="1427" xr:uid="{00000000-0005-0000-0000-000091050000}"/>
    <cellStyle name="Calculation 4 3 2 4 2" xfId="1428" xr:uid="{00000000-0005-0000-0000-000092050000}"/>
    <cellStyle name="Calculation 4 3 2 4 2 2" xfId="1429" xr:uid="{00000000-0005-0000-0000-000093050000}"/>
    <cellStyle name="Calculation 4 3 2 4 3" xfId="1430" xr:uid="{00000000-0005-0000-0000-000094050000}"/>
    <cellStyle name="Calculation 4 3 2 5" xfId="1431" xr:uid="{00000000-0005-0000-0000-000095050000}"/>
    <cellStyle name="Calculation 4 3 2 5 2" xfId="1432" xr:uid="{00000000-0005-0000-0000-000096050000}"/>
    <cellStyle name="Calculation 4 3 2 6" xfId="1433" xr:uid="{00000000-0005-0000-0000-000097050000}"/>
    <cellStyle name="Calculation 4 3 3" xfId="1434" xr:uid="{00000000-0005-0000-0000-000098050000}"/>
    <cellStyle name="Calculation 4 3 3 2" xfId="1435" xr:uid="{00000000-0005-0000-0000-000099050000}"/>
    <cellStyle name="Calculation 4 3 3 2 2" xfId="1436" xr:uid="{00000000-0005-0000-0000-00009A050000}"/>
    <cellStyle name="Calculation 4 3 3 2 2 2" xfId="1437" xr:uid="{00000000-0005-0000-0000-00009B050000}"/>
    <cellStyle name="Calculation 4 3 3 2 2 2 2" xfId="1438" xr:uid="{00000000-0005-0000-0000-00009C050000}"/>
    <cellStyle name="Calculation 4 3 3 2 2 3" xfId="1439" xr:uid="{00000000-0005-0000-0000-00009D050000}"/>
    <cellStyle name="Calculation 4 3 3 2 3" xfId="1440" xr:uid="{00000000-0005-0000-0000-00009E050000}"/>
    <cellStyle name="Calculation 4 3 3 2 3 2" xfId="1441" xr:uid="{00000000-0005-0000-0000-00009F050000}"/>
    <cellStyle name="Calculation 4 3 3 2 4" xfId="1442" xr:uid="{00000000-0005-0000-0000-0000A0050000}"/>
    <cellStyle name="Calculation 4 3 3 3" xfId="1443" xr:uid="{00000000-0005-0000-0000-0000A1050000}"/>
    <cellStyle name="Calculation 4 3 3 3 2" xfId="1444" xr:uid="{00000000-0005-0000-0000-0000A2050000}"/>
    <cellStyle name="Calculation 4 3 3 3 2 2" xfId="1445" xr:uid="{00000000-0005-0000-0000-0000A3050000}"/>
    <cellStyle name="Calculation 4 3 3 3 3" xfId="1446" xr:uid="{00000000-0005-0000-0000-0000A4050000}"/>
    <cellStyle name="Calculation 4 3 3 3 4" xfId="1447" xr:uid="{00000000-0005-0000-0000-0000A5050000}"/>
    <cellStyle name="Calculation 4 3 3 4" xfId="1448" xr:uid="{00000000-0005-0000-0000-0000A6050000}"/>
    <cellStyle name="Calculation 4 3 3 4 2" xfId="1449" xr:uid="{00000000-0005-0000-0000-0000A7050000}"/>
    <cellStyle name="Calculation 4 3 3 4 2 2" xfId="1450" xr:uid="{00000000-0005-0000-0000-0000A8050000}"/>
    <cellStyle name="Calculation 4 3 3 4 3" xfId="1451" xr:uid="{00000000-0005-0000-0000-0000A9050000}"/>
    <cellStyle name="Calculation 4 3 3 5" xfId="1452" xr:uid="{00000000-0005-0000-0000-0000AA050000}"/>
    <cellStyle name="Calculation 4 3 3 5 2" xfId="1453" xr:uid="{00000000-0005-0000-0000-0000AB050000}"/>
    <cellStyle name="Calculation 4 3 3 6" xfId="1454" xr:uid="{00000000-0005-0000-0000-0000AC050000}"/>
    <cellStyle name="Calculation 4 3 4" xfId="1455" xr:uid="{00000000-0005-0000-0000-0000AD050000}"/>
    <cellStyle name="Calculation 4 3 4 2" xfId="1456" xr:uid="{00000000-0005-0000-0000-0000AE050000}"/>
    <cellStyle name="Calculation 4 3 4 2 2" xfId="1457" xr:uid="{00000000-0005-0000-0000-0000AF050000}"/>
    <cellStyle name="Calculation 4 3 4 2 2 2" xfId="1458" xr:uid="{00000000-0005-0000-0000-0000B0050000}"/>
    <cellStyle name="Calculation 4 3 4 2 3" xfId="1459" xr:uid="{00000000-0005-0000-0000-0000B1050000}"/>
    <cellStyle name="Calculation 4 3 4 3" xfId="1460" xr:uid="{00000000-0005-0000-0000-0000B2050000}"/>
    <cellStyle name="Calculation 4 3 4 3 2" xfId="1461" xr:uid="{00000000-0005-0000-0000-0000B3050000}"/>
    <cellStyle name="Calculation 4 3 4 4" xfId="1462" xr:uid="{00000000-0005-0000-0000-0000B4050000}"/>
    <cellStyle name="Calculation 4 3 5" xfId="1463" xr:uid="{00000000-0005-0000-0000-0000B5050000}"/>
    <cellStyle name="Calculation 4 3 5 2" xfId="1464" xr:uid="{00000000-0005-0000-0000-0000B6050000}"/>
    <cellStyle name="Calculation 4 3 5 2 2" xfId="1465" xr:uid="{00000000-0005-0000-0000-0000B7050000}"/>
    <cellStyle name="Calculation 4 3 5 3" xfId="1466" xr:uid="{00000000-0005-0000-0000-0000B8050000}"/>
    <cellStyle name="Calculation 4 3 5 4" xfId="1467" xr:uid="{00000000-0005-0000-0000-0000B9050000}"/>
    <cellStyle name="Calculation 4 3 6" xfId="1468" xr:uid="{00000000-0005-0000-0000-0000BA050000}"/>
    <cellStyle name="Calculation 4 3 6 2" xfId="1469" xr:uid="{00000000-0005-0000-0000-0000BB050000}"/>
    <cellStyle name="Calculation 4 3 6 2 2" xfId="1470" xr:uid="{00000000-0005-0000-0000-0000BC050000}"/>
    <cellStyle name="Calculation 4 3 6 3" xfId="1471" xr:uid="{00000000-0005-0000-0000-0000BD050000}"/>
    <cellStyle name="Calculation 4 3 7" xfId="1472" xr:uid="{00000000-0005-0000-0000-0000BE050000}"/>
    <cellStyle name="Calculation 4 3 7 2" xfId="1473" xr:uid="{00000000-0005-0000-0000-0000BF050000}"/>
    <cellStyle name="Calculation 4 3 8" xfId="1474" xr:uid="{00000000-0005-0000-0000-0000C0050000}"/>
    <cellStyle name="Calculation 4 4" xfId="1475" xr:uid="{00000000-0005-0000-0000-0000C1050000}"/>
    <cellStyle name="Calculation 4 4 2" xfId="1476" xr:uid="{00000000-0005-0000-0000-0000C2050000}"/>
    <cellStyle name="Calculation 4 4 2 2" xfId="1477" xr:uid="{00000000-0005-0000-0000-0000C3050000}"/>
    <cellStyle name="Calculation 4 4 2 2 2" xfId="1478" xr:uid="{00000000-0005-0000-0000-0000C4050000}"/>
    <cellStyle name="Calculation 4 4 2 2 2 2" xfId="1479" xr:uid="{00000000-0005-0000-0000-0000C5050000}"/>
    <cellStyle name="Calculation 4 4 2 2 3" xfId="1480" xr:uid="{00000000-0005-0000-0000-0000C6050000}"/>
    <cellStyle name="Calculation 4 4 2 3" xfId="1481" xr:uid="{00000000-0005-0000-0000-0000C7050000}"/>
    <cellStyle name="Calculation 4 4 2 3 2" xfId="1482" xr:uid="{00000000-0005-0000-0000-0000C8050000}"/>
    <cellStyle name="Calculation 4 4 2 4" xfId="1483" xr:uid="{00000000-0005-0000-0000-0000C9050000}"/>
    <cellStyle name="Calculation 4 4 3" xfId="1484" xr:uid="{00000000-0005-0000-0000-0000CA050000}"/>
    <cellStyle name="Calculation 4 4 3 2" xfId="1485" xr:uid="{00000000-0005-0000-0000-0000CB050000}"/>
    <cellStyle name="Calculation 4 4 3 2 2" xfId="1486" xr:uid="{00000000-0005-0000-0000-0000CC050000}"/>
    <cellStyle name="Calculation 4 4 3 3" xfId="1487" xr:uid="{00000000-0005-0000-0000-0000CD050000}"/>
    <cellStyle name="Calculation 4 4 3 4" xfId="1488" xr:uid="{00000000-0005-0000-0000-0000CE050000}"/>
    <cellStyle name="Calculation 4 4 4" xfId="1489" xr:uid="{00000000-0005-0000-0000-0000CF050000}"/>
    <cellStyle name="Calculation 4 4 4 2" xfId="1490" xr:uid="{00000000-0005-0000-0000-0000D0050000}"/>
    <cellStyle name="Calculation 4 4 4 2 2" xfId="1491" xr:uid="{00000000-0005-0000-0000-0000D1050000}"/>
    <cellStyle name="Calculation 4 4 4 3" xfId="1492" xr:uid="{00000000-0005-0000-0000-0000D2050000}"/>
    <cellStyle name="Calculation 4 4 5" xfId="1493" xr:uid="{00000000-0005-0000-0000-0000D3050000}"/>
    <cellStyle name="Calculation 4 4 5 2" xfId="1494" xr:uid="{00000000-0005-0000-0000-0000D4050000}"/>
    <cellStyle name="Calculation 4 4 6" xfId="1495" xr:uid="{00000000-0005-0000-0000-0000D5050000}"/>
    <cellStyle name="Calculation 5" xfId="1496" xr:uid="{00000000-0005-0000-0000-0000D6050000}"/>
    <cellStyle name="Calculation 5 2" xfId="1497" xr:uid="{00000000-0005-0000-0000-0000D7050000}"/>
    <cellStyle name="Calculation 5 2 2" xfId="1498" xr:uid="{00000000-0005-0000-0000-0000D8050000}"/>
    <cellStyle name="Calculation 5 2 2 2" xfId="1499" xr:uid="{00000000-0005-0000-0000-0000D9050000}"/>
    <cellStyle name="Calculation 5 2 2 2 2" xfId="1500" xr:uid="{00000000-0005-0000-0000-0000DA050000}"/>
    <cellStyle name="Calculation 5 2 2 2 2 2" xfId="1501" xr:uid="{00000000-0005-0000-0000-0000DB050000}"/>
    <cellStyle name="Calculation 5 2 2 2 2 2 2" xfId="1502" xr:uid="{00000000-0005-0000-0000-0000DC050000}"/>
    <cellStyle name="Calculation 5 2 2 2 2 3" xfId="1503" xr:uid="{00000000-0005-0000-0000-0000DD050000}"/>
    <cellStyle name="Calculation 5 2 2 2 3" xfId="1504" xr:uid="{00000000-0005-0000-0000-0000DE050000}"/>
    <cellStyle name="Calculation 5 2 2 2 3 2" xfId="1505" xr:uid="{00000000-0005-0000-0000-0000DF050000}"/>
    <cellStyle name="Calculation 5 2 2 2 4" xfId="1506" xr:uid="{00000000-0005-0000-0000-0000E0050000}"/>
    <cellStyle name="Calculation 5 2 2 3" xfId="1507" xr:uid="{00000000-0005-0000-0000-0000E1050000}"/>
    <cellStyle name="Calculation 5 2 2 3 2" xfId="1508" xr:uid="{00000000-0005-0000-0000-0000E2050000}"/>
    <cellStyle name="Calculation 5 2 2 3 2 2" xfId="1509" xr:uid="{00000000-0005-0000-0000-0000E3050000}"/>
    <cellStyle name="Calculation 5 2 2 3 3" xfId="1510" xr:uid="{00000000-0005-0000-0000-0000E4050000}"/>
    <cellStyle name="Calculation 5 2 2 3 4" xfId="1511" xr:uid="{00000000-0005-0000-0000-0000E5050000}"/>
    <cellStyle name="Calculation 5 2 2 4" xfId="1512" xr:uid="{00000000-0005-0000-0000-0000E6050000}"/>
    <cellStyle name="Calculation 5 2 2 4 2" xfId="1513" xr:uid="{00000000-0005-0000-0000-0000E7050000}"/>
    <cellStyle name="Calculation 5 2 2 4 2 2" xfId="1514" xr:uid="{00000000-0005-0000-0000-0000E8050000}"/>
    <cellStyle name="Calculation 5 2 2 4 3" xfId="1515" xr:uid="{00000000-0005-0000-0000-0000E9050000}"/>
    <cellStyle name="Calculation 5 2 2 5" xfId="1516" xr:uid="{00000000-0005-0000-0000-0000EA050000}"/>
    <cellStyle name="Calculation 5 2 2 5 2" xfId="1517" xr:uid="{00000000-0005-0000-0000-0000EB050000}"/>
    <cellStyle name="Calculation 5 2 2 6" xfId="1518" xr:uid="{00000000-0005-0000-0000-0000EC050000}"/>
    <cellStyle name="Calculation 5 2 3" xfId="1519" xr:uid="{00000000-0005-0000-0000-0000ED050000}"/>
    <cellStyle name="Calculation 5 2 3 2" xfId="1520" xr:uid="{00000000-0005-0000-0000-0000EE050000}"/>
    <cellStyle name="Calculation 5 2 3 2 2" xfId="1521" xr:uid="{00000000-0005-0000-0000-0000EF050000}"/>
    <cellStyle name="Calculation 5 2 3 2 2 2" xfId="1522" xr:uid="{00000000-0005-0000-0000-0000F0050000}"/>
    <cellStyle name="Calculation 5 2 3 2 2 2 2" xfId="1523" xr:uid="{00000000-0005-0000-0000-0000F1050000}"/>
    <cellStyle name="Calculation 5 2 3 2 2 3" xfId="1524" xr:uid="{00000000-0005-0000-0000-0000F2050000}"/>
    <cellStyle name="Calculation 5 2 3 2 3" xfId="1525" xr:uid="{00000000-0005-0000-0000-0000F3050000}"/>
    <cellStyle name="Calculation 5 2 3 2 3 2" xfId="1526" xr:uid="{00000000-0005-0000-0000-0000F4050000}"/>
    <cellStyle name="Calculation 5 2 3 2 4" xfId="1527" xr:uid="{00000000-0005-0000-0000-0000F5050000}"/>
    <cellStyle name="Calculation 5 2 3 3" xfId="1528" xr:uid="{00000000-0005-0000-0000-0000F6050000}"/>
    <cellStyle name="Calculation 5 2 3 3 2" xfId="1529" xr:uid="{00000000-0005-0000-0000-0000F7050000}"/>
    <cellStyle name="Calculation 5 2 3 3 2 2" xfId="1530" xr:uid="{00000000-0005-0000-0000-0000F8050000}"/>
    <cellStyle name="Calculation 5 2 3 3 3" xfId="1531" xr:uid="{00000000-0005-0000-0000-0000F9050000}"/>
    <cellStyle name="Calculation 5 2 3 3 4" xfId="1532" xr:uid="{00000000-0005-0000-0000-0000FA050000}"/>
    <cellStyle name="Calculation 5 2 3 4" xfId="1533" xr:uid="{00000000-0005-0000-0000-0000FB050000}"/>
    <cellStyle name="Calculation 5 2 3 4 2" xfId="1534" xr:uid="{00000000-0005-0000-0000-0000FC050000}"/>
    <cellStyle name="Calculation 5 2 3 4 2 2" xfId="1535" xr:uid="{00000000-0005-0000-0000-0000FD050000}"/>
    <cellStyle name="Calculation 5 2 3 4 3" xfId="1536" xr:uid="{00000000-0005-0000-0000-0000FE050000}"/>
    <cellStyle name="Calculation 5 2 3 5" xfId="1537" xr:uid="{00000000-0005-0000-0000-0000FF050000}"/>
    <cellStyle name="Calculation 5 2 3 5 2" xfId="1538" xr:uid="{00000000-0005-0000-0000-000000060000}"/>
    <cellStyle name="Calculation 5 2 3 6" xfId="1539" xr:uid="{00000000-0005-0000-0000-000001060000}"/>
    <cellStyle name="Calculation 5 2 4" xfId="1540" xr:uid="{00000000-0005-0000-0000-000002060000}"/>
    <cellStyle name="Calculation 5 2 4 2" xfId="1541" xr:uid="{00000000-0005-0000-0000-000003060000}"/>
    <cellStyle name="Calculation 5 2 4 2 2" xfId="1542" xr:uid="{00000000-0005-0000-0000-000004060000}"/>
    <cellStyle name="Calculation 5 2 4 2 2 2" xfId="1543" xr:uid="{00000000-0005-0000-0000-000005060000}"/>
    <cellStyle name="Calculation 5 2 4 2 2 2 2" xfId="1544" xr:uid="{00000000-0005-0000-0000-000006060000}"/>
    <cellStyle name="Calculation 5 2 4 2 2 3" xfId="1545" xr:uid="{00000000-0005-0000-0000-000007060000}"/>
    <cellStyle name="Calculation 5 2 4 2 3" xfId="1546" xr:uid="{00000000-0005-0000-0000-000008060000}"/>
    <cellStyle name="Calculation 5 2 4 2 3 2" xfId="1547" xr:uid="{00000000-0005-0000-0000-000009060000}"/>
    <cellStyle name="Calculation 5 2 4 2 4" xfId="1548" xr:uid="{00000000-0005-0000-0000-00000A060000}"/>
    <cellStyle name="Calculation 5 2 4 3" xfId="1549" xr:uid="{00000000-0005-0000-0000-00000B060000}"/>
    <cellStyle name="Calculation 5 2 4 3 2" xfId="1550" xr:uid="{00000000-0005-0000-0000-00000C060000}"/>
    <cellStyle name="Calculation 5 2 4 3 2 2" xfId="1551" xr:uid="{00000000-0005-0000-0000-00000D060000}"/>
    <cellStyle name="Calculation 5 2 4 3 3" xfId="1552" xr:uid="{00000000-0005-0000-0000-00000E060000}"/>
    <cellStyle name="Calculation 5 2 4 3 4" xfId="1553" xr:uid="{00000000-0005-0000-0000-00000F060000}"/>
    <cellStyle name="Calculation 5 2 4 4" xfId="1554" xr:uid="{00000000-0005-0000-0000-000010060000}"/>
    <cellStyle name="Calculation 5 2 4 4 2" xfId="1555" xr:uid="{00000000-0005-0000-0000-000011060000}"/>
    <cellStyle name="Calculation 5 2 4 4 2 2" xfId="1556" xr:uid="{00000000-0005-0000-0000-000012060000}"/>
    <cellStyle name="Calculation 5 2 4 4 3" xfId="1557" xr:uid="{00000000-0005-0000-0000-000013060000}"/>
    <cellStyle name="Calculation 5 2 4 5" xfId="1558" xr:uid="{00000000-0005-0000-0000-000014060000}"/>
    <cellStyle name="Calculation 5 2 4 5 2" xfId="1559" xr:uid="{00000000-0005-0000-0000-000015060000}"/>
    <cellStyle name="Calculation 5 2 4 6" xfId="1560" xr:uid="{00000000-0005-0000-0000-000016060000}"/>
    <cellStyle name="Calculation 5 2 5" xfId="1561" xr:uid="{00000000-0005-0000-0000-000017060000}"/>
    <cellStyle name="Calculation 5 2 5 2" xfId="1562" xr:uid="{00000000-0005-0000-0000-000018060000}"/>
    <cellStyle name="Calculation 5 3" xfId="1563" xr:uid="{00000000-0005-0000-0000-000019060000}"/>
    <cellStyle name="Calculation 5 3 2" xfId="1564" xr:uid="{00000000-0005-0000-0000-00001A060000}"/>
    <cellStyle name="Calculation 5 3 2 2" xfId="1565" xr:uid="{00000000-0005-0000-0000-00001B060000}"/>
    <cellStyle name="Calculation 5 3 2 2 2" xfId="1566" xr:uid="{00000000-0005-0000-0000-00001C060000}"/>
    <cellStyle name="Calculation 5 3 2 2 2 2" xfId="1567" xr:uid="{00000000-0005-0000-0000-00001D060000}"/>
    <cellStyle name="Calculation 5 3 2 2 2 2 2" xfId="1568" xr:uid="{00000000-0005-0000-0000-00001E060000}"/>
    <cellStyle name="Calculation 5 3 2 2 2 3" xfId="1569" xr:uid="{00000000-0005-0000-0000-00001F060000}"/>
    <cellStyle name="Calculation 5 3 2 2 3" xfId="1570" xr:uid="{00000000-0005-0000-0000-000020060000}"/>
    <cellStyle name="Calculation 5 3 2 2 3 2" xfId="1571" xr:uid="{00000000-0005-0000-0000-000021060000}"/>
    <cellStyle name="Calculation 5 3 2 2 4" xfId="1572" xr:uid="{00000000-0005-0000-0000-000022060000}"/>
    <cellStyle name="Calculation 5 3 2 3" xfId="1573" xr:uid="{00000000-0005-0000-0000-000023060000}"/>
    <cellStyle name="Calculation 5 3 2 3 2" xfId="1574" xr:uid="{00000000-0005-0000-0000-000024060000}"/>
    <cellStyle name="Calculation 5 3 2 3 2 2" xfId="1575" xr:uid="{00000000-0005-0000-0000-000025060000}"/>
    <cellStyle name="Calculation 5 3 2 3 3" xfId="1576" xr:uid="{00000000-0005-0000-0000-000026060000}"/>
    <cellStyle name="Calculation 5 3 2 3 4" xfId="1577" xr:uid="{00000000-0005-0000-0000-000027060000}"/>
    <cellStyle name="Calculation 5 3 2 4" xfId="1578" xr:uid="{00000000-0005-0000-0000-000028060000}"/>
    <cellStyle name="Calculation 5 3 2 4 2" xfId="1579" xr:uid="{00000000-0005-0000-0000-000029060000}"/>
    <cellStyle name="Calculation 5 3 2 4 2 2" xfId="1580" xr:uid="{00000000-0005-0000-0000-00002A060000}"/>
    <cellStyle name="Calculation 5 3 2 4 3" xfId="1581" xr:uid="{00000000-0005-0000-0000-00002B060000}"/>
    <cellStyle name="Calculation 5 3 2 5" xfId="1582" xr:uid="{00000000-0005-0000-0000-00002C060000}"/>
    <cellStyle name="Calculation 5 3 2 5 2" xfId="1583" xr:uid="{00000000-0005-0000-0000-00002D060000}"/>
    <cellStyle name="Calculation 5 3 2 6" xfId="1584" xr:uid="{00000000-0005-0000-0000-00002E060000}"/>
    <cellStyle name="Calculation 5 3 3" xfId="1585" xr:uid="{00000000-0005-0000-0000-00002F060000}"/>
    <cellStyle name="Calculation 5 3 3 2" xfId="1586" xr:uid="{00000000-0005-0000-0000-000030060000}"/>
    <cellStyle name="Calculation 5 3 3 2 2" xfId="1587" xr:uid="{00000000-0005-0000-0000-000031060000}"/>
    <cellStyle name="Calculation 5 3 3 2 2 2" xfId="1588" xr:uid="{00000000-0005-0000-0000-000032060000}"/>
    <cellStyle name="Calculation 5 3 3 2 2 2 2" xfId="1589" xr:uid="{00000000-0005-0000-0000-000033060000}"/>
    <cellStyle name="Calculation 5 3 3 2 2 3" xfId="1590" xr:uid="{00000000-0005-0000-0000-000034060000}"/>
    <cellStyle name="Calculation 5 3 3 2 3" xfId="1591" xr:uid="{00000000-0005-0000-0000-000035060000}"/>
    <cellStyle name="Calculation 5 3 3 2 3 2" xfId="1592" xr:uid="{00000000-0005-0000-0000-000036060000}"/>
    <cellStyle name="Calculation 5 3 3 2 4" xfId="1593" xr:uid="{00000000-0005-0000-0000-000037060000}"/>
    <cellStyle name="Calculation 5 3 3 3" xfId="1594" xr:uid="{00000000-0005-0000-0000-000038060000}"/>
    <cellStyle name="Calculation 5 3 3 3 2" xfId="1595" xr:uid="{00000000-0005-0000-0000-000039060000}"/>
    <cellStyle name="Calculation 5 3 3 3 2 2" xfId="1596" xr:uid="{00000000-0005-0000-0000-00003A060000}"/>
    <cellStyle name="Calculation 5 3 3 3 3" xfId="1597" xr:uid="{00000000-0005-0000-0000-00003B060000}"/>
    <cellStyle name="Calculation 5 3 3 3 4" xfId="1598" xr:uid="{00000000-0005-0000-0000-00003C060000}"/>
    <cellStyle name="Calculation 5 3 3 4" xfId="1599" xr:uid="{00000000-0005-0000-0000-00003D060000}"/>
    <cellStyle name="Calculation 5 3 3 4 2" xfId="1600" xr:uid="{00000000-0005-0000-0000-00003E060000}"/>
    <cellStyle name="Calculation 5 3 3 4 2 2" xfId="1601" xr:uid="{00000000-0005-0000-0000-00003F060000}"/>
    <cellStyle name="Calculation 5 3 3 4 3" xfId="1602" xr:uid="{00000000-0005-0000-0000-000040060000}"/>
    <cellStyle name="Calculation 5 3 3 5" xfId="1603" xr:uid="{00000000-0005-0000-0000-000041060000}"/>
    <cellStyle name="Calculation 5 3 3 5 2" xfId="1604" xr:uid="{00000000-0005-0000-0000-000042060000}"/>
    <cellStyle name="Calculation 5 3 3 6" xfId="1605" xr:uid="{00000000-0005-0000-0000-000043060000}"/>
    <cellStyle name="Calculation 5 3 4" xfId="1606" xr:uid="{00000000-0005-0000-0000-000044060000}"/>
    <cellStyle name="Calculation 5 3 4 2" xfId="1607" xr:uid="{00000000-0005-0000-0000-000045060000}"/>
    <cellStyle name="Calculation 5 3 4 2 2" xfId="1608" xr:uid="{00000000-0005-0000-0000-000046060000}"/>
    <cellStyle name="Calculation 5 3 4 2 2 2" xfId="1609" xr:uid="{00000000-0005-0000-0000-000047060000}"/>
    <cellStyle name="Calculation 5 3 4 2 3" xfId="1610" xr:uid="{00000000-0005-0000-0000-000048060000}"/>
    <cellStyle name="Calculation 5 3 4 3" xfId="1611" xr:uid="{00000000-0005-0000-0000-000049060000}"/>
    <cellStyle name="Calculation 5 3 4 3 2" xfId="1612" xr:uid="{00000000-0005-0000-0000-00004A060000}"/>
    <cellStyle name="Calculation 5 3 4 4" xfId="1613" xr:uid="{00000000-0005-0000-0000-00004B060000}"/>
    <cellStyle name="Calculation 5 3 5" xfId="1614" xr:uid="{00000000-0005-0000-0000-00004C060000}"/>
    <cellStyle name="Calculation 5 3 5 2" xfId="1615" xr:uid="{00000000-0005-0000-0000-00004D060000}"/>
    <cellStyle name="Calculation 5 3 5 2 2" xfId="1616" xr:uid="{00000000-0005-0000-0000-00004E060000}"/>
    <cellStyle name="Calculation 5 3 5 3" xfId="1617" xr:uid="{00000000-0005-0000-0000-00004F060000}"/>
    <cellStyle name="Calculation 5 3 5 4" xfId="1618" xr:uid="{00000000-0005-0000-0000-000050060000}"/>
    <cellStyle name="Calculation 5 3 6" xfId="1619" xr:uid="{00000000-0005-0000-0000-000051060000}"/>
    <cellStyle name="Calculation 5 3 6 2" xfId="1620" xr:uid="{00000000-0005-0000-0000-000052060000}"/>
    <cellStyle name="Calculation 5 3 6 2 2" xfId="1621" xr:uid="{00000000-0005-0000-0000-000053060000}"/>
    <cellStyle name="Calculation 5 3 6 3" xfId="1622" xr:uid="{00000000-0005-0000-0000-000054060000}"/>
    <cellStyle name="Calculation 5 3 7" xfId="1623" xr:uid="{00000000-0005-0000-0000-000055060000}"/>
    <cellStyle name="Calculation 5 3 7 2" xfId="1624" xr:uid="{00000000-0005-0000-0000-000056060000}"/>
    <cellStyle name="Calculation 5 3 8" xfId="1625" xr:uid="{00000000-0005-0000-0000-000057060000}"/>
    <cellStyle name="Calculation 5 4" xfId="1626" xr:uid="{00000000-0005-0000-0000-000058060000}"/>
    <cellStyle name="Calculation 5 4 2" xfId="1627" xr:uid="{00000000-0005-0000-0000-000059060000}"/>
    <cellStyle name="Calculation 5 4 2 2" xfId="1628" xr:uid="{00000000-0005-0000-0000-00005A060000}"/>
    <cellStyle name="Calculation 5 4 2 2 2" xfId="1629" xr:uid="{00000000-0005-0000-0000-00005B060000}"/>
    <cellStyle name="Calculation 5 4 2 2 2 2" xfId="1630" xr:uid="{00000000-0005-0000-0000-00005C060000}"/>
    <cellStyle name="Calculation 5 4 2 2 3" xfId="1631" xr:uid="{00000000-0005-0000-0000-00005D060000}"/>
    <cellStyle name="Calculation 5 4 2 3" xfId="1632" xr:uid="{00000000-0005-0000-0000-00005E060000}"/>
    <cellStyle name="Calculation 5 4 2 3 2" xfId="1633" xr:uid="{00000000-0005-0000-0000-00005F060000}"/>
    <cellStyle name="Calculation 5 4 2 4" xfId="1634" xr:uid="{00000000-0005-0000-0000-000060060000}"/>
    <cellStyle name="Calculation 5 4 3" xfId="1635" xr:uid="{00000000-0005-0000-0000-000061060000}"/>
    <cellStyle name="Calculation 5 4 3 2" xfId="1636" xr:uid="{00000000-0005-0000-0000-000062060000}"/>
    <cellStyle name="Calculation 5 4 3 2 2" xfId="1637" xr:uid="{00000000-0005-0000-0000-000063060000}"/>
    <cellStyle name="Calculation 5 4 3 3" xfId="1638" xr:uid="{00000000-0005-0000-0000-000064060000}"/>
    <cellStyle name="Calculation 5 4 3 4" xfId="1639" xr:uid="{00000000-0005-0000-0000-000065060000}"/>
    <cellStyle name="Calculation 5 4 4" xfId="1640" xr:uid="{00000000-0005-0000-0000-000066060000}"/>
    <cellStyle name="Calculation 5 4 4 2" xfId="1641" xr:uid="{00000000-0005-0000-0000-000067060000}"/>
    <cellStyle name="Calculation 5 4 4 2 2" xfId="1642" xr:uid="{00000000-0005-0000-0000-000068060000}"/>
    <cellStyle name="Calculation 5 4 4 3" xfId="1643" xr:uid="{00000000-0005-0000-0000-000069060000}"/>
    <cellStyle name="Calculation 5 4 5" xfId="1644" xr:uid="{00000000-0005-0000-0000-00006A060000}"/>
    <cellStyle name="Calculation 5 4 5 2" xfId="1645" xr:uid="{00000000-0005-0000-0000-00006B060000}"/>
    <cellStyle name="Calculation 5 4 6" xfId="1646" xr:uid="{00000000-0005-0000-0000-00006C060000}"/>
    <cellStyle name="Calculation 6" xfId="1647" xr:uid="{00000000-0005-0000-0000-00006D060000}"/>
    <cellStyle name="Calculation 6 2" xfId="1648" xr:uid="{00000000-0005-0000-0000-00006E060000}"/>
    <cellStyle name="Calculation 6 2 2" xfId="1649" xr:uid="{00000000-0005-0000-0000-00006F060000}"/>
    <cellStyle name="Calculation 6 2 2 2" xfId="1650" xr:uid="{00000000-0005-0000-0000-000070060000}"/>
    <cellStyle name="Calculation 6 2 2 2 2" xfId="1651" xr:uid="{00000000-0005-0000-0000-000071060000}"/>
    <cellStyle name="Calculation 6 2 2 2 2 2" xfId="1652" xr:uid="{00000000-0005-0000-0000-000072060000}"/>
    <cellStyle name="Calculation 6 2 2 2 2 2 2" xfId="1653" xr:uid="{00000000-0005-0000-0000-000073060000}"/>
    <cellStyle name="Calculation 6 2 2 2 2 3" xfId="1654" xr:uid="{00000000-0005-0000-0000-000074060000}"/>
    <cellStyle name="Calculation 6 2 2 2 3" xfId="1655" xr:uid="{00000000-0005-0000-0000-000075060000}"/>
    <cellStyle name="Calculation 6 2 2 2 3 2" xfId="1656" xr:uid="{00000000-0005-0000-0000-000076060000}"/>
    <cellStyle name="Calculation 6 2 2 2 4" xfId="1657" xr:uid="{00000000-0005-0000-0000-000077060000}"/>
    <cellStyle name="Calculation 6 2 2 3" xfId="1658" xr:uid="{00000000-0005-0000-0000-000078060000}"/>
    <cellStyle name="Calculation 6 2 2 3 2" xfId="1659" xr:uid="{00000000-0005-0000-0000-000079060000}"/>
    <cellStyle name="Calculation 6 2 2 3 2 2" xfId="1660" xr:uid="{00000000-0005-0000-0000-00007A060000}"/>
    <cellStyle name="Calculation 6 2 2 3 3" xfId="1661" xr:uid="{00000000-0005-0000-0000-00007B060000}"/>
    <cellStyle name="Calculation 6 2 2 3 4" xfId="1662" xr:uid="{00000000-0005-0000-0000-00007C060000}"/>
    <cellStyle name="Calculation 6 2 2 4" xfId="1663" xr:uid="{00000000-0005-0000-0000-00007D060000}"/>
    <cellStyle name="Calculation 6 2 2 4 2" xfId="1664" xr:uid="{00000000-0005-0000-0000-00007E060000}"/>
    <cellStyle name="Calculation 6 2 2 4 2 2" xfId="1665" xr:uid="{00000000-0005-0000-0000-00007F060000}"/>
    <cellStyle name="Calculation 6 2 2 4 3" xfId="1666" xr:uid="{00000000-0005-0000-0000-000080060000}"/>
    <cellStyle name="Calculation 6 2 2 5" xfId="1667" xr:uid="{00000000-0005-0000-0000-000081060000}"/>
    <cellStyle name="Calculation 6 2 2 5 2" xfId="1668" xr:uid="{00000000-0005-0000-0000-000082060000}"/>
    <cellStyle name="Calculation 6 2 2 6" xfId="1669" xr:uid="{00000000-0005-0000-0000-000083060000}"/>
    <cellStyle name="Calculation 6 2 3" xfId="1670" xr:uid="{00000000-0005-0000-0000-000084060000}"/>
    <cellStyle name="Calculation 6 2 3 2" xfId="1671" xr:uid="{00000000-0005-0000-0000-000085060000}"/>
    <cellStyle name="Calculation 6 2 3 2 2" xfId="1672" xr:uid="{00000000-0005-0000-0000-000086060000}"/>
    <cellStyle name="Calculation 6 2 3 2 2 2" xfId="1673" xr:uid="{00000000-0005-0000-0000-000087060000}"/>
    <cellStyle name="Calculation 6 2 3 2 2 2 2" xfId="1674" xr:uid="{00000000-0005-0000-0000-000088060000}"/>
    <cellStyle name="Calculation 6 2 3 2 2 3" xfId="1675" xr:uid="{00000000-0005-0000-0000-000089060000}"/>
    <cellStyle name="Calculation 6 2 3 2 3" xfId="1676" xr:uid="{00000000-0005-0000-0000-00008A060000}"/>
    <cellStyle name="Calculation 6 2 3 2 3 2" xfId="1677" xr:uid="{00000000-0005-0000-0000-00008B060000}"/>
    <cellStyle name="Calculation 6 2 3 2 4" xfId="1678" xr:uid="{00000000-0005-0000-0000-00008C060000}"/>
    <cellStyle name="Calculation 6 2 3 3" xfId="1679" xr:uid="{00000000-0005-0000-0000-00008D060000}"/>
    <cellStyle name="Calculation 6 2 3 3 2" xfId="1680" xr:uid="{00000000-0005-0000-0000-00008E060000}"/>
    <cellStyle name="Calculation 6 2 3 3 2 2" xfId="1681" xr:uid="{00000000-0005-0000-0000-00008F060000}"/>
    <cellStyle name="Calculation 6 2 3 3 3" xfId="1682" xr:uid="{00000000-0005-0000-0000-000090060000}"/>
    <cellStyle name="Calculation 6 2 3 3 4" xfId="1683" xr:uid="{00000000-0005-0000-0000-000091060000}"/>
    <cellStyle name="Calculation 6 2 3 4" xfId="1684" xr:uid="{00000000-0005-0000-0000-000092060000}"/>
    <cellStyle name="Calculation 6 2 3 4 2" xfId="1685" xr:uid="{00000000-0005-0000-0000-000093060000}"/>
    <cellStyle name="Calculation 6 2 3 4 2 2" xfId="1686" xr:uid="{00000000-0005-0000-0000-000094060000}"/>
    <cellStyle name="Calculation 6 2 3 4 3" xfId="1687" xr:uid="{00000000-0005-0000-0000-000095060000}"/>
    <cellStyle name="Calculation 6 2 3 5" xfId="1688" xr:uid="{00000000-0005-0000-0000-000096060000}"/>
    <cellStyle name="Calculation 6 2 3 5 2" xfId="1689" xr:uid="{00000000-0005-0000-0000-000097060000}"/>
    <cellStyle name="Calculation 6 2 3 6" xfId="1690" xr:uid="{00000000-0005-0000-0000-000098060000}"/>
    <cellStyle name="Calculation 6 2 4" xfId="1691" xr:uid="{00000000-0005-0000-0000-000099060000}"/>
    <cellStyle name="Calculation 6 2 4 2" xfId="1692" xr:uid="{00000000-0005-0000-0000-00009A060000}"/>
    <cellStyle name="Calculation 6 2 4 2 2" xfId="1693" xr:uid="{00000000-0005-0000-0000-00009B060000}"/>
    <cellStyle name="Calculation 6 2 4 2 2 2" xfId="1694" xr:uid="{00000000-0005-0000-0000-00009C060000}"/>
    <cellStyle name="Calculation 6 2 4 2 3" xfId="1695" xr:uid="{00000000-0005-0000-0000-00009D060000}"/>
    <cellStyle name="Calculation 6 2 4 3" xfId="1696" xr:uid="{00000000-0005-0000-0000-00009E060000}"/>
    <cellStyle name="Calculation 6 2 4 3 2" xfId="1697" xr:uid="{00000000-0005-0000-0000-00009F060000}"/>
    <cellStyle name="Calculation 6 2 4 4" xfId="1698" xr:uid="{00000000-0005-0000-0000-0000A0060000}"/>
    <cellStyle name="Calculation 6 2 5" xfId="1699" xr:uid="{00000000-0005-0000-0000-0000A1060000}"/>
    <cellStyle name="Calculation 6 2 5 2" xfId="1700" xr:uid="{00000000-0005-0000-0000-0000A2060000}"/>
    <cellStyle name="Calculation 6 2 5 2 2" xfId="1701" xr:uid="{00000000-0005-0000-0000-0000A3060000}"/>
    <cellStyle name="Calculation 6 2 5 3" xfId="1702" xr:uid="{00000000-0005-0000-0000-0000A4060000}"/>
    <cellStyle name="Calculation 6 2 5 4" xfId="1703" xr:uid="{00000000-0005-0000-0000-0000A5060000}"/>
    <cellStyle name="Calculation 6 2 6" xfId="1704" xr:uid="{00000000-0005-0000-0000-0000A6060000}"/>
    <cellStyle name="Calculation 6 2 6 2" xfId="1705" xr:uid="{00000000-0005-0000-0000-0000A7060000}"/>
    <cellStyle name="Calculation 6 2 6 2 2" xfId="1706" xr:uid="{00000000-0005-0000-0000-0000A8060000}"/>
    <cellStyle name="Calculation 6 2 6 3" xfId="1707" xr:uid="{00000000-0005-0000-0000-0000A9060000}"/>
    <cellStyle name="Calculation 6 2 7" xfId="1708" xr:uid="{00000000-0005-0000-0000-0000AA060000}"/>
    <cellStyle name="Calculation 6 2 7 2" xfId="1709" xr:uid="{00000000-0005-0000-0000-0000AB060000}"/>
    <cellStyle name="Calculation 6 2 8" xfId="1710" xr:uid="{00000000-0005-0000-0000-0000AC060000}"/>
    <cellStyle name="Calculation 6 3" xfId="1711" xr:uid="{00000000-0005-0000-0000-0000AD060000}"/>
    <cellStyle name="Calculation 6 3 2" xfId="1712" xr:uid="{00000000-0005-0000-0000-0000AE060000}"/>
    <cellStyle name="Calculation 6 3 2 2" xfId="1713" xr:uid="{00000000-0005-0000-0000-0000AF060000}"/>
    <cellStyle name="Calculation 6 3 2 2 2" xfId="1714" xr:uid="{00000000-0005-0000-0000-0000B0060000}"/>
    <cellStyle name="Calculation 6 3 2 2 2 2" xfId="1715" xr:uid="{00000000-0005-0000-0000-0000B1060000}"/>
    <cellStyle name="Calculation 6 3 2 2 3" xfId="1716" xr:uid="{00000000-0005-0000-0000-0000B2060000}"/>
    <cellStyle name="Calculation 6 3 2 3" xfId="1717" xr:uid="{00000000-0005-0000-0000-0000B3060000}"/>
    <cellStyle name="Calculation 6 3 2 3 2" xfId="1718" xr:uid="{00000000-0005-0000-0000-0000B4060000}"/>
    <cellStyle name="Calculation 6 3 2 4" xfId="1719" xr:uid="{00000000-0005-0000-0000-0000B5060000}"/>
    <cellStyle name="Calculation 6 3 3" xfId="1720" xr:uid="{00000000-0005-0000-0000-0000B6060000}"/>
    <cellStyle name="Calculation 6 3 3 2" xfId="1721" xr:uid="{00000000-0005-0000-0000-0000B7060000}"/>
    <cellStyle name="Calculation 6 3 3 2 2" xfId="1722" xr:uid="{00000000-0005-0000-0000-0000B8060000}"/>
    <cellStyle name="Calculation 6 3 3 3" xfId="1723" xr:uid="{00000000-0005-0000-0000-0000B9060000}"/>
    <cellStyle name="Calculation 6 3 3 4" xfId="1724" xr:uid="{00000000-0005-0000-0000-0000BA060000}"/>
    <cellStyle name="Calculation 6 3 4" xfId="1725" xr:uid="{00000000-0005-0000-0000-0000BB060000}"/>
    <cellStyle name="Calculation 6 3 4 2" xfId="1726" xr:uid="{00000000-0005-0000-0000-0000BC060000}"/>
    <cellStyle name="Calculation 6 3 4 2 2" xfId="1727" xr:uid="{00000000-0005-0000-0000-0000BD060000}"/>
    <cellStyle name="Calculation 6 3 4 3" xfId="1728" xr:uid="{00000000-0005-0000-0000-0000BE060000}"/>
    <cellStyle name="Calculation 6 3 5" xfId="1729" xr:uid="{00000000-0005-0000-0000-0000BF060000}"/>
    <cellStyle name="Calculation 6 3 5 2" xfId="1730" xr:uid="{00000000-0005-0000-0000-0000C0060000}"/>
    <cellStyle name="Calculation 6 3 6" xfId="1731" xr:uid="{00000000-0005-0000-0000-0000C1060000}"/>
    <cellStyle name="Calculation 6 4" xfId="1732" xr:uid="{00000000-0005-0000-0000-0000C2060000}"/>
    <cellStyle name="Calculation 6 4 2" xfId="1733" xr:uid="{00000000-0005-0000-0000-0000C3060000}"/>
    <cellStyle name="Calculation 7" xfId="1734" xr:uid="{00000000-0005-0000-0000-0000C4060000}"/>
    <cellStyle name="Calculation 7 2" xfId="1735" xr:uid="{00000000-0005-0000-0000-0000C5060000}"/>
    <cellStyle name="Calculation 7 2 2" xfId="1736" xr:uid="{00000000-0005-0000-0000-0000C6060000}"/>
    <cellStyle name="Calculation 7 2 2 2" xfId="1737" xr:uid="{00000000-0005-0000-0000-0000C7060000}"/>
    <cellStyle name="Calculation 7 2 2 2 2" xfId="1738" xr:uid="{00000000-0005-0000-0000-0000C8060000}"/>
    <cellStyle name="Calculation 7 2 2 2 2 2" xfId="1739" xr:uid="{00000000-0005-0000-0000-0000C9060000}"/>
    <cellStyle name="Calculation 7 2 2 2 3" xfId="1740" xr:uid="{00000000-0005-0000-0000-0000CA060000}"/>
    <cellStyle name="Calculation 7 2 2 3" xfId="1741" xr:uid="{00000000-0005-0000-0000-0000CB060000}"/>
    <cellStyle name="Calculation 7 2 2 3 2" xfId="1742" xr:uid="{00000000-0005-0000-0000-0000CC060000}"/>
    <cellStyle name="Calculation 7 2 2 4" xfId="1743" xr:uid="{00000000-0005-0000-0000-0000CD060000}"/>
    <cellStyle name="Calculation 7 2 3" xfId="1744" xr:uid="{00000000-0005-0000-0000-0000CE060000}"/>
    <cellStyle name="Calculation 7 2 3 2" xfId="1745" xr:uid="{00000000-0005-0000-0000-0000CF060000}"/>
    <cellStyle name="Calculation 7 2 3 2 2" xfId="1746" xr:uid="{00000000-0005-0000-0000-0000D0060000}"/>
    <cellStyle name="Calculation 7 2 3 3" xfId="1747" xr:uid="{00000000-0005-0000-0000-0000D1060000}"/>
    <cellStyle name="Calculation 7 2 3 4" xfId="1748" xr:uid="{00000000-0005-0000-0000-0000D2060000}"/>
    <cellStyle name="Calculation 7 2 4" xfId="1749" xr:uid="{00000000-0005-0000-0000-0000D3060000}"/>
    <cellStyle name="Calculation 7 2 4 2" xfId="1750" xr:uid="{00000000-0005-0000-0000-0000D4060000}"/>
    <cellStyle name="Calculation 7 2 4 2 2" xfId="1751" xr:uid="{00000000-0005-0000-0000-0000D5060000}"/>
    <cellStyle name="Calculation 7 2 4 3" xfId="1752" xr:uid="{00000000-0005-0000-0000-0000D6060000}"/>
    <cellStyle name="Calculation 7 2 5" xfId="1753" xr:uid="{00000000-0005-0000-0000-0000D7060000}"/>
    <cellStyle name="Calculation 7 2 5 2" xfId="1754" xr:uid="{00000000-0005-0000-0000-0000D8060000}"/>
    <cellStyle name="Calculation 7 2 6" xfId="1755" xr:uid="{00000000-0005-0000-0000-0000D9060000}"/>
    <cellStyle name="Calculation 7 3" xfId="1756" xr:uid="{00000000-0005-0000-0000-0000DA060000}"/>
    <cellStyle name="Calculation 7 3 2" xfId="1757" xr:uid="{00000000-0005-0000-0000-0000DB060000}"/>
    <cellStyle name="Calculation 7 3 2 2" xfId="1758" xr:uid="{00000000-0005-0000-0000-0000DC060000}"/>
    <cellStyle name="Calculation 7 3 2 2 2" xfId="1759" xr:uid="{00000000-0005-0000-0000-0000DD060000}"/>
    <cellStyle name="Calculation 7 3 2 2 2 2" xfId="1760" xr:uid="{00000000-0005-0000-0000-0000DE060000}"/>
    <cellStyle name="Calculation 7 3 2 2 3" xfId="1761" xr:uid="{00000000-0005-0000-0000-0000DF060000}"/>
    <cellStyle name="Calculation 7 3 2 3" xfId="1762" xr:uid="{00000000-0005-0000-0000-0000E0060000}"/>
    <cellStyle name="Calculation 7 3 2 3 2" xfId="1763" xr:uid="{00000000-0005-0000-0000-0000E1060000}"/>
    <cellStyle name="Calculation 7 3 2 4" xfId="1764" xr:uid="{00000000-0005-0000-0000-0000E2060000}"/>
    <cellStyle name="Calculation 7 3 3" xfId="1765" xr:uid="{00000000-0005-0000-0000-0000E3060000}"/>
    <cellStyle name="Calculation 7 3 3 2" xfId="1766" xr:uid="{00000000-0005-0000-0000-0000E4060000}"/>
    <cellStyle name="Calculation 7 3 3 2 2" xfId="1767" xr:uid="{00000000-0005-0000-0000-0000E5060000}"/>
    <cellStyle name="Calculation 7 3 3 3" xfId="1768" xr:uid="{00000000-0005-0000-0000-0000E6060000}"/>
    <cellStyle name="Calculation 7 3 3 4" xfId="1769" xr:uid="{00000000-0005-0000-0000-0000E7060000}"/>
    <cellStyle name="Calculation 7 3 4" xfId="1770" xr:uid="{00000000-0005-0000-0000-0000E8060000}"/>
    <cellStyle name="Calculation 7 3 4 2" xfId="1771" xr:uid="{00000000-0005-0000-0000-0000E9060000}"/>
    <cellStyle name="Calculation 7 3 4 2 2" xfId="1772" xr:uid="{00000000-0005-0000-0000-0000EA060000}"/>
    <cellStyle name="Calculation 7 3 4 3" xfId="1773" xr:uid="{00000000-0005-0000-0000-0000EB060000}"/>
    <cellStyle name="Calculation 7 3 5" xfId="1774" xr:uid="{00000000-0005-0000-0000-0000EC060000}"/>
    <cellStyle name="Calculation 7 3 5 2" xfId="1775" xr:uid="{00000000-0005-0000-0000-0000ED060000}"/>
    <cellStyle name="Calculation 7 3 6" xfId="1776" xr:uid="{00000000-0005-0000-0000-0000EE060000}"/>
    <cellStyle name="Calculation 7 4" xfId="1777" xr:uid="{00000000-0005-0000-0000-0000EF060000}"/>
    <cellStyle name="Calculation 7 4 2" xfId="1778" xr:uid="{00000000-0005-0000-0000-0000F0060000}"/>
    <cellStyle name="Calculation 7 4 2 2" xfId="1779" xr:uid="{00000000-0005-0000-0000-0000F1060000}"/>
    <cellStyle name="Calculation 7 4 2 2 2" xfId="1780" xr:uid="{00000000-0005-0000-0000-0000F2060000}"/>
    <cellStyle name="Calculation 7 4 2 3" xfId="1781" xr:uid="{00000000-0005-0000-0000-0000F3060000}"/>
    <cellStyle name="Calculation 7 4 3" xfId="1782" xr:uid="{00000000-0005-0000-0000-0000F4060000}"/>
    <cellStyle name="Calculation 7 4 3 2" xfId="1783" xr:uid="{00000000-0005-0000-0000-0000F5060000}"/>
    <cellStyle name="Calculation 7 4 4" xfId="1784" xr:uid="{00000000-0005-0000-0000-0000F6060000}"/>
    <cellStyle name="Calculation 7 5" xfId="1785" xr:uid="{00000000-0005-0000-0000-0000F7060000}"/>
    <cellStyle name="Calculation 7 5 2" xfId="1786" xr:uid="{00000000-0005-0000-0000-0000F8060000}"/>
    <cellStyle name="Calculation 7 5 2 2" xfId="1787" xr:uid="{00000000-0005-0000-0000-0000F9060000}"/>
    <cellStyle name="Calculation 7 5 3" xfId="1788" xr:uid="{00000000-0005-0000-0000-0000FA060000}"/>
    <cellStyle name="Calculation 7 5 4" xfId="1789" xr:uid="{00000000-0005-0000-0000-0000FB060000}"/>
    <cellStyle name="Calculation 7 6" xfId="1790" xr:uid="{00000000-0005-0000-0000-0000FC060000}"/>
    <cellStyle name="Calculation 7 6 2" xfId="1791" xr:uid="{00000000-0005-0000-0000-0000FD060000}"/>
    <cellStyle name="Calculation 7 6 2 2" xfId="1792" xr:uid="{00000000-0005-0000-0000-0000FE060000}"/>
    <cellStyle name="Calculation 7 6 3" xfId="1793" xr:uid="{00000000-0005-0000-0000-0000FF060000}"/>
    <cellStyle name="Calculation 7 7" xfId="1794" xr:uid="{00000000-0005-0000-0000-000000070000}"/>
    <cellStyle name="Calculation 7 7 2" xfId="1795" xr:uid="{00000000-0005-0000-0000-000001070000}"/>
    <cellStyle name="Calculation 7 8" xfId="1796" xr:uid="{00000000-0005-0000-0000-000002070000}"/>
    <cellStyle name="Check Cell 2" xfId="1797" xr:uid="{00000000-0005-0000-0000-000003070000}"/>
    <cellStyle name="Check Cell 2 2" xfId="1798" xr:uid="{00000000-0005-0000-0000-000004070000}"/>
    <cellStyle name="Check Cell 3" xfId="1799" xr:uid="{00000000-0005-0000-0000-000005070000}"/>
    <cellStyle name="Check Cell 4" xfId="1800" xr:uid="{00000000-0005-0000-0000-000006070000}"/>
    <cellStyle name="code" xfId="1801" xr:uid="{00000000-0005-0000-0000-000007070000}"/>
    <cellStyle name="Comma [0] 2" xfId="1802" xr:uid="{00000000-0005-0000-0000-000008070000}"/>
    <cellStyle name="Comma [0] 2 2" xfId="1803" xr:uid="{00000000-0005-0000-0000-000009070000}"/>
    <cellStyle name="Comma [0] 2 2 2" xfId="1804" xr:uid="{00000000-0005-0000-0000-00000A070000}"/>
    <cellStyle name="Comma [0] 3" xfId="1805" xr:uid="{00000000-0005-0000-0000-00000B070000}"/>
    <cellStyle name="Comma [0] 3 2" xfId="1806" xr:uid="{00000000-0005-0000-0000-00000C070000}"/>
    <cellStyle name="Comma [0] 3 2 2" xfId="1807" xr:uid="{00000000-0005-0000-0000-00000D070000}"/>
    <cellStyle name="Comma [0] 4" xfId="1808" xr:uid="{00000000-0005-0000-0000-00000E070000}"/>
    <cellStyle name="Comma [0] 4 2" xfId="1809" xr:uid="{00000000-0005-0000-0000-00000F070000}"/>
    <cellStyle name="Comma [0] 5" xfId="1" xr:uid="{00000000-0005-0000-0000-000010070000}"/>
    <cellStyle name="Comma 10" xfId="1810" xr:uid="{00000000-0005-0000-0000-000011070000}"/>
    <cellStyle name="Comma 10 2" xfId="1811" xr:uid="{00000000-0005-0000-0000-000012070000}"/>
    <cellStyle name="Comma 10 2 2" xfId="1812" xr:uid="{00000000-0005-0000-0000-000013070000}"/>
    <cellStyle name="Comma 10 2 2 2" xfId="1813" xr:uid="{00000000-0005-0000-0000-000014070000}"/>
    <cellStyle name="Comma 10 2 2 2 2" xfId="1814" xr:uid="{00000000-0005-0000-0000-000015070000}"/>
    <cellStyle name="Comma 10 2 2 3" xfId="1815" xr:uid="{00000000-0005-0000-0000-000016070000}"/>
    <cellStyle name="Comma 10 2 3" xfId="1816" xr:uid="{00000000-0005-0000-0000-000017070000}"/>
    <cellStyle name="Comma 10 2 3 2" xfId="1817" xr:uid="{00000000-0005-0000-0000-000018070000}"/>
    <cellStyle name="Comma 10 2 4" xfId="1818" xr:uid="{00000000-0005-0000-0000-000019070000}"/>
    <cellStyle name="Comma 10 3" xfId="1819" xr:uid="{00000000-0005-0000-0000-00001A070000}"/>
    <cellStyle name="Comma 10 3 2" xfId="1820" xr:uid="{00000000-0005-0000-0000-00001B070000}"/>
    <cellStyle name="Comma 10 3 2 2" xfId="1821" xr:uid="{00000000-0005-0000-0000-00001C070000}"/>
    <cellStyle name="Comma 10 3 3" xfId="1822" xr:uid="{00000000-0005-0000-0000-00001D070000}"/>
    <cellStyle name="Comma 10 4" xfId="1823" xr:uid="{00000000-0005-0000-0000-00001E070000}"/>
    <cellStyle name="Comma 10 4 2" xfId="1824" xr:uid="{00000000-0005-0000-0000-00001F070000}"/>
    <cellStyle name="Comma 10 5" xfId="1825" xr:uid="{00000000-0005-0000-0000-000020070000}"/>
    <cellStyle name="Comma 10 5 2" xfId="1826" xr:uid="{00000000-0005-0000-0000-000021070000}"/>
    <cellStyle name="Comma 10 6" xfId="1827" xr:uid="{00000000-0005-0000-0000-000022070000}"/>
    <cellStyle name="Comma 100" xfId="1828" xr:uid="{00000000-0005-0000-0000-000023070000}"/>
    <cellStyle name="Comma 101" xfId="1829" xr:uid="{00000000-0005-0000-0000-000024070000}"/>
    <cellStyle name="Comma 102" xfId="1830" xr:uid="{00000000-0005-0000-0000-000025070000}"/>
    <cellStyle name="Comma 103" xfId="1831" xr:uid="{00000000-0005-0000-0000-000026070000}"/>
    <cellStyle name="Comma 104" xfId="1832" xr:uid="{00000000-0005-0000-0000-000027070000}"/>
    <cellStyle name="Comma 105" xfId="1833" xr:uid="{00000000-0005-0000-0000-000028070000}"/>
    <cellStyle name="Comma 106" xfId="1834" xr:uid="{00000000-0005-0000-0000-000029070000}"/>
    <cellStyle name="Comma 107" xfId="1835" xr:uid="{00000000-0005-0000-0000-00002A070000}"/>
    <cellStyle name="Comma 108" xfId="1836" xr:uid="{00000000-0005-0000-0000-00002B070000}"/>
    <cellStyle name="Comma 109" xfId="1837" xr:uid="{00000000-0005-0000-0000-00002C070000}"/>
    <cellStyle name="Comma 11" xfId="1838" xr:uid="{00000000-0005-0000-0000-00002D070000}"/>
    <cellStyle name="Comma 11 2" xfId="1839" xr:uid="{00000000-0005-0000-0000-00002E070000}"/>
    <cellStyle name="Comma 11 2 2" xfId="1840" xr:uid="{00000000-0005-0000-0000-00002F070000}"/>
    <cellStyle name="Comma 11 2 2 2" xfId="1841" xr:uid="{00000000-0005-0000-0000-000030070000}"/>
    <cellStyle name="Comma 11 2 3" xfId="1842" xr:uid="{00000000-0005-0000-0000-000031070000}"/>
    <cellStyle name="Comma 11 3" xfId="1843" xr:uid="{00000000-0005-0000-0000-000032070000}"/>
    <cellStyle name="Comma 11 3 2" xfId="1844" xr:uid="{00000000-0005-0000-0000-000033070000}"/>
    <cellStyle name="Comma 11 4" xfId="1845" xr:uid="{00000000-0005-0000-0000-000034070000}"/>
    <cellStyle name="Comma 11 4 2" xfId="1846" xr:uid="{00000000-0005-0000-0000-000035070000}"/>
    <cellStyle name="Comma 11 5" xfId="1847" xr:uid="{00000000-0005-0000-0000-000036070000}"/>
    <cellStyle name="Comma 110" xfId="1848" xr:uid="{00000000-0005-0000-0000-000037070000}"/>
    <cellStyle name="Comma 111" xfId="1849" xr:uid="{00000000-0005-0000-0000-000038070000}"/>
    <cellStyle name="Comma 112" xfId="1850" xr:uid="{00000000-0005-0000-0000-000039070000}"/>
    <cellStyle name="Comma 113" xfId="1851" xr:uid="{00000000-0005-0000-0000-00003A070000}"/>
    <cellStyle name="Comma 114" xfId="1852" xr:uid="{00000000-0005-0000-0000-00003B070000}"/>
    <cellStyle name="Comma 115" xfId="1853" xr:uid="{00000000-0005-0000-0000-00003C070000}"/>
    <cellStyle name="Comma 116" xfId="1854" xr:uid="{00000000-0005-0000-0000-00003D070000}"/>
    <cellStyle name="Comma 117" xfId="1855" xr:uid="{00000000-0005-0000-0000-00003E070000}"/>
    <cellStyle name="Comma 118" xfId="1856" xr:uid="{00000000-0005-0000-0000-00003F070000}"/>
    <cellStyle name="Comma 119" xfId="1857" xr:uid="{00000000-0005-0000-0000-000040070000}"/>
    <cellStyle name="Comma 12" xfId="1858" xr:uid="{00000000-0005-0000-0000-000041070000}"/>
    <cellStyle name="Comma 12 2" xfId="1859" xr:uid="{00000000-0005-0000-0000-000042070000}"/>
    <cellStyle name="Comma 12 2 2" xfId="1860" xr:uid="{00000000-0005-0000-0000-000043070000}"/>
    <cellStyle name="Comma 12 2 2 2" xfId="1861" xr:uid="{00000000-0005-0000-0000-000044070000}"/>
    <cellStyle name="Comma 12 2 3" xfId="1862" xr:uid="{00000000-0005-0000-0000-000045070000}"/>
    <cellStyle name="Comma 12 3" xfId="1863" xr:uid="{00000000-0005-0000-0000-000046070000}"/>
    <cellStyle name="Comma 12 3 2" xfId="1864" xr:uid="{00000000-0005-0000-0000-000047070000}"/>
    <cellStyle name="Comma 12 4" xfId="1865" xr:uid="{00000000-0005-0000-0000-000048070000}"/>
    <cellStyle name="Comma 12 4 2" xfId="1866" xr:uid="{00000000-0005-0000-0000-000049070000}"/>
    <cellStyle name="Comma 12 5" xfId="1867" xr:uid="{00000000-0005-0000-0000-00004A070000}"/>
    <cellStyle name="Comma 120" xfId="1868" xr:uid="{00000000-0005-0000-0000-00004B070000}"/>
    <cellStyle name="Comma 121" xfId="1869" xr:uid="{00000000-0005-0000-0000-00004C070000}"/>
    <cellStyle name="Comma 122" xfId="1870" xr:uid="{00000000-0005-0000-0000-00004D070000}"/>
    <cellStyle name="Comma 123" xfId="1871" xr:uid="{00000000-0005-0000-0000-00004E070000}"/>
    <cellStyle name="Comma 124" xfId="1872" xr:uid="{00000000-0005-0000-0000-00004F070000}"/>
    <cellStyle name="Comma 125" xfId="1873" xr:uid="{00000000-0005-0000-0000-000050070000}"/>
    <cellStyle name="Comma 126" xfId="1874" xr:uid="{00000000-0005-0000-0000-000051070000}"/>
    <cellStyle name="Comma 127" xfId="1875" xr:uid="{00000000-0005-0000-0000-000052070000}"/>
    <cellStyle name="Comma 128" xfId="1876" xr:uid="{00000000-0005-0000-0000-000053070000}"/>
    <cellStyle name="Comma 13" xfId="1877" xr:uid="{00000000-0005-0000-0000-000054070000}"/>
    <cellStyle name="Comma 13 2" xfId="1878" xr:uid="{00000000-0005-0000-0000-000055070000}"/>
    <cellStyle name="Comma 14" xfId="1879" xr:uid="{00000000-0005-0000-0000-000056070000}"/>
    <cellStyle name="Comma 14 2" xfId="1880" xr:uid="{00000000-0005-0000-0000-000057070000}"/>
    <cellStyle name="Comma 15" xfId="1881" xr:uid="{00000000-0005-0000-0000-000058070000}"/>
    <cellStyle name="Comma 15 2" xfId="1882" xr:uid="{00000000-0005-0000-0000-000059070000}"/>
    <cellStyle name="Comma 16" xfId="1883" xr:uid="{00000000-0005-0000-0000-00005A070000}"/>
    <cellStyle name="Comma 16 2" xfId="1884" xr:uid="{00000000-0005-0000-0000-00005B070000}"/>
    <cellStyle name="Comma 17" xfId="1885" xr:uid="{00000000-0005-0000-0000-00005C070000}"/>
    <cellStyle name="Comma 17 2" xfId="1886" xr:uid="{00000000-0005-0000-0000-00005D070000}"/>
    <cellStyle name="Comma 18" xfId="1887" xr:uid="{00000000-0005-0000-0000-00005E070000}"/>
    <cellStyle name="Comma 18 2" xfId="1888" xr:uid="{00000000-0005-0000-0000-00005F070000}"/>
    <cellStyle name="Comma 19" xfId="1889" xr:uid="{00000000-0005-0000-0000-000060070000}"/>
    <cellStyle name="Comma 19 2" xfId="1890" xr:uid="{00000000-0005-0000-0000-000061070000}"/>
    <cellStyle name="Comma 2" xfId="1891" xr:uid="{00000000-0005-0000-0000-000062070000}"/>
    <cellStyle name="Comma 2 2" xfId="1892" xr:uid="{00000000-0005-0000-0000-000063070000}"/>
    <cellStyle name="Comma 2 2 2" xfId="1893" xr:uid="{00000000-0005-0000-0000-000064070000}"/>
    <cellStyle name="Comma 2 3" xfId="1894" xr:uid="{00000000-0005-0000-0000-000065070000}"/>
    <cellStyle name="Comma 20" xfId="1895" xr:uid="{00000000-0005-0000-0000-000066070000}"/>
    <cellStyle name="Comma 20 2" xfId="1896" xr:uid="{00000000-0005-0000-0000-000067070000}"/>
    <cellStyle name="Comma 21" xfId="1897" xr:uid="{00000000-0005-0000-0000-000068070000}"/>
    <cellStyle name="Comma 21 2" xfId="1898" xr:uid="{00000000-0005-0000-0000-000069070000}"/>
    <cellStyle name="Comma 22" xfId="1899" xr:uid="{00000000-0005-0000-0000-00006A070000}"/>
    <cellStyle name="Comma 23" xfId="1900" xr:uid="{00000000-0005-0000-0000-00006B070000}"/>
    <cellStyle name="Comma 24" xfId="1901" xr:uid="{00000000-0005-0000-0000-00006C070000}"/>
    <cellStyle name="Comma 25" xfId="1902" xr:uid="{00000000-0005-0000-0000-00006D070000}"/>
    <cellStyle name="Comma 26" xfId="1903" xr:uid="{00000000-0005-0000-0000-00006E070000}"/>
    <cellStyle name="Comma 26 2" xfId="1904" xr:uid="{00000000-0005-0000-0000-00006F070000}"/>
    <cellStyle name="Comma 27" xfId="1905" xr:uid="{00000000-0005-0000-0000-000070070000}"/>
    <cellStyle name="Comma 27 2" xfId="1906" xr:uid="{00000000-0005-0000-0000-000071070000}"/>
    <cellStyle name="Comma 28" xfId="1907" xr:uid="{00000000-0005-0000-0000-000072070000}"/>
    <cellStyle name="Comma 28 2" xfId="1908" xr:uid="{00000000-0005-0000-0000-000073070000}"/>
    <cellStyle name="Comma 29" xfId="1909" xr:uid="{00000000-0005-0000-0000-000074070000}"/>
    <cellStyle name="Comma 29 2" xfId="1910" xr:uid="{00000000-0005-0000-0000-000075070000}"/>
    <cellStyle name="Comma 3" xfId="1911" xr:uid="{00000000-0005-0000-0000-000076070000}"/>
    <cellStyle name="Comma 3 2" xfId="1912" xr:uid="{00000000-0005-0000-0000-000077070000}"/>
    <cellStyle name="Comma 30" xfId="1913" xr:uid="{00000000-0005-0000-0000-000078070000}"/>
    <cellStyle name="Comma 30 2" xfId="1914" xr:uid="{00000000-0005-0000-0000-000079070000}"/>
    <cellStyle name="Comma 31" xfId="1915" xr:uid="{00000000-0005-0000-0000-00007A070000}"/>
    <cellStyle name="Comma 31 2" xfId="1916" xr:uid="{00000000-0005-0000-0000-00007B070000}"/>
    <cellStyle name="Comma 32" xfId="1917" xr:uid="{00000000-0005-0000-0000-00007C070000}"/>
    <cellStyle name="Comma 32 2" xfId="1918" xr:uid="{00000000-0005-0000-0000-00007D070000}"/>
    <cellStyle name="Comma 33" xfId="1919" xr:uid="{00000000-0005-0000-0000-00007E070000}"/>
    <cellStyle name="Comma 33 2" xfId="1920" xr:uid="{00000000-0005-0000-0000-00007F070000}"/>
    <cellStyle name="Comma 34" xfId="1921" xr:uid="{00000000-0005-0000-0000-000080070000}"/>
    <cellStyle name="Comma 34 2" xfId="1922" xr:uid="{00000000-0005-0000-0000-000081070000}"/>
    <cellStyle name="Comma 35" xfId="1923" xr:uid="{00000000-0005-0000-0000-000082070000}"/>
    <cellStyle name="Comma 35 2" xfId="1924" xr:uid="{00000000-0005-0000-0000-000083070000}"/>
    <cellStyle name="Comma 36" xfId="1925" xr:uid="{00000000-0005-0000-0000-000084070000}"/>
    <cellStyle name="Comma 36 2" xfId="1926" xr:uid="{00000000-0005-0000-0000-000085070000}"/>
    <cellStyle name="Comma 37" xfId="1927" xr:uid="{00000000-0005-0000-0000-000086070000}"/>
    <cellStyle name="Comma 37 2" xfId="1928" xr:uid="{00000000-0005-0000-0000-000087070000}"/>
    <cellStyle name="Comma 38" xfId="1929" xr:uid="{00000000-0005-0000-0000-000088070000}"/>
    <cellStyle name="Comma 38 2" xfId="1930" xr:uid="{00000000-0005-0000-0000-000089070000}"/>
    <cellStyle name="Comma 39" xfId="1931" xr:uid="{00000000-0005-0000-0000-00008A070000}"/>
    <cellStyle name="Comma 39 2" xfId="1932" xr:uid="{00000000-0005-0000-0000-00008B070000}"/>
    <cellStyle name="Comma 4" xfId="1933" xr:uid="{00000000-0005-0000-0000-00008C070000}"/>
    <cellStyle name="Comma 4 2" xfId="1934" xr:uid="{00000000-0005-0000-0000-00008D070000}"/>
    <cellStyle name="Comma 40" xfId="1935" xr:uid="{00000000-0005-0000-0000-00008E070000}"/>
    <cellStyle name="Comma 40 2" xfId="1936" xr:uid="{00000000-0005-0000-0000-00008F070000}"/>
    <cellStyle name="Comma 41" xfId="1937" xr:uid="{00000000-0005-0000-0000-000090070000}"/>
    <cellStyle name="Comma 41 2" xfId="1938" xr:uid="{00000000-0005-0000-0000-000091070000}"/>
    <cellStyle name="Comma 42" xfId="1939" xr:uid="{00000000-0005-0000-0000-000092070000}"/>
    <cellStyle name="Comma 42 2" xfId="1940" xr:uid="{00000000-0005-0000-0000-000093070000}"/>
    <cellStyle name="Comma 43" xfId="1941" xr:uid="{00000000-0005-0000-0000-000094070000}"/>
    <cellStyle name="Comma 43 2" xfId="1942" xr:uid="{00000000-0005-0000-0000-000095070000}"/>
    <cellStyle name="Comma 44" xfId="1943" xr:uid="{00000000-0005-0000-0000-000096070000}"/>
    <cellStyle name="Comma 44 2" xfId="1944" xr:uid="{00000000-0005-0000-0000-000097070000}"/>
    <cellStyle name="Comma 45" xfId="1945" xr:uid="{00000000-0005-0000-0000-000098070000}"/>
    <cellStyle name="Comma 45 2" xfId="1946" xr:uid="{00000000-0005-0000-0000-000099070000}"/>
    <cellStyle name="Comma 46" xfId="1947" xr:uid="{00000000-0005-0000-0000-00009A070000}"/>
    <cellStyle name="Comma 46 2" xfId="1948" xr:uid="{00000000-0005-0000-0000-00009B070000}"/>
    <cellStyle name="Comma 47" xfId="1949" xr:uid="{00000000-0005-0000-0000-00009C070000}"/>
    <cellStyle name="Comma 47 2" xfId="1950" xr:uid="{00000000-0005-0000-0000-00009D070000}"/>
    <cellStyle name="Comma 48" xfId="1951" xr:uid="{00000000-0005-0000-0000-00009E070000}"/>
    <cellStyle name="Comma 48 2" xfId="1952" xr:uid="{00000000-0005-0000-0000-00009F070000}"/>
    <cellStyle name="Comma 49" xfId="1953" xr:uid="{00000000-0005-0000-0000-0000A0070000}"/>
    <cellStyle name="Comma 49 2" xfId="1954" xr:uid="{00000000-0005-0000-0000-0000A1070000}"/>
    <cellStyle name="Comma 5" xfId="1955" xr:uid="{00000000-0005-0000-0000-0000A2070000}"/>
    <cellStyle name="Comma 5 2" xfId="1956" xr:uid="{00000000-0005-0000-0000-0000A3070000}"/>
    <cellStyle name="Comma 5 2 2" xfId="1957" xr:uid="{00000000-0005-0000-0000-0000A4070000}"/>
    <cellStyle name="Comma 5 3" xfId="1958" xr:uid="{00000000-0005-0000-0000-0000A5070000}"/>
    <cellStyle name="Comma 50" xfId="1959" xr:uid="{00000000-0005-0000-0000-0000A6070000}"/>
    <cellStyle name="Comma 50 2" xfId="1960" xr:uid="{00000000-0005-0000-0000-0000A7070000}"/>
    <cellStyle name="Comma 51" xfId="1961" xr:uid="{00000000-0005-0000-0000-0000A8070000}"/>
    <cellStyle name="Comma 51 2" xfId="1962" xr:uid="{00000000-0005-0000-0000-0000A9070000}"/>
    <cellStyle name="Comma 52" xfId="1963" xr:uid="{00000000-0005-0000-0000-0000AA070000}"/>
    <cellStyle name="Comma 52 2" xfId="1964" xr:uid="{00000000-0005-0000-0000-0000AB070000}"/>
    <cellStyle name="Comma 53" xfId="1965" xr:uid="{00000000-0005-0000-0000-0000AC070000}"/>
    <cellStyle name="Comma 53 2" xfId="1966" xr:uid="{00000000-0005-0000-0000-0000AD070000}"/>
    <cellStyle name="Comma 54" xfId="1967" xr:uid="{00000000-0005-0000-0000-0000AE070000}"/>
    <cellStyle name="Comma 54 2" xfId="1968" xr:uid="{00000000-0005-0000-0000-0000AF070000}"/>
    <cellStyle name="Comma 55" xfId="1969" xr:uid="{00000000-0005-0000-0000-0000B0070000}"/>
    <cellStyle name="Comma 55 2" xfId="1970" xr:uid="{00000000-0005-0000-0000-0000B1070000}"/>
    <cellStyle name="Comma 56" xfId="1971" xr:uid="{00000000-0005-0000-0000-0000B2070000}"/>
    <cellStyle name="Comma 56 2" xfId="1972" xr:uid="{00000000-0005-0000-0000-0000B3070000}"/>
    <cellStyle name="Comma 57" xfId="1973" xr:uid="{00000000-0005-0000-0000-0000B4070000}"/>
    <cellStyle name="Comma 57 2" xfId="1974" xr:uid="{00000000-0005-0000-0000-0000B5070000}"/>
    <cellStyle name="Comma 58" xfId="1975" xr:uid="{00000000-0005-0000-0000-0000B6070000}"/>
    <cellStyle name="Comma 58 2" xfId="1976" xr:uid="{00000000-0005-0000-0000-0000B7070000}"/>
    <cellStyle name="Comma 59" xfId="1977" xr:uid="{00000000-0005-0000-0000-0000B8070000}"/>
    <cellStyle name="Comma 59 2" xfId="1978" xr:uid="{00000000-0005-0000-0000-0000B9070000}"/>
    <cellStyle name="Comma 6" xfId="1979" xr:uid="{00000000-0005-0000-0000-0000BA070000}"/>
    <cellStyle name="Comma 6 2" xfId="1980" xr:uid="{00000000-0005-0000-0000-0000BB070000}"/>
    <cellStyle name="Comma 6 2 2" xfId="1981" xr:uid="{00000000-0005-0000-0000-0000BC070000}"/>
    <cellStyle name="Comma 6 3" xfId="1982" xr:uid="{00000000-0005-0000-0000-0000BD070000}"/>
    <cellStyle name="Comma 60" xfId="1983" xr:uid="{00000000-0005-0000-0000-0000BE070000}"/>
    <cellStyle name="Comma 60 2" xfId="1984" xr:uid="{00000000-0005-0000-0000-0000BF070000}"/>
    <cellStyle name="Comma 61" xfId="1985" xr:uid="{00000000-0005-0000-0000-0000C0070000}"/>
    <cellStyle name="Comma 62" xfId="1986" xr:uid="{00000000-0005-0000-0000-0000C1070000}"/>
    <cellStyle name="Comma 63" xfId="1987" xr:uid="{00000000-0005-0000-0000-0000C2070000}"/>
    <cellStyle name="Comma 64" xfId="1988" xr:uid="{00000000-0005-0000-0000-0000C3070000}"/>
    <cellStyle name="Comma 65" xfId="1989" xr:uid="{00000000-0005-0000-0000-0000C4070000}"/>
    <cellStyle name="Comma 66" xfId="1990" xr:uid="{00000000-0005-0000-0000-0000C5070000}"/>
    <cellStyle name="Comma 67" xfId="1991" xr:uid="{00000000-0005-0000-0000-0000C6070000}"/>
    <cellStyle name="Comma 68" xfId="1992" xr:uid="{00000000-0005-0000-0000-0000C7070000}"/>
    <cellStyle name="Comma 69" xfId="1993" xr:uid="{00000000-0005-0000-0000-0000C8070000}"/>
    <cellStyle name="Comma 7" xfId="1994" xr:uid="{00000000-0005-0000-0000-0000C9070000}"/>
    <cellStyle name="Comma 7 2" xfId="1995" xr:uid="{00000000-0005-0000-0000-0000CA070000}"/>
    <cellStyle name="Comma 7 2 2" xfId="1996" xr:uid="{00000000-0005-0000-0000-0000CB070000}"/>
    <cellStyle name="Comma 7 2 2 2" xfId="1997" xr:uid="{00000000-0005-0000-0000-0000CC070000}"/>
    <cellStyle name="Comma 7 2 3" xfId="1998" xr:uid="{00000000-0005-0000-0000-0000CD070000}"/>
    <cellStyle name="Comma 7 3" xfId="1999" xr:uid="{00000000-0005-0000-0000-0000CE070000}"/>
    <cellStyle name="Comma 7 3 2" xfId="2000" xr:uid="{00000000-0005-0000-0000-0000CF070000}"/>
    <cellStyle name="Comma 7 4" xfId="2001" xr:uid="{00000000-0005-0000-0000-0000D0070000}"/>
    <cellStyle name="Comma 7 4 2" xfId="2002" xr:uid="{00000000-0005-0000-0000-0000D1070000}"/>
    <cellStyle name="Comma 7 5" xfId="2003" xr:uid="{00000000-0005-0000-0000-0000D2070000}"/>
    <cellStyle name="Comma 70" xfId="2004" xr:uid="{00000000-0005-0000-0000-0000D3070000}"/>
    <cellStyle name="Comma 71" xfId="2005" xr:uid="{00000000-0005-0000-0000-0000D4070000}"/>
    <cellStyle name="Comma 72" xfId="2006" xr:uid="{00000000-0005-0000-0000-0000D5070000}"/>
    <cellStyle name="Comma 73" xfId="2007" xr:uid="{00000000-0005-0000-0000-0000D6070000}"/>
    <cellStyle name="Comma 74" xfId="2008" xr:uid="{00000000-0005-0000-0000-0000D7070000}"/>
    <cellStyle name="Comma 75" xfId="2009" xr:uid="{00000000-0005-0000-0000-0000D8070000}"/>
    <cellStyle name="Comma 76" xfId="2010" xr:uid="{00000000-0005-0000-0000-0000D9070000}"/>
    <cellStyle name="Comma 77" xfId="2011" xr:uid="{00000000-0005-0000-0000-0000DA070000}"/>
    <cellStyle name="Comma 78" xfId="2012" xr:uid="{00000000-0005-0000-0000-0000DB070000}"/>
    <cellStyle name="Comma 79" xfId="2013" xr:uid="{00000000-0005-0000-0000-0000DC070000}"/>
    <cellStyle name="Comma 8" xfId="2014" xr:uid="{00000000-0005-0000-0000-0000DD070000}"/>
    <cellStyle name="Comma 8 2" xfId="2015" xr:uid="{00000000-0005-0000-0000-0000DE070000}"/>
    <cellStyle name="Comma 8 2 2" xfId="2016" xr:uid="{00000000-0005-0000-0000-0000DF070000}"/>
    <cellStyle name="Comma 8 2 2 2" xfId="2017" xr:uid="{00000000-0005-0000-0000-0000E0070000}"/>
    <cellStyle name="Comma 8 2 3" xfId="2018" xr:uid="{00000000-0005-0000-0000-0000E1070000}"/>
    <cellStyle name="Comma 8 3" xfId="2019" xr:uid="{00000000-0005-0000-0000-0000E2070000}"/>
    <cellStyle name="Comma 8 3 2" xfId="2020" xr:uid="{00000000-0005-0000-0000-0000E3070000}"/>
    <cellStyle name="Comma 8 4" xfId="2021" xr:uid="{00000000-0005-0000-0000-0000E4070000}"/>
    <cellStyle name="Comma 8 4 2" xfId="2022" xr:uid="{00000000-0005-0000-0000-0000E5070000}"/>
    <cellStyle name="Comma 8 5" xfId="2023" xr:uid="{00000000-0005-0000-0000-0000E6070000}"/>
    <cellStyle name="Comma 80" xfId="2024" xr:uid="{00000000-0005-0000-0000-0000E7070000}"/>
    <cellStyle name="Comma 81" xfId="2025" xr:uid="{00000000-0005-0000-0000-0000E8070000}"/>
    <cellStyle name="Comma 82" xfId="2026" xr:uid="{00000000-0005-0000-0000-0000E9070000}"/>
    <cellStyle name="Comma 83" xfId="2027" xr:uid="{00000000-0005-0000-0000-0000EA070000}"/>
    <cellStyle name="Comma 84" xfId="2028" xr:uid="{00000000-0005-0000-0000-0000EB070000}"/>
    <cellStyle name="Comma 85" xfId="2029" xr:uid="{00000000-0005-0000-0000-0000EC070000}"/>
    <cellStyle name="Comma 86" xfId="2030" xr:uid="{00000000-0005-0000-0000-0000ED070000}"/>
    <cellStyle name="Comma 87" xfId="2031" xr:uid="{00000000-0005-0000-0000-0000EE070000}"/>
    <cellStyle name="Comma 88" xfId="2032" xr:uid="{00000000-0005-0000-0000-0000EF070000}"/>
    <cellStyle name="Comma 89" xfId="2033" xr:uid="{00000000-0005-0000-0000-0000F0070000}"/>
    <cellStyle name="Comma 9" xfId="2034" xr:uid="{00000000-0005-0000-0000-0000F1070000}"/>
    <cellStyle name="Comma 9 2" xfId="2035" xr:uid="{00000000-0005-0000-0000-0000F2070000}"/>
    <cellStyle name="Comma 9 2 2" xfId="2036" xr:uid="{00000000-0005-0000-0000-0000F3070000}"/>
    <cellStyle name="Comma 9 2 2 2" xfId="2037" xr:uid="{00000000-0005-0000-0000-0000F4070000}"/>
    <cellStyle name="Comma 9 2 3" xfId="2038" xr:uid="{00000000-0005-0000-0000-0000F5070000}"/>
    <cellStyle name="Comma 9 3" xfId="2039" xr:uid="{00000000-0005-0000-0000-0000F6070000}"/>
    <cellStyle name="Comma 9 3 2" xfId="2040" xr:uid="{00000000-0005-0000-0000-0000F7070000}"/>
    <cellStyle name="Comma 9 4" xfId="2041" xr:uid="{00000000-0005-0000-0000-0000F8070000}"/>
    <cellStyle name="Comma 9 4 2" xfId="2042" xr:uid="{00000000-0005-0000-0000-0000F9070000}"/>
    <cellStyle name="Comma 9 5" xfId="2043" xr:uid="{00000000-0005-0000-0000-0000FA070000}"/>
    <cellStyle name="Comma 90" xfId="2044" xr:uid="{00000000-0005-0000-0000-0000FB070000}"/>
    <cellStyle name="Comma 91" xfId="2045" xr:uid="{00000000-0005-0000-0000-0000FC070000}"/>
    <cellStyle name="Comma 92" xfId="2046" xr:uid="{00000000-0005-0000-0000-0000FD070000}"/>
    <cellStyle name="Comma 93" xfId="2047" xr:uid="{00000000-0005-0000-0000-0000FE070000}"/>
    <cellStyle name="Comma 94" xfId="2048" xr:uid="{00000000-0005-0000-0000-0000FF070000}"/>
    <cellStyle name="Comma 95" xfId="2049" xr:uid="{00000000-0005-0000-0000-000000080000}"/>
    <cellStyle name="Comma 96" xfId="2050" xr:uid="{00000000-0005-0000-0000-000001080000}"/>
    <cellStyle name="Comma 97" xfId="2051" xr:uid="{00000000-0005-0000-0000-000002080000}"/>
    <cellStyle name="Comma 98" xfId="2052" xr:uid="{00000000-0005-0000-0000-000003080000}"/>
    <cellStyle name="Comma 99" xfId="2053" xr:uid="{00000000-0005-0000-0000-000004080000}"/>
    <cellStyle name="COMMENTS" xfId="2054" xr:uid="{00000000-0005-0000-0000-000005080000}"/>
    <cellStyle name="Currency 2" xfId="2055" xr:uid="{00000000-0005-0000-0000-000006080000}"/>
    <cellStyle name="Currency 2 2" xfId="2056" xr:uid="{00000000-0005-0000-0000-000007080000}"/>
    <cellStyle name="Currency 3" xfId="2057" xr:uid="{00000000-0005-0000-0000-000008080000}"/>
    <cellStyle name="Currency 3 2" xfId="2058" xr:uid="{00000000-0005-0000-0000-000009080000}"/>
    <cellStyle name="Currency 4" xfId="2059" xr:uid="{00000000-0005-0000-0000-00000A080000}"/>
    <cellStyle name="Currency 4 2" xfId="2060" xr:uid="{00000000-0005-0000-0000-00000B080000}"/>
    <cellStyle name="Currency 5" xfId="2061" xr:uid="{00000000-0005-0000-0000-00000C080000}"/>
    <cellStyle name="Currency 5 2" xfId="2062" xr:uid="{00000000-0005-0000-0000-00000D080000}"/>
    <cellStyle name="Currency 6" xfId="2063" xr:uid="{00000000-0005-0000-0000-00000E080000}"/>
    <cellStyle name="Currency 6 2" xfId="2064" xr:uid="{00000000-0005-0000-0000-00000F080000}"/>
    <cellStyle name="Currency 7" xfId="2065" xr:uid="{00000000-0005-0000-0000-000010080000}"/>
    <cellStyle name="dash" xfId="2066" xr:uid="{00000000-0005-0000-0000-000011080000}"/>
    <cellStyle name="Data" xfId="2067" xr:uid="{00000000-0005-0000-0000-000012080000}"/>
    <cellStyle name="Data2" xfId="2068" xr:uid="{00000000-0005-0000-0000-000013080000}"/>
    <cellStyle name="Data5" xfId="2069" xr:uid="{00000000-0005-0000-0000-000014080000}"/>
    <cellStyle name="date" xfId="2070" xr:uid="{00000000-0005-0000-0000-000015080000}"/>
    <cellStyle name="date 2" xfId="2071" xr:uid="{00000000-0005-0000-0000-000016080000}"/>
    <cellStyle name="Daymethod" xfId="2072" xr:uid="{00000000-0005-0000-0000-000017080000}"/>
    <cellStyle name="days" xfId="2073" xr:uid="{00000000-0005-0000-0000-000018080000}"/>
    <cellStyle name="Dialog" xfId="2074" xr:uid="{00000000-0005-0000-0000-000019080000}"/>
    <cellStyle name="Explanatory Text 2" xfId="2075" xr:uid="{00000000-0005-0000-0000-00001A080000}"/>
    <cellStyle name="Explanatory Text 3" xfId="2076" xr:uid="{00000000-0005-0000-0000-00001B080000}"/>
    <cellStyle name="FcBackground" xfId="2077" xr:uid="{00000000-0005-0000-0000-00001C080000}"/>
    <cellStyle name="FcBluesFuts" xfId="2078" xr:uid="{00000000-0005-0000-0000-00001D080000}"/>
    <cellStyle name="FcCalculated" xfId="2079" xr:uid="{00000000-0005-0000-0000-00001E080000}"/>
    <cellStyle name="FcCalculated 2" xfId="2080" xr:uid="{00000000-0005-0000-0000-00001F080000}"/>
    <cellStyle name="FcCalculated 3" xfId="2081" xr:uid="{00000000-0005-0000-0000-000020080000}"/>
    <cellStyle name="FcCalculated_apollo_curves" xfId="2082" xr:uid="{00000000-0005-0000-0000-000021080000}"/>
    <cellStyle name="FcCalculated2" xfId="2083" xr:uid="{00000000-0005-0000-0000-000022080000}"/>
    <cellStyle name="FcExtData" xfId="2084" xr:uid="{00000000-0005-0000-0000-000023080000}"/>
    <cellStyle name="FcFrontFut" xfId="2085" xr:uid="{00000000-0005-0000-0000-000024080000}"/>
    <cellStyle name="FcFrontRed" xfId="2086" xr:uid="{00000000-0005-0000-0000-000025080000}"/>
    <cellStyle name="FcGoldFuts" xfId="2087" xr:uid="{00000000-0005-0000-0000-000026080000}"/>
    <cellStyle name="FcGreenFuts" xfId="2088" xr:uid="{00000000-0005-0000-0000-000027080000}"/>
    <cellStyle name="FcInput" xfId="2089" xr:uid="{00000000-0005-0000-0000-000028080000}"/>
    <cellStyle name="FcLabel1" xfId="2090" xr:uid="{00000000-0005-0000-0000-000029080000}"/>
    <cellStyle name="FcLabel2" xfId="2091" xr:uid="{00000000-0005-0000-0000-00002A080000}"/>
    <cellStyle name="FcNumeric" xfId="2092" xr:uid="{00000000-0005-0000-0000-00002B080000}"/>
    <cellStyle name="FcNumeric 2" xfId="2093" xr:uid="{00000000-0005-0000-0000-00002C080000}"/>
    <cellStyle name="FcRealTime" xfId="2094" xr:uid="{00000000-0005-0000-0000-00002D080000}"/>
    <cellStyle name="FcRealTime 2" xfId="2095" xr:uid="{00000000-0005-0000-0000-00002E080000}"/>
    <cellStyle name="FcRealTime 3" xfId="2096" xr:uid="{00000000-0005-0000-0000-00002F080000}"/>
    <cellStyle name="FcRealTime_apollo_curves" xfId="2097" xr:uid="{00000000-0005-0000-0000-000030080000}"/>
    <cellStyle name="FcRedFuts" xfId="2098" xr:uid="{00000000-0005-0000-0000-000031080000}"/>
    <cellStyle name="FcSubHeading" xfId="2099" xr:uid="{00000000-0005-0000-0000-000032080000}"/>
    <cellStyle name="FcTechHackers" xfId="2100" xr:uid="{00000000-0005-0000-0000-000033080000}"/>
    <cellStyle name="FcTopLine" xfId="2101" xr:uid="{00000000-0005-0000-0000-000034080000}"/>
    <cellStyle name="footnote" xfId="2102" xr:uid="{00000000-0005-0000-0000-000035080000}"/>
    <cellStyle name="footnote2" xfId="2103" xr:uid="{00000000-0005-0000-0000-000036080000}"/>
    <cellStyle name="GeneralText" xfId="2104" xr:uid="{00000000-0005-0000-0000-000037080000}"/>
    <cellStyle name="Good 2" xfId="2105" xr:uid="{00000000-0005-0000-0000-000038080000}"/>
    <cellStyle name="Good 2 2" xfId="2106" xr:uid="{00000000-0005-0000-0000-000039080000}"/>
    <cellStyle name="Good 3" xfId="2107" xr:uid="{00000000-0005-0000-0000-00003A080000}"/>
    <cellStyle name="Good 4" xfId="2108" xr:uid="{00000000-0005-0000-0000-00003B080000}"/>
    <cellStyle name="Header" xfId="2109" xr:uid="{00000000-0005-0000-0000-00003C080000}"/>
    <cellStyle name="Header 2" xfId="2110" xr:uid="{00000000-0005-0000-0000-00003D080000}"/>
    <cellStyle name="Heading 1 2" xfId="2111" xr:uid="{00000000-0005-0000-0000-00003E080000}"/>
    <cellStyle name="Heading 1 2 2" xfId="2112" xr:uid="{00000000-0005-0000-0000-00003F080000}"/>
    <cellStyle name="Heading 1 3" xfId="2113" xr:uid="{00000000-0005-0000-0000-000040080000}"/>
    <cellStyle name="Heading 1 3 2" xfId="2114" xr:uid="{00000000-0005-0000-0000-000041080000}"/>
    <cellStyle name="Heading 1 4" xfId="2115" xr:uid="{00000000-0005-0000-0000-000042080000}"/>
    <cellStyle name="Heading 1 5" xfId="2116" xr:uid="{00000000-0005-0000-0000-000043080000}"/>
    <cellStyle name="Heading 1 6" xfId="2117" xr:uid="{00000000-0005-0000-0000-000044080000}"/>
    <cellStyle name="Heading 2 2" xfId="2118" xr:uid="{00000000-0005-0000-0000-000045080000}"/>
    <cellStyle name="Heading 2 2 2" xfId="2119" xr:uid="{00000000-0005-0000-0000-000046080000}"/>
    <cellStyle name="Heading 2 3" xfId="2120" xr:uid="{00000000-0005-0000-0000-000047080000}"/>
    <cellStyle name="Heading 2 4" xfId="2121" xr:uid="{00000000-0005-0000-0000-000048080000}"/>
    <cellStyle name="Heading 2 5" xfId="2122" xr:uid="{00000000-0005-0000-0000-000049080000}"/>
    <cellStyle name="Heading 2 6" xfId="2123" xr:uid="{00000000-0005-0000-0000-00004A080000}"/>
    <cellStyle name="Heading 3 2" xfId="2124" xr:uid="{00000000-0005-0000-0000-00004B080000}"/>
    <cellStyle name="Heading 3 2 2" xfId="2125" xr:uid="{00000000-0005-0000-0000-00004C080000}"/>
    <cellStyle name="Heading 3 3" xfId="2126" xr:uid="{00000000-0005-0000-0000-00004D080000}"/>
    <cellStyle name="Heading 3 3 2" xfId="2127" xr:uid="{00000000-0005-0000-0000-00004E080000}"/>
    <cellStyle name="Heading 3 4" xfId="2128" xr:uid="{00000000-0005-0000-0000-00004F080000}"/>
    <cellStyle name="Heading 3 5" xfId="2129" xr:uid="{00000000-0005-0000-0000-000050080000}"/>
    <cellStyle name="Heading 3 6" xfId="2130" xr:uid="{00000000-0005-0000-0000-000051080000}"/>
    <cellStyle name="Heading 4 2" xfId="2131" xr:uid="{00000000-0005-0000-0000-000052080000}"/>
    <cellStyle name="Heading 4 2 2" xfId="2132" xr:uid="{00000000-0005-0000-0000-000053080000}"/>
    <cellStyle name="Heading 4 3" xfId="2133" xr:uid="{00000000-0005-0000-0000-000054080000}"/>
    <cellStyle name="Heading 4 4" xfId="2134" xr:uid="{00000000-0005-0000-0000-000055080000}"/>
    <cellStyle name="Heading 4 5" xfId="2135" xr:uid="{00000000-0005-0000-0000-000056080000}"/>
    <cellStyle name="Hidden" xfId="2136" xr:uid="{00000000-0005-0000-0000-000057080000}"/>
    <cellStyle name="Hyperlink 2" xfId="2137" xr:uid="{00000000-0005-0000-0000-000058080000}"/>
    <cellStyle name="Hyperlink 2 2" xfId="2138" xr:uid="{00000000-0005-0000-0000-000059080000}"/>
    <cellStyle name="Hyperlink 2_Instructions and Positions" xfId="2139" xr:uid="{00000000-0005-0000-0000-00005A080000}"/>
    <cellStyle name="implemented" xfId="2140" xr:uid="{00000000-0005-0000-0000-00005B080000}"/>
    <cellStyle name="Input 2" xfId="2141" xr:uid="{00000000-0005-0000-0000-00005C080000}"/>
    <cellStyle name="Input 2 2" xfId="2142" xr:uid="{00000000-0005-0000-0000-00005D080000}"/>
    <cellStyle name="Input 2 2 2" xfId="2143" xr:uid="{00000000-0005-0000-0000-00005E080000}"/>
    <cellStyle name="Input 2 2 2 2" xfId="2144" xr:uid="{00000000-0005-0000-0000-00005F080000}"/>
    <cellStyle name="Input 2 2 2 2 2" xfId="2145" xr:uid="{00000000-0005-0000-0000-000060080000}"/>
    <cellStyle name="Input 2 2 2 2 2 2" xfId="2146" xr:uid="{00000000-0005-0000-0000-000061080000}"/>
    <cellStyle name="Input 2 2 2 2 2 2 2" xfId="2147" xr:uid="{00000000-0005-0000-0000-000062080000}"/>
    <cellStyle name="Input 2 2 2 2 2 2 2 2" xfId="2148" xr:uid="{00000000-0005-0000-0000-000063080000}"/>
    <cellStyle name="Input 2 2 2 2 2 2 2 2 2" xfId="2149" xr:uid="{00000000-0005-0000-0000-000064080000}"/>
    <cellStyle name="Input 2 2 2 2 2 2 2 3" xfId="2150" xr:uid="{00000000-0005-0000-0000-000065080000}"/>
    <cellStyle name="Input 2 2 2 2 2 2 3" xfId="2151" xr:uid="{00000000-0005-0000-0000-000066080000}"/>
    <cellStyle name="Input 2 2 2 2 2 2 3 2" xfId="2152" xr:uid="{00000000-0005-0000-0000-000067080000}"/>
    <cellStyle name="Input 2 2 2 2 2 2 4" xfId="2153" xr:uid="{00000000-0005-0000-0000-000068080000}"/>
    <cellStyle name="Input 2 2 2 2 2 3" xfId="2154" xr:uid="{00000000-0005-0000-0000-000069080000}"/>
    <cellStyle name="Input 2 2 2 2 2 3 2" xfId="2155" xr:uid="{00000000-0005-0000-0000-00006A080000}"/>
    <cellStyle name="Input 2 2 2 2 2 3 2 2" xfId="2156" xr:uid="{00000000-0005-0000-0000-00006B080000}"/>
    <cellStyle name="Input 2 2 2 2 2 3 3" xfId="2157" xr:uid="{00000000-0005-0000-0000-00006C080000}"/>
    <cellStyle name="Input 2 2 2 2 2 3 4" xfId="2158" xr:uid="{00000000-0005-0000-0000-00006D080000}"/>
    <cellStyle name="Input 2 2 2 2 2 4" xfId="2159" xr:uid="{00000000-0005-0000-0000-00006E080000}"/>
    <cellStyle name="Input 2 2 2 2 2 4 2" xfId="2160" xr:uid="{00000000-0005-0000-0000-00006F080000}"/>
    <cellStyle name="Input 2 2 2 2 2 4 2 2" xfId="2161" xr:uid="{00000000-0005-0000-0000-000070080000}"/>
    <cellStyle name="Input 2 2 2 2 2 4 3" xfId="2162" xr:uid="{00000000-0005-0000-0000-000071080000}"/>
    <cellStyle name="Input 2 2 2 2 2 5" xfId="2163" xr:uid="{00000000-0005-0000-0000-000072080000}"/>
    <cellStyle name="Input 2 2 2 2 2 5 2" xfId="2164" xr:uid="{00000000-0005-0000-0000-000073080000}"/>
    <cellStyle name="Input 2 2 2 2 2 6" xfId="2165" xr:uid="{00000000-0005-0000-0000-000074080000}"/>
    <cellStyle name="Input 2 2 2 2 3" xfId="2166" xr:uid="{00000000-0005-0000-0000-000075080000}"/>
    <cellStyle name="Input 2 2 2 2 3 2" xfId="2167" xr:uid="{00000000-0005-0000-0000-000076080000}"/>
    <cellStyle name="Input 2 2 2 2 3 2 2" xfId="2168" xr:uid="{00000000-0005-0000-0000-000077080000}"/>
    <cellStyle name="Input 2 2 2 2 3 2 2 2" xfId="2169" xr:uid="{00000000-0005-0000-0000-000078080000}"/>
    <cellStyle name="Input 2 2 2 2 3 2 2 2 2" xfId="2170" xr:uid="{00000000-0005-0000-0000-000079080000}"/>
    <cellStyle name="Input 2 2 2 2 3 2 2 3" xfId="2171" xr:uid="{00000000-0005-0000-0000-00007A080000}"/>
    <cellStyle name="Input 2 2 2 2 3 2 3" xfId="2172" xr:uid="{00000000-0005-0000-0000-00007B080000}"/>
    <cellStyle name="Input 2 2 2 2 3 2 3 2" xfId="2173" xr:uid="{00000000-0005-0000-0000-00007C080000}"/>
    <cellStyle name="Input 2 2 2 2 3 2 4" xfId="2174" xr:uid="{00000000-0005-0000-0000-00007D080000}"/>
    <cellStyle name="Input 2 2 2 2 3 3" xfId="2175" xr:uid="{00000000-0005-0000-0000-00007E080000}"/>
    <cellStyle name="Input 2 2 2 2 3 3 2" xfId="2176" xr:uid="{00000000-0005-0000-0000-00007F080000}"/>
    <cellStyle name="Input 2 2 2 2 3 3 2 2" xfId="2177" xr:uid="{00000000-0005-0000-0000-000080080000}"/>
    <cellStyle name="Input 2 2 2 2 3 3 3" xfId="2178" xr:uid="{00000000-0005-0000-0000-000081080000}"/>
    <cellStyle name="Input 2 2 2 2 3 3 4" xfId="2179" xr:uid="{00000000-0005-0000-0000-000082080000}"/>
    <cellStyle name="Input 2 2 2 2 3 4" xfId="2180" xr:uid="{00000000-0005-0000-0000-000083080000}"/>
    <cellStyle name="Input 2 2 2 2 3 4 2" xfId="2181" xr:uid="{00000000-0005-0000-0000-000084080000}"/>
    <cellStyle name="Input 2 2 2 2 3 4 2 2" xfId="2182" xr:uid="{00000000-0005-0000-0000-000085080000}"/>
    <cellStyle name="Input 2 2 2 2 3 4 3" xfId="2183" xr:uid="{00000000-0005-0000-0000-000086080000}"/>
    <cellStyle name="Input 2 2 2 2 3 5" xfId="2184" xr:uid="{00000000-0005-0000-0000-000087080000}"/>
    <cellStyle name="Input 2 2 2 2 3 5 2" xfId="2185" xr:uid="{00000000-0005-0000-0000-000088080000}"/>
    <cellStyle name="Input 2 2 2 2 3 6" xfId="2186" xr:uid="{00000000-0005-0000-0000-000089080000}"/>
    <cellStyle name="Input 2 2 2 2 4" xfId="2187" xr:uid="{00000000-0005-0000-0000-00008A080000}"/>
    <cellStyle name="Input 2 2 2 2 4 2" xfId="2188" xr:uid="{00000000-0005-0000-0000-00008B080000}"/>
    <cellStyle name="Input 2 2 2 2 4 2 2" xfId="2189" xr:uid="{00000000-0005-0000-0000-00008C080000}"/>
    <cellStyle name="Input 2 2 2 2 4 2 2 2" xfId="2190" xr:uid="{00000000-0005-0000-0000-00008D080000}"/>
    <cellStyle name="Input 2 2 2 2 4 2 2 2 2" xfId="2191" xr:uid="{00000000-0005-0000-0000-00008E080000}"/>
    <cellStyle name="Input 2 2 2 2 4 2 2 3" xfId="2192" xr:uid="{00000000-0005-0000-0000-00008F080000}"/>
    <cellStyle name="Input 2 2 2 2 4 2 3" xfId="2193" xr:uid="{00000000-0005-0000-0000-000090080000}"/>
    <cellStyle name="Input 2 2 2 2 4 2 3 2" xfId="2194" xr:uid="{00000000-0005-0000-0000-000091080000}"/>
    <cellStyle name="Input 2 2 2 2 4 2 4" xfId="2195" xr:uid="{00000000-0005-0000-0000-000092080000}"/>
    <cellStyle name="Input 2 2 2 2 4 3" xfId="2196" xr:uid="{00000000-0005-0000-0000-000093080000}"/>
    <cellStyle name="Input 2 2 2 2 4 3 2" xfId="2197" xr:uid="{00000000-0005-0000-0000-000094080000}"/>
    <cellStyle name="Input 2 2 2 2 4 3 2 2" xfId="2198" xr:uid="{00000000-0005-0000-0000-000095080000}"/>
    <cellStyle name="Input 2 2 2 2 4 3 3" xfId="2199" xr:uid="{00000000-0005-0000-0000-000096080000}"/>
    <cellStyle name="Input 2 2 2 2 4 3 4" xfId="2200" xr:uid="{00000000-0005-0000-0000-000097080000}"/>
    <cellStyle name="Input 2 2 2 2 4 4" xfId="2201" xr:uid="{00000000-0005-0000-0000-000098080000}"/>
    <cellStyle name="Input 2 2 2 2 4 4 2" xfId="2202" xr:uid="{00000000-0005-0000-0000-000099080000}"/>
    <cellStyle name="Input 2 2 2 2 4 4 2 2" xfId="2203" xr:uid="{00000000-0005-0000-0000-00009A080000}"/>
    <cellStyle name="Input 2 2 2 2 4 4 3" xfId="2204" xr:uid="{00000000-0005-0000-0000-00009B080000}"/>
    <cellStyle name="Input 2 2 2 2 4 5" xfId="2205" xr:uid="{00000000-0005-0000-0000-00009C080000}"/>
    <cellStyle name="Input 2 2 2 2 4 5 2" xfId="2206" xr:uid="{00000000-0005-0000-0000-00009D080000}"/>
    <cellStyle name="Input 2 2 2 2 4 6" xfId="2207" xr:uid="{00000000-0005-0000-0000-00009E080000}"/>
    <cellStyle name="Input 2 2 2 2 5" xfId="2208" xr:uid="{00000000-0005-0000-0000-00009F080000}"/>
    <cellStyle name="Input 2 2 2 2 5 2" xfId="2209" xr:uid="{00000000-0005-0000-0000-0000A0080000}"/>
    <cellStyle name="Input 2 2 2 3" xfId="2210" xr:uid="{00000000-0005-0000-0000-0000A1080000}"/>
    <cellStyle name="Input 2 2 2 3 2" xfId="2211" xr:uid="{00000000-0005-0000-0000-0000A2080000}"/>
    <cellStyle name="Input 2 2 2 3 2 2" xfId="2212" xr:uid="{00000000-0005-0000-0000-0000A3080000}"/>
    <cellStyle name="Input 2 2 2 3 2 2 2" xfId="2213" xr:uid="{00000000-0005-0000-0000-0000A4080000}"/>
    <cellStyle name="Input 2 2 2 3 2 2 2 2" xfId="2214" xr:uid="{00000000-0005-0000-0000-0000A5080000}"/>
    <cellStyle name="Input 2 2 2 3 2 2 3" xfId="2215" xr:uid="{00000000-0005-0000-0000-0000A6080000}"/>
    <cellStyle name="Input 2 2 2 3 2 3" xfId="2216" xr:uid="{00000000-0005-0000-0000-0000A7080000}"/>
    <cellStyle name="Input 2 2 2 3 2 3 2" xfId="2217" xr:uid="{00000000-0005-0000-0000-0000A8080000}"/>
    <cellStyle name="Input 2 2 2 3 2 4" xfId="2218" xr:uid="{00000000-0005-0000-0000-0000A9080000}"/>
    <cellStyle name="Input 2 2 2 3 3" xfId="2219" xr:uid="{00000000-0005-0000-0000-0000AA080000}"/>
    <cellStyle name="Input 2 2 2 3 3 2" xfId="2220" xr:uid="{00000000-0005-0000-0000-0000AB080000}"/>
    <cellStyle name="Input 2 2 2 3 3 2 2" xfId="2221" xr:uid="{00000000-0005-0000-0000-0000AC080000}"/>
    <cellStyle name="Input 2 2 2 3 3 3" xfId="2222" xr:uid="{00000000-0005-0000-0000-0000AD080000}"/>
    <cellStyle name="Input 2 2 2 3 3 4" xfId="2223" xr:uid="{00000000-0005-0000-0000-0000AE080000}"/>
    <cellStyle name="Input 2 2 2 3 4" xfId="2224" xr:uid="{00000000-0005-0000-0000-0000AF080000}"/>
    <cellStyle name="Input 2 2 2 3 4 2" xfId="2225" xr:uid="{00000000-0005-0000-0000-0000B0080000}"/>
    <cellStyle name="Input 2 2 2 3 4 2 2" xfId="2226" xr:uid="{00000000-0005-0000-0000-0000B1080000}"/>
    <cellStyle name="Input 2 2 2 3 4 3" xfId="2227" xr:uid="{00000000-0005-0000-0000-0000B2080000}"/>
    <cellStyle name="Input 2 2 2 3 5" xfId="2228" xr:uid="{00000000-0005-0000-0000-0000B3080000}"/>
    <cellStyle name="Input 2 2 2 3 5 2" xfId="2229" xr:uid="{00000000-0005-0000-0000-0000B4080000}"/>
    <cellStyle name="Input 2 2 2 3 6" xfId="2230" xr:uid="{00000000-0005-0000-0000-0000B5080000}"/>
    <cellStyle name="Input 2 2 2 4" xfId="2231" xr:uid="{00000000-0005-0000-0000-0000B6080000}"/>
    <cellStyle name="Input 2 2 2 4 2" xfId="2232" xr:uid="{00000000-0005-0000-0000-0000B7080000}"/>
    <cellStyle name="Input 2 2 2 4 2 2" xfId="2233" xr:uid="{00000000-0005-0000-0000-0000B8080000}"/>
    <cellStyle name="Input 2 2 2 4 2 2 2" xfId="2234" xr:uid="{00000000-0005-0000-0000-0000B9080000}"/>
    <cellStyle name="Input 2 2 2 4 2 2 2 2" xfId="2235" xr:uid="{00000000-0005-0000-0000-0000BA080000}"/>
    <cellStyle name="Input 2 2 2 4 2 2 3" xfId="2236" xr:uid="{00000000-0005-0000-0000-0000BB080000}"/>
    <cellStyle name="Input 2 2 2 4 2 3" xfId="2237" xr:uid="{00000000-0005-0000-0000-0000BC080000}"/>
    <cellStyle name="Input 2 2 2 4 2 3 2" xfId="2238" xr:uid="{00000000-0005-0000-0000-0000BD080000}"/>
    <cellStyle name="Input 2 2 2 4 2 4" xfId="2239" xr:uid="{00000000-0005-0000-0000-0000BE080000}"/>
    <cellStyle name="Input 2 2 2 4 3" xfId="2240" xr:uid="{00000000-0005-0000-0000-0000BF080000}"/>
    <cellStyle name="Input 2 2 2 4 3 2" xfId="2241" xr:uid="{00000000-0005-0000-0000-0000C0080000}"/>
    <cellStyle name="Input 2 2 2 4 3 2 2" xfId="2242" xr:uid="{00000000-0005-0000-0000-0000C1080000}"/>
    <cellStyle name="Input 2 2 2 4 3 3" xfId="2243" xr:uid="{00000000-0005-0000-0000-0000C2080000}"/>
    <cellStyle name="Input 2 2 2 4 3 4" xfId="2244" xr:uid="{00000000-0005-0000-0000-0000C3080000}"/>
    <cellStyle name="Input 2 2 2 4 4" xfId="2245" xr:uid="{00000000-0005-0000-0000-0000C4080000}"/>
    <cellStyle name="Input 2 2 2 4 4 2" xfId="2246" xr:uid="{00000000-0005-0000-0000-0000C5080000}"/>
    <cellStyle name="Input 2 2 2 4 4 2 2" xfId="2247" xr:uid="{00000000-0005-0000-0000-0000C6080000}"/>
    <cellStyle name="Input 2 2 2 4 4 3" xfId="2248" xr:uid="{00000000-0005-0000-0000-0000C7080000}"/>
    <cellStyle name="Input 2 2 2 4 5" xfId="2249" xr:uid="{00000000-0005-0000-0000-0000C8080000}"/>
    <cellStyle name="Input 2 2 2 4 5 2" xfId="2250" xr:uid="{00000000-0005-0000-0000-0000C9080000}"/>
    <cellStyle name="Input 2 2 2 4 6" xfId="2251" xr:uid="{00000000-0005-0000-0000-0000CA080000}"/>
    <cellStyle name="Input 2 2 2 5" xfId="2252" xr:uid="{00000000-0005-0000-0000-0000CB080000}"/>
    <cellStyle name="Input 2 2 2 5 2" xfId="2253" xr:uid="{00000000-0005-0000-0000-0000CC080000}"/>
    <cellStyle name="Input 2 2 2 5 2 2" xfId="2254" xr:uid="{00000000-0005-0000-0000-0000CD080000}"/>
    <cellStyle name="Input 2 2 2 5 2 2 2" xfId="2255" xr:uid="{00000000-0005-0000-0000-0000CE080000}"/>
    <cellStyle name="Input 2 2 2 5 2 2 2 2" xfId="2256" xr:uid="{00000000-0005-0000-0000-0000CF080000}"/>
    <cellStyle name="Input 2 2 2 5 2 2 3" xfId="2257" xr:uid="{00000000-0005-0000-0000-0000D0080000}"/>
    <cellStyle name="Input 2 2 2 5 2 3" xfId="2258" xr:uid="{00000000-0005-0000-0000-0000D1080000}"/>
    <cellStyle name="Input 2 2 2 5 2 3 2" xfId="2259" xr:uid="{00000000-0005-0000-0000-0000D2080000}"/>
    <cellStyle name="Input 2 2 2 5 2 4" xfId="2260" xr:uid="{00000000-0005-0000-0000-0000D3080000}"/>
    <cellStyle name="Input 2 2 2 5 3" xfId="2261" xr:uid="{00000000-0005-0000-0000-0000D4080000}"/>
    <cellStyle name="Input 2 2 2 5 3 2" xfId="2262" xr:uid="{00000000-0005-0000-0000-0000D5080000}"/>
    <cellStyle name="Input 2 2 2 5 3 2 2" xfId="2263" xr:uid="{00000000-0005-0000-0000-0000D6080000}"/>
    <cellStyle name="Input 2 2 2 5 3 3" xfId="2264" xr:uid="{00000000-0005-0000-0000-0000D7080000}"/>
    <cellStyle name="Input 2 2 2 5 3 4" xfId="2265" xr:uid="{00000000-0005-0000-0000-0000D8080000}"/>
    <cellStyle name="Input 2 2 2 5 4" xfId="2266" xr:uid="{00000000-0005-0000-0000-0000D9080000}"/>
    <cellStyle name="Input 2 2 2 5 4 2" xfId="2267" xr:uid="{00000000-0005-0000-0000-0000DA080000}"/>
    <cellStyle name="Input 2 2 2 5 4 2 2" xfId="2268" xr:uid="{00000000-0005-0000-0000-0000DB080000}"/>
    <cellStyle name="Input 2 2 2 5 4 3" xfId="2269" xr:uid="{00000000-0005-0000-0000-0000DC080000}"/>
    <cellStyle name="Input 2 2 2 5 5" xfId="2270" xr:uid="{00000000-0005-0000-0000-0000DD080000}"/>
    <cellStyle name="Input 2 2 2 5 5 2" xfId="2271" xr:uid="{00000000-0005-0000-0000-0000DE080000}"/>
    <cellStyle name="Input 2 2 2 5 6" xfId="2272" xr:uid="{00000000-0005-0000-0000-0000DF080000}"/>
    <cellStyle name="Input 2 2 3" xfId="2273" xr:uid="{00000000-0005-0000-0000-0000E0080000}"/>
    <cellStyle name="Input 2 2 3 2" xfId="2274" xr:uid="{00000000-0005-0000-0000-0000E1080000}"/>
    <cellStyle name="Input 2 2 3 2 2" xfId="2275" xr:uid="{00000000-0005-0000-0000-0000E2080000}"/>
    <cellStyle name="Input 2 2 3 2 2 2" xfId="2276" xr:uid="{00000000-0005-0000-0000-0000E3080000}"/>
    <cellStyle name="Input 2 2 3 2 2 2 2" xfId="2277" xr:uid="{00000000-0005-0000-0000-0000E4080000}"/>
    <cellStyle name="Input 2 2 3 2 2 2 2 2" xfId="2278" xr:uid="{00000000-0005-0000-0000-0000E5080000}"/>
    <cellStyle name="Input 2 2 3 2 2 2 3" xfId="2279" xr:uid="{00000000-0005-0000-0000-0000E6080000}"/>
    <cellStyle name="Input 2 2 3 2 2 3" xfId="2280" xr:uid="{00000000-0005-0000-0000-0000E7080000}"/>
    <cellStyle name="Input 2 2 3 2 2 3 2" xfId="2281" xr:uid="{00000000-0005-0000-0000-0000E8080000}"/>
    <cellStyle name="Input 2 2 3 2 2 4" xfId="2282" xr:uid="{00000000-0005-0000-0000-0000E9080000}"/>
    <cellStyle name="Input 2 2 3 2 3" xfId="2283" xr:uid="{00000000-0005-0000-0000-0000EA080000}"/>
    <cellStyle name="Input 2 2 3 2 3 2" xfId="2284" xr:uid="{00000000-0005-0000-0000-0000EB080000}"/>
    <cellStyle name="Input 2 2 3 2 3 2 2" xfId="2285" xr:uid="{00000000-0005-0000-0000-0000EC080000}"/>
    <cellStyle name="Input 2 2 3 2 3 3" xfId="2286" xr:uid="{00000000-0005-0000-0000-0000ED080000}"/>
    <cellStyle name="Input 2 2 3 2 3 4" xfId="2287" xr:uid="{00000000-0005-0000-0000-0000EE080000}"/>
    <cellStyle name="Input 2 2 3 2 4" xfId="2288" xr:uid="{00000000-0005-0000-0000-0000EF080000}"/>
    <cellStyle name="Input 2 2 3 2 4 2" xfId="2289" xr:uid="{00000000-0005-0000-0000-0000F0080000}"/>
    <cellStyle name="Input 2 2 3 2 4 2 2" xfId="2290" xr:uid="{00000000-0005-0000-0000-0000F1080000}"/>
    <cellStyle name="Input 2 2 3 2 4 3" xfId="2291" xr:uid="{00000000-0005-0000-0000-0000F2080000}"/>
    <cellStyle name="Input 2 2 3 2 5" xfId="2292" xr:uid="{00000000-0005-0000-0000-0000F3080000}"/>
    <cellStyle name="Input 2 2 3 2 5 2" xfId="2293" xr:uid="{00000000-0005-0000-0000-0000F4080000}"/>
    <cellStyle name="Input 2 2 3 2 6" xfId="2294" xr:uid="{00000000-0005-0000-0000-0000F5080000}"/>
    <cellStyle name="Input 2 2 3 3" xfId="2295" xr:uid="{00000000-0005-0000-0000-0000F6080000}"/>
    <cellStyle name="Input 2 2 3 3 2" xfId="2296" xr:uid="{00000000-0005-0000-0000-0000F7080000}"/>
    <cellStyle name="Input 2 2 3 3 2 2" xfId="2297" xr:uid="{00000000-0005-0000-0000-0000F8080000}"/>
    <cellStyle name="Input 2 2 3 3 2 2 2" xfId="2298" xr:uid="{00000000-0005-0000-0000-0000F9080000}"/>
    <cellStyle name="Input 2 2 3 3 2 2 2 2" xfId="2299" xr:uid="{00000000-0005-0000-0000-0000FA080000}"/>
    <cellStyle name="Input 2 2 3 3 2 2 3" xfId="2300" xr:uid="{00000000-0005-0000-0000-0000FB080000}"/>
    <cellStyle name="Input 2 2 3 3 2 3" xfId="2301" xr:uid="{00000000-0005-0000-0000-0000FC080000}"/>
    <cellStyle name="Input 2 2 3 3 2 3 2" xfId="2302" xr:uid="{00000000-0005-0000-0000-0000FD080000}"/>
    <cellStyle name="Input 2 2 3 3 2 4" xfId="2303" xr:uid="{00000000-0005-0000-0000-0000FE080000}"/>
    <cellStyle name="Input 2 2 3 3 3" xfId="2304" xr:uid="{00000000-0005-0000-0000-0000FF080000}"/>
    <cellStyle name="Input 2 2 3 3 3 2" xfId="2305" xr:uid="{00000000-0005-0000-0000-000000090000}"/>
    <cellStyle name="Input 2 2 3 3 3 2 2" xfId="2306" xr:uid="{00000000-0005-0000-0000-000001090000}"/>
    <cellStyle name="Input 2 2 3 3 3 3" xfId="2307" xr:uid="{00000000-0005-0000-0000-000002090000}"/>
    <cellStyle name="Input 2 2 3 3 3 4" xfId="2308" xr:uid="{00000000-0005-0000-0000-000003090000}"/>
    <cellStyle name="Input 2 2 3 3 4" xfId="2309" xr:uid="{00000000-0005-0000-0000-000004090000}"/>
    <cellStyle name="Input 2 2 3 3 4 2" xfId="2310" xr:uid="{00000000-0005-0000-0000-000005090000}"/>
    <cellStyle name="Input 2 2 3 3 4 2 2" xfId="2311" xr:uid="{00000000-0005-0000-0000-000006090000}"/>
    <cellStyle name="Input 2 2 3 3 4 3" xfId="2312" xr:uid="{00000000-0005-0000-0000-000007090000}"/>
    <cellStyle name="Input 2 2 3 3 5" xfId="2313" xr:uid="{00000000-0005-0000-0000-000008090000}"/>
    <cellStyle name="Input 2 2 3 3 5 2" xfId="2314" xr:uid="{00000000-0005-0000-0000-000009090000}"/>
    <cellStyle name="Input 2 2 3 3 6" xfId="2315" xr:uid="{00000000-0005-0000-0000-00000A090000}"/>
    <cellStyle name="Input 2 2 3 4" xfId="2316" xr:uid="{00000000-0005-0000-0000-00000B090000}"/>
    <cellStyle name="Input 2 2 3 4 2" xfId="2317" xr:uid="{00000000-0005-0000-0000-00000C090000}"/>
    <cellStyle name="Input 2 2 3 4 2 2" xfId="2318" xr:uid="{00000000-0005-0000-0000-00000D090000}"/>
    <cellStyle name="Input 2 2 3 4 2 2 2" xfId="2319" xr:uid="{00000000-0005-0000-0000-00000E090000}"/>
    <cellStyle name="Input 2 2 3 4 2 2 2 2" xfId="2320" xr:uid="{00000000-0005-0000-0000-00000F090000}"/>
    <cellStyle name="Input 2 2 3 4 2 2 3" xfId="2321" xr:uid="{00000000-0005-0000-0000-000010090000}"/>
    <cellStyle name="Input 2 2 3 4 2 3" xfId="2322" xr:uid="{00000000-0005-0000-0000-000011090000}"/>
    <cellStyle name="Input 2 2 3 4 2 3 2" xfId="2323" xr:uid="{00000000-0005-0000-0000-000012090000}"/>
    <cellStyle name="Input 2 2 3 4 2 4" xfId="2324" xr:uid="{00000000-0005-0000-0000-000013090000}"/>
    <cellStyle name="Input 2 2 3 4 3" xfId="2325" xr:uid="{00000000-0005-0000-0000-000014090000}"/>
    <cellStyle name="Input 2 2 3 4 3 2" xfId="2326" xr:uid="{00000000-0005-0000-0000-000015090000}"/>
    <cellStyle name="Input 2 2 3 4 3 2 2" xfId="2327" xr:uid="{00000000-0005-0000-0000-000016090000}"/>
    <cellStyle name="Input 2 2 3 4 3 3" xfId="2328" xr:uid="{00000000-0005-0000-0000-000017090000}"/>
    <cellStyle name="Input 2 2 3 4 3 4" xfId="2329" xr:uid="{00000000-0005-0000-0000-000018090000}"/>
    <cellStyle name="Input 2 2 3 4 4" xfId="2330" xr:uid="{00000000-0005-0000-0000-000019090000}"/>
    <cellStyle name="Input 2 2 3 4 4 2" xfId="2331" xr:uid="{00000000-0005-0000-0000-00001A090000}"/>
    <cellStyle name="Input 2 2 3 4 4 2 2" xfId="2332" xr:uid="{00000000-0005-0000-0000-00001B090000}"/>
    <cellStyle name="Input 2 2 3 4 4 3" xfId="2333" xr:uid="{00000000-0005-0000-0000-00001C090000}"/>
    <cellStyle name="Input 2 2 3 4 5" xfId="2334" xr:uid="{00000000-0005-0000-0000-00001D090000}"/>
    <cellStyle name="Input 2 2 3 4 5 2" xfId="2335" xr:uid="{00000000-0005-0000-0000-00001E090000}"/>
    <cellStyle name="Input 2 2 3 4 6" xfId="2336" xr:uid="{00000000-0005-0000-0000-00001F090000}"/>
    <cellStyle name="Input 2 2 3 5" xfId="2337" xr:uid="{00000000-0005-0000-0000-000020090000}"/>
    <cellStyle name="Input 2 2 3 5 2" xfId="2338" xr:uid="{00000000-0005-0000-0000-000021090000}"/>
    <cellStyle name="Input 2 2 4" xfId="2339" xr:uid="{00000000-0005-0000-0000-000022090000}"/>
    <cellStyle name="Input 2 2 4 2" xfId="2340" xr:uid="{00000000-0005-0000-0000-000023090000}"/>
    <cellStyle name="Input 2 2 4 2 2" xfId="2341" xr:uid="{00000000-0005-0000-0000-000024090000}"/>
    <cellStyle name="Input 2 2 4 2 2 2" xfId="2342" xr:uid="{00000000-0005-0000-0000-000025090000}"/>
    <cellStyle name="Input 2 2 4 2 2 2 2" xfId="2343" xr:uid="{00000000-0005-0000-0000-000026090000}"/>
    <cellStyle name="Input 2 2 4 2 2 2 2 2" xfId="2344" xr:uid="{00000000-0005-0000-0000-000027090000}"/>
    <cellStyle name="Input 2 2 4 2 2 2 3" xfId="2345" xr:uid="{00000000-0005-0000-0000-000028090000}"/>
    <cellStyle name="Input 2 2 4 2 2 3" xfId="2346" xr:uid="{00000000-0005-0000-0000-000029090000}"/>
    <cellStyle name="Input 2 2 4 2 2 3 2" xfId="2347" xr:uid="{00000000-0005-0000-0000-00002A090000}"/>
    <cellStyle name="Input 2 2 4 2 2 4" xfId="2348" xr:uid="{00000000-0005-0000-0000-00002B090000}"/>
    <cellStyle name="Input 2 2 4 2 3" xfId="2349" xr:uid="{00000000-0005-0000-0000-00002C090000}"/>
    <cellStyle name="Input 2 2 4 2 3 2" xfId="2350" xr:uid="{00000000-0005-0000-0000-00002D090000}"/>
    <cellStyle name="Input 2 2 4 2 3 2 2" xfId="2351" xr:uid="{00000000-0005-0000-0000-00002E090000}"/>
    <cellStyle name="Input 2 2 4 2 3 3" xfId="2352" xr:uid="{00000000-0005-0000-0000-00002F090000}"/>
    <cellStyle name="Input 2 2 4 2 3 4" xfId="2353" xr:uid="{00000000-0005-0000-0000-000030090000}"/>
    <cellStyle name="Input 2 2 4 2 4" xfId="2354" xr:uid="{00000000-0005-0000-0000-000031090000}"/>
    <cellStyle name="Input 2 2 4 2 4 2" xfId="2355" xr:uid="{00000000-0005-0000-0000-000032090000}"/>
    <cellStyle name="Input 2 2 4 2 4 2 2" xfId="2356" xr:uid="{00000000-0005-0000-0000-000033090000}"/>
    <cellStyle name="Input 2 2 4 2 4 3" xfId="2357" xr:uid="{00000000-0005-0000-0000-000034090000}"/>
    <cellStyle name="Input 2 2 4 2 5" xfId="2358" xr:uid="{00000000-0005-0000-0000-000035090000}"/>
    <cellStyle name="Input 2 2 4 2 5 2" xfId="2359" xr:uid="{00000000-0005-0000-0000-000036090000}"/>
    <cellStyle name="Input 2 2 4 2 6" xfId="2360" xr:uid="{00000000-0005-0000-0000-000037090000}"/>
    <cellStyle name="Input 2 2 4 3" xfId="2361" xr:uid="{00000000-0005-0000-0000-000038090000}"/>
    <cellStyle name="Input 2 2 4 3 2" xfId="2362" xr:uid="{00000000-0005-0000-0000-000039090000}"/>
    <cellStyle name="Input 2 2 4 3 2 2" xfId="2363" xr:uid="{00000000-0005-0000-0000-00003A090000}"/>
    <cellStyle name="Input 2 2 4 3 2 2 2" xfId="2364" xr:uid="{00000000-0005-0000-0000-00003B090000}"/>
    <cellStyle name="Input 2 2 4 3 2 2 2 2" xfId="2365" xr:uid="{00000000-0005-0000-0000-00003C090000}"/>
    <cellStyle name="Input 2 2 4 3 2 2 3" xfId="2366" xr:uid="{00000000-0005-0000-0000-00003D090000}"/>
    <cellStyle name="Input 2 2 4 3 2 3" xfId="2367" xr:uid="{00000000-0005-0000-0000-00003E090000}"/>
    <cellStyle name="Input 2 2 4 3 2 3 2" xfId="2368" xr:uid="{00000000-0005-0000-0000-00003F090000}"/>
    <cellStyle name="Input 2 2 4 3 2 4" xfId="2369" xr:uid="{00000000-0005-0000-0000-000040090000}"/>
    <cellStyle name="Input 2 2 4 3 3" xfId="2370" xr:uid="{00000000-0005-0000-0000-000041090000}"/>
    <cellStyle name="Input 2 2 4 3 3 2" xfId="2371" xr:uid="{00000000-0005-0000-0000-000042090000}"/>
    <cellStyle name="Input 2 2 4 3 3 2 2" xfId="2372" xr:uid="{00000000-0005-0000-0000-000043090000}"/>
    <cellStyle name="Input 2 2 4 3 3 3" xfId="2373" xr:uid="{00000000-0005-0000-0000-000044090000}"/>
    <cellStyle name="Input 2 2 4 3 3 4" xfId="2374" xr:uid="{00000000-0005-0000-0000-000045090000}"/>
    <cellStyle name="Input 2 2 4 3 4" xfId="2375" xr:uid="{00000000-0005-0000-0000-000046090000}"/>
    <cellStyle name="Input 2 2 4 3 4 2" xfId="2376" xr:uid="{00000000-0005-0000-0000-000047090000}"/>
    <cellStyle name="Input 2 2 4 3 4 2 2" xfId="2377" xr:uid="{00000000-0005-0000-0000-000048090000}"/>
    <cellStyle name="Input 2 2 4 3 4 3" xfId="2378" xr:uid="{00000000-0005-0000-0000-000049090000}"/>
    <cellStyle name="Input 2 2 4 3 5" xfId="2379" xr:uid="{00000000-0005-0000-0000-00004A090000}"/>
    <cellStyle name="Input 2 2 4 3 5 2" xfId="2380" xr:uid="{00000000-0005-0000-0000-00004B090000}"/>
    <cellStyle name="Input 2 2 4 3 6" xfId="2381" xr:uid="{00000000-0005-0000-0000-00004C090000}"/>
    <cellStyle name="Input 2 2 4 4" xfId="2382" xr:uid="{00000000-0005-0000-0000-00004D090000}"/>
    <cellStyle name="Input 2 2 4 4 2" xfId="2383" xr:uid="{00000000-0005-0000-0000-00004E090000}"/>
    <cellStyle name="Input 2 2 4 4 2 2" xfId="2384" xr:uid="{00000000-0005-0000-0000-00004F090000}"/>
    <cellStyle name="Input 2 2 4 4 2 2 2" xfId="2385" xr:uid="{00000000-0005-0000-0000-000050090000}"/>
    <cellStyle name="Input 2 2 4 4 2 3" xfId="2386" xr:uid="{00000000-0005-0000-0000-000051090000}"/>
    <cellStyle name="Input 2 2 4 4 3" xfId="2387" xr:uid="{00000000-0005-0000-0000-000052090000}"/>
    <cellStyle name="Input 2 2 4 4 3 2" xfId="2388" xr:uid="{00000000-0005-0000-0000-000053090000}"/>
    <cellStyle name="Input 2 2 4 4 4" xfId="2389" xr:uid="{00000000-0005-0000-0000-000054090000}"/>
    <cellStyle name="Input 2 2 4 5" xfId="2390" xr:uid="{00000000-0005-0000-0000-000055090000}"/>
    <cellStyle name="Input 2 2 4 5 2" xfId="2391" xr:uid="{00000000-0005-0000-0000-000056090000}"/>
    <cellStyle name="Input 2 2 4 5 2 2" xfId="2392" xr:uid="{00000000-0005-0000-0000-000057090000}"/>
    <cellStyle name="Input 2 2 4 5 3" xfId="2393" xr:uid="{00000000-0005-0000-0000-000058090000}"/>
    <cellStyle name="Input 2 2 4 5 4" xfId="2394" xr:uid="{00000000-0005-0000-0000-000059090000}"/>
    <cellStyle name="Input 2 2 4 6" xfId="2395" xr:uid="{00000000-0005-0000-0000-00005A090000}"/>
    <cellStyle name="Input 2 2 4 6 2" xfId="2396" xr:uid="{00000000-0005-0000-0000-00005B090000}"/>
    <cellStyle name="Input 2 2 4 6 2 2" xfId="2397" xr:uid="{00000000-0005-0000-0000-00005C090000}"/>
    <cellStyle name="Input 2 2 4 6 3" xfId="2398" xr:uid="{00000000-0005-0000-0000-00005D090000}"/>
    <cellStyle name="Input 2 2 4 7" xfId="2399" xr:uid="{00000000-0005-0000-0000-00005E090000}"/>
    <cellStyle name="Input 2 2 4 7 2" xfId="2400" xr:uid="{00000000-0005-0000-0000-00005F090000}"/>
    <cellStyle name="Input 2 2 4 8" xfId="2401" xr:uid="{00000000-0005-0000-0000-000060090000}"/>
    <cellStyle name="Input 2 2 5" xfId="2402" xr:uid="{00000000-0005-0000-0000-000061090000}"/>
    <cellStyle name="Input 2 2 5 2" xfId="2403" xr:uid="{00000000-0005-0000-0000-000062090000}"/>
    <cellStyle name="Input 2 2 5 2 2" xfId="2404" xr:uid="{00000000-0005-0000-0000-000063090000}"/>
    <cellStyle name="Input 2 2 5 2 2 2" xfId="2405" xr:uid="{00000000-0005-0000-0000-000064090000}"/>
    <cellStyle name="Input 2 2 5 2 2 2 2" xfId="2406" xr:uid="{00000000-0005-0000-0000-000065090000}"/>
    <cellStyle name="Input 2 2 5 2 2 3" xfId="2407" xr:uid="{00000000-0005-0000-0000-000066090000}"/>
    <cellStyle name="Input 2 2 5 2 3" xfId="2408" xr:uid="{00000000-0005-0000-0000-000067090000}"/>
    <cellStyle name="Input 2 2 5 2 3 2" xfId="2409" xr:uid="{00000000-0005-0000-0000-000068090000}"/>
    <cellStyle name="Input 2 2 5 2 4" xfId="2410" xr:uid="{00000000-0005-0000-0000-000069090000}"/>
    <cellStyle name="Input 2 2 5 3" xfId="2411" xr:uid="{00000000-0005-0000-0000-00006A090000}"/>
    <cellStyle name="Input 2 2 5 3 2" xfId="2412" xr:uid="{00000000-0005-0000-0000-00006B090000}"/>
    <cellStyle name="Input 2 2 5 3 2 2" xfId="2413" xr:uid="{00000000-0005-0000-0000-00006C090000}"/>
    <cellStyle name="Input 2 2 5 3 3" xfId="2414" xr:uid="{00000000-0005-0000-0000-00006D090000}"/>
    <cellStyle name="Input 2 2 5 3 4" xfId="2415" xr:uid="{00000000-0005-0000-0000-00006E090000}"/>
    <cellStyle name="Input 2 2 5 4" xfId="2416" xr:uid="{00000000-0005-0000-0000-00006F090000}"/>
    <cellStyle name="Input 2 2 5 4 2" xfId="2417" xr:uid="{00000000-0005-0000-0000-000070090000}"/>
    <cellStyle name="Input 2 2 5 4 2 2" xfId="2418" xr:uid="{00000000-0005-0000-0000-000071090000}"/>
    <cellStyle name="Input 2 2 5 4 3" xfId="2419" xr:uid="{00000000-0005-0000-0000-000072090000}"/>
    <cellStyle name="Input 2 2 5 5" xfId="2420" xr:uid="{00000000-0005-0000-0000-000073090000}"/>
    <cellStyle name="Input 2 2 5 5 2" xfId="2421" xr:uid="{00000000-0005-0000-0000-000074090000}"/>
    <cellStyle name="Input 2 2 5 6" xfId="2422" xr:uid="{00000000-0005-0000-0000-000075090000}"/>
    <cellStyle name="Input 2 3" xfId="2423" xr:uid="{00000000-0005-0000-0000-000076090000}"/>
    <cellStyle name="Input 2 3 2" xfId="2424" xr:uid="{00000000-0005-0000-0000-000077090000}"/>
    <cellStyle name="Input 2 3 2 2" xfId="2425" xr:uid="{00000000-0005-0000-0000-000078090000}"/>
    <cellStyle name="Input 2 3 2 2 2" xfId="2426" xr:uid="{00000000-0005-0000-0000-000079090000}"/>
    <cellStyle name="Input 2 3 2 2 2 2" xfId="2427" xr:uid="{00000000-0005-0000-0000-00007A090000}"/>
    <cellStyle name="Input 2 3 2 2 2 2 2" xfId="2428" xr:uid="{00000000-0005-0000-0000-00007B090000}"/>
    <cellStyle name="Input 2 3 2 2 2 2 2 2" xfId="2429" xr:uid="{00000000-0005-0000-0000-00007C090000}"/>
    <cellStyle name="Input 2 3 2 2 2 2 3" xfId="2430" xr:uid="{00000000-0005-0000-0000-00007D090000}"/>
    <cellStyle name="Input 2 3 2 2 2 3" xfId="2431" xr:uid="{00000000-0005-0000-0000-00007E090000}"/>
    <cellStyle name="Input 2 3 2 2 2 3 2" xfId="2432" xr:uid="{00000000-0005-0000-0000-00007F090000}"/>
    <cellStyle name="Input 2 3 2 2 2 4" xfId="2433" xr:uid="{00000000-0005-0000-0000-000080090000}"/>
    <cellStyle name="Input 2 3 2 2 3" xfId="2434" xr:uid="{00000000-0005-0000-0000-000081090000}"/>
    <cellStyle name="Input 2 3 2 2 3 2" xfId="2435" xr:uid="{00000000-0005-0000-0000-000082090000}"/>
    <cellStyle name="Input 2 3 2 2 3 2 2" xfId="2436" xr:uid="{00000000-0005-0000-0000-000083090000}"/>
    <cellStyle name="Input 2 3 2 2 3 3" xfId="2437" xr:uid="{00000000-0005-0000-0000-000084090000}"/>
    <cellStyle name="Input 2 3 2 2 3 4" xfId="2438" xr:uid="{00000000-0005-0000-0000-000085090000}"/>
    <cellStyle name="Input 2 3 2 2 4" xfId="2439" xr:uid="{00000000-0005-0000-0000-000086090000}"/>
    <cellStyle name="Input 2 3 2 2 4 2" xfId="2440" xr:uid="{00000000-0005-0000-0000-000087090000}"/>
    <cellStyle name="Input 2 3 2 2 4 2 2" xfId="2441" xr:uid="{00000000-0005-0000-0000-000088090000}"/>
    <cellStyle name="Input 2 3 2 2 4 3" xfId="2442" xr:uid="{00000000-0005-0000-0000-000089090000}"/>
    <cellStyle name="Input 2 3 2 2 5" xfId="2443" xr:uid="{00000000-0005-0000-0000-00008A090000}"/>
    <cellStyle name="Input 2 3 2 2 5 2" xfId="2444" xr:uid="{00000000-0005-0000-0000-00008B090000}"/>
    <cellStyle name="Input 2 3 2 2 6" xfId="2445" xr:uid="{00000000-0005-0000-0000-00008C090000}"/>
    <cellStyle name="Input 2 3 2 3" xfId="2446" xr:uid="{00000000-0005-0000-0000-00008D090000}"/>
    <cellStyle name="Input 2 3 2 3 2" xfId="2447" xr:uid="{00000000-0005-0000-0000-00008E090000}"/>
    <cellStyle name="Input 2 3 2 3 2 2" xfId="2448" xr:uid="{00000000-0005-0000-0000-00008F090000}"/>
    <cellStyle name="Input 2 3 2 3 2 2 2" xfId="2449" xr:uid="{00000000-0005-0000-0000-000090090000}"/>
    <cellStyle name="Input 2 3 2 3 2 2 2 2" xfId="2450" xr:uid="{00000000-0005-0000-0000-000091090000}"/>
    <cellStyle name="Input 2 3 2 3 2 2 3" xfId="2451" xr:uid="{00000000-0005-0000-0000-000092090000}"/>
    <cellStyle name="Input 2 3 2 3 2 3" xfId="2452" xr:uid="{00000000-0005-0000-0000-000093090000}"/>
    <cellStyle name="Input 2 3 2 3 2 3 2" xfId="2453" xr:uid="{00000000-0005-0000-0000-000094090000}"/>
    <cellStyle name="Input 2 3 2 3 2 4" xfId="2454" xr:uid="{00000000-0005-0000-0000-000095090000}"/>
    <cellStyle name="Input 2 3 2 3 3" xfId="2455" xr:uid="{00000000-0005-0000-0000-000096090000}"/>
    <cellStyle name="Input 2 3 2 3 3 2" xfId="2456" xr:uid="{00000000-0005-0000-0000-000097090000}"/>
    <cellStyle name="Input 2 3 2 3 3 2 2" xfId="2457" xr:uid="{00000000-0005-0000-0000-000098090000}"/>
    <cellStyle name="Input 2 3 2 3 3 3" xfId="2458" xr:uid="{00000000-0005-0000-0000-000099090000}"/>
    <cellStyle name="Input 2 3 2 3 3 4" xfId="2459" xr:uid="{00000000-0005-0000-0000-00009A090000}"/>
    <cellStyle name="Input 2 3 2 3 4" xfId="2460" xr:uid="{00000000-0005-0000-0000-00009B090000}"/>
    <cellStyle name="Input 2 3 2 3 4 2" xfId="2461" xr:uid="{00000000-0005-0000-0000-00009C090000}"/>
    <cellStyle name="Input 2 3 2 3 4 2 2" xfId="2462" xr:uid="{00000000-0005-0000-0000-00009D090000}"/>
    <cellStyle name="Input 2 3 2 3 4 3" xfId="2463" xr:uid="{00000000-0005-0000-0000-00009E090000}"/>
    <cellStyle name="Input 2 3 2 3 5" xfId="2464" xr:uid="{00000000-0005-0000-0000-00009F090000}"/>
    <cellStyle name="Input 2 3 2 3 5 2" xfId="2465" xr:uid="{00000000-0005-0000-0000-0000A0090000}"/>
    <cellStyle name="Input 2 3 2 3 6" xfId="2466" xr:uid="{00000000-0005-0000-0000-0000A1090000}"/>
    <cellStyle name="Input 2 3 2 4" xfId="2467" xr:uid="{00000000-0005-0000-0000-0000A2090000}"/>
    <cellStyle name="Input 2 3 2 4 2" xfId="2468" xr:uid="{00000000-0005-0000-0000-0000A3090000}"/>
    <cellStyle name="Input 2 3 2 4 2 2" xfId="2469" xr:uid="{00000000-0005-0000-0000-0000A4090000}"/>
    <cellStyle name="Input 2 3 2 4 2 2 2" xfId="2470" xr:uid="{00000000-0005-0000-0000-0000A5090000}"/>
    <cellStyle name="Input 2 3 2 4 2 2 2 2" xfId="2471" xr:uid="{00000000-0005-0000-0000-0000A6090000}"/>
    <cellStyle name="Input 2 3 2 4 2 2 3" xfId="2472" xr:uid="{00000000-0005-0000-0000-0000A7090000}"/>
    <cellStyle name="Input 2 3 2 4 2 3" xfId="2473" xr:uid="{00000000-0005-0000-0000-0000A8090000}"/>
    <cellStyle name="Input 2 3 2 4 2 3 2" xfId="2474" xr:uid="{00000000-0005-0000-0000-0000A9090000}"/>
    <cellStyle name="Input 2 3 2 4 2 4" xfId="2475" xr:uid="{00000000-0005-0000-0000-0000AA090000}"/>
    <cellStyle name="Input 2 3 2 4 3" xfId="2476" xr:uid="{00000000-0005-0000-0000-0000AB090000}"/>
    <cellStyle name="Input 2 3 2 4 3 2" xfId="2477" xr:uid="{00000000-0005-0000-0000-0000AC090000}"/>
    <cellStyle name="Input 2 3 2 4 3 2 2" xfId="2478" xr:uid="{00000000-0005-0000-0000-0000AD090000}"/>
    <cellStyle name="Input 2 3 2 4 3 3" xfId="2479" xr:uid="{00000000-0005-0000-0000-0000AE090000}"/>
    <cellStyle name="Input 2 3 2 4 3 4" xfId="2480" xr:uid="{00000000-0005-0000-0000-0000AF090000}"/>
    <cellStyle name="Input 2 3 2 4 4" xfId="2481" xr:uid="{00000000-0005-0000-0000-0000B0090000}"/>
    <cellStyle name="Input 2 3 2 4 4 2" xfId="2482" xr:uid="{00000000-0005-0000-0000-0000B1090000}"/>
    <cellStyle name="Input 2 3 2 4 4 2 2" xfId="2483" xr:uid="{00000000-0005-0000-0000-0000B2090000}"/>
    <cellStyle name="Input 2 3 2 4 4 3" xfId="2484" xr:uid="{00000000-0005-0000-0000-0000B3090000}"/>
    <cellStyle name="Input 2 3 2 4 5" xfId="2485" xr:uid="{00000000-0005-0000-0000-0000B4090000}"/>
    <cellStyle name="Input 2 3 2 4 5 2" xfId="2486" xr:uid="{00000000-0005-0000-0000-0000B5090000}"/>
    <cellStyle name="Input 2 3 2 4 6" xfId="2487" xr:uid="{00000000-0005-0000-0000-0000B6090000}"/>
    <cellStyle name="Input 2 3 2 5" xfId="2488" xr:uid="{00000000-0005-0000-0000-0000B7090000}"/>
    <cellStyle name="Input 2 3 2 5 2" xfId="2489" xr:uid="{00000000-0005-0000-0000-0000B8090000}"/>
    <cellStyle name="Input 2 3 3" xfId="2490" xr:uid="{00000000-0005-0000-0000-0000B9090000}"/>
    <cellStyle name="Input 2 3 3 2" xfId="2491" xr:uid="{00000000-0005-0000-0000-0000BA090000}"/>
    <cellStyle name="Input 2 3 3 2 2" xfId="2492" xr:uid="{00000000-0005-0000-0000-0000BB090000}"/>
    <cellStyle name="Input 2 3 3 2 2 2" xfId="2493" xr:uid="{00000000-0005-0000-0000-0000BC090000}"/>
    <cellStyle name="Input 2 3 3 2 2 2 2" xfId="2494" xr:uid="{00000000-0005-0000-0000-0000BD090000}"/>
    <cellStyle name="Input 2 3 3 2 2 3" xfId="2495" xr:uid="{00000000-0005-0000-0000-0000BE090000}"/>
    <cellStyle name="Input 2 3 3 2 3" xfId="2496" xr:uid="{00000000-0005-0000-0000-0000BF090000}"/>
    <cellStyle name="Input 2 3 3 2 3 2" xfId="2497" xr:uid="{00000000-0005-0000-0000-0000C0090000}"/>
    <cellStyle name="Input 2 3 3 2 4" xfId="2498" xr:uid="{00000000-0005-0000-0000-0000C1090000}"/>
    <cellStyle name="Input 2 3 3 3" xfId="2499" xr:uid="{00000000-0005-0000-0000-0000C2090000}"/>
    <cellStyle name="Input 2 3 3 3 2" xfId="2500" xr:uid="{00000000-0005-0000-0000-0000C3090000}"/>
    <cellStyle name="Input 2 3 3 3 2 2" xfId="2501" xr:uid="{00000000-0005-0000-0000-0000C4090000}"/>
    <cellStyle name="Input 2 3 3 3 3" xfId="2502" xr:uid="{00000000-0005-0000-0000-0000C5090000}"/>
    <cellStyle name="Input 2 3 3 3 4" xfId="2503" xr:uid="{00000000-0005-0000-0000-0000C6090000}"/>
    <cellStyle name="Input 2 3 3 4" xfId="2504" xr:uid="{00000000-0005-0000-0000-0000C7090000}"/>
    <cellStyle name="Input 2 3 3 4 2" xfId="2505" xr:uid="{00000000-0005-0000-0000-0000C8090000}"/>
    <cellStyle name="Input 2 3 3 4 2 2" xfId="2506" xr:uid="{00000000-0005-0000-0000-0000C9090000}"/>
    <cellStyle name="Input 2 3 3 4 3" xfId="2507" xr:uid="{00000000-0005-0000-0000-0000CA090000}"/>
    <cellStyle name="Input 2 3 3 5" xfId="2508" xr:uid="{00000000-0005-0000-0000-0000CB090000}"/>
    <cellStyle name="Input 2 3 3 5 2" xfId="2509" xr:uid="{00000000-0005-0000-0000-0000CC090000}"/>
    <cellStyle name="Input 2 3 3 6" xfId="2510" xr:uid="{00000000-0005-0000-0000-0000CD090000}"/>
    <cellStyle name="Input 2 3 4" xfId="2511" xr:uid="{00000000-0005-0000-0000-0000CE090000}"/>
    <cellStyle name="Input 2 3 4 2" xfId="2512" xr:uid="{00000000-0005-0000-0000-0000CF090000}"/>
    <cellStyle name="Input 2 3 4 2 2" xfId="2513" xr:uid="{00000000-0005-0000-0000-0000D0090000}"/>
    <cellStyle name="Input 2 3 4 2 2 2" xfId="2514" xr:uid="{00000000-0005-0000-0000-0000D1090000}"/>
    <cellStyle name="Input 2 3 4 2 2 2 2" xfId="2515" xr:uid="{00000000-0005-0000-0000-0000D2090000}"/>
    <cellStyle name="Input 2 3 4 2 2 3" xfId="2516" xr:uid="{00000000-0005-0000-0000-0000D3090000}"/>
    <cellStyle name="Input 2 3 4 2 3" xfId="2517" xr:uid="{00000000-0005-0000-0000-0000D4090000}"/>
    <cellStyle name="Input 2 3 4 2 3 2" xfId="2518" xr:uid="{00000000-0005-0000-0000-0000D5090000}"/>
    <cellStyle name="Input 2 3 4 2 4" xfId="2519" xr:uid="{00000000-0005-0000-0000-0000D6090000}"/>
    <cellStyle name="Input 2 3 4 3" xfId="2520" xr:uid="{00000000-0005-0000-0000-0000D7090000}"/>
    <cellStyle name="Input 2 3 4 3 2" xfId="2521" xr:uid="{00000000-0005-0000-0000-0000D8090000}"/>
    <cellStyle name="Input 2 3 4 3 2 2" xfId="2522" xr:uid="{00000000-0005-0000-0000-0000D9090000}"/>
    <cellStyle name="Input 2 3 4 3 3" xfId="2523" xr:uid="{00000000-0005-0000-0000-0000DA090000}"/>
    <cellStyle name="Input 2 3 4 3 4" xfId="2524" xr:uid="{00000000-0005-0000-0000-0000DB090000}"/>
    <cellStyle name="Input 2 3 4 4" xfId="2525" xr:uid="{00000000-0005-0000-0000-0000DC090000}"/>
    <cellStyle name="Input 2 3 4 4 2" xfId="2526" xr:uid="{00000000-0005-0000-0000-0000DD090000}"/>
    <cellStyle name="Input 2 3 4 4 2 2" xfId="2527" xr:uid="{00000000-0005-0000-0000-0000DE090000}"/>
    <cellStyle name="Input 2 3 4 4 3" xfId="2528" xr:uid="{00000000-0005-0000-0000-0000DF090000}"/>
    <cellStyle name="Input 2 3 4 5" xfId="2529" xr:uid="{00000000-0005-0000-0000-0000E0090000}"/>
    <cellStyle name="Input 2 3 4 5 2" xfId="2530" xr:uid="{00000000-0005-0000-0000-0000E1090000}"/>
    <cellStyle name="Input 2 3 4 6" xfId="2531" xr:uid="{00000000-0005-0000-0000-0000E2090000}"/>
    <cellStyle name="Input 2 3 5" xfId="2532" xr:uid="{00000000-0005-0000-0000-0000E3090000}"/>
    <cellStyle name="Input 2 3 5 2" xfId="2533" xr:uid="{00000000-0005-0000-0000-0000E4090000}"/>
    <cellStyle name="Input 2 3 5 2 2" xfId="2534" xr:uid="{00000000-0005-0000-0000-0000E5090000}"/>
    <cellStyle name="Input 2 3 5 2 2 2" xfId="2535" xr:uid="{00000000-0005-0000-0000-0000E6090000}"/>
    <cellStyle name="Input 2 3 5 2 2 2 2" xfId="2536" xr:uid="{00000000-0005-0000-0000-0000E7090000}"/>
    <cellStyle name="Input 2 3 5 2 2 3" xfId="2537" xr:uid="{00000000-0005-0000-0000-0000E8090000}"/>
    <cellStyle name="Input 2 3 5 2 3" xfId="2538" xr:uid="{00000000-0005-0000-0000-0000E9090000}"/>
    <cellStyle name="Input 2 3 5 2 3 2" xfId="2539" xr:uid="{00000000-0005-0000-0000-0000EA090000}"/>
    <cellStyle name="Input 2 3 5 2 4" xfId="2540" xr:uid="{00000000-0005-0000-0000-0000EB090000}"/>
    <cellStyle name="Input 2 3 5 3" xfId="2541" xr:uid="{00000000-0005-0000-0000-0000EC090000}"/>
    <cellStyle name="Input 2 3 5 3 2" xfId="2542" xr:uid="{00000000-0005-0000-0000-0000ED090000}"/>
    <cellStyle name="Input 2 3 5 3 2 2" xfId="2543" xr:uid="{00000000-0005-0000-0000-0000EE090000}"/>
    <cellStyle name="Input 2 3 5 3 3" xfId="2544" xr:uid="{00000000-0005-0000-0000-0000EF090000}"/>
    <cellStyle name="Input 2 3 5 3 4" xfId="2545" xr:uid="{00000000-0005-0000-0000-0000F0090000}"/>
    <cellStyle name="Input 2 3 5 4" xfId="2546" xr:uid="{00000000-0005-0000-0000-0000F1090000}"/>
    <cellStyle name="Input 2 3 5 4 2" xfId="2547" xr:uid="{00000000-0005-0000-0000-0000F2090000}"/>
    <cellStyle name="Input 2 3 5 4 2 2" xfId="2548" xr:uid="{00000000-0005-0000-0000-0000F3090000}"/>
    <cellStyle name="Input 2 3 5 4 3" xfId="2549" xr:uid="{00000000-0005-0000-0000-0000F4090000}"/>
    <cellStyle name="Input 2 3 5 5" xfId="2550" xr:uid="{00000000-0005-0000-0000-0000F5090000}"/>
    <cellStyle name="Input 2 3 5 5 2" xfId="2551" xr:uid="{00000000-0005-0000-0000-0000F6090000}"/>
    <cellStyle name="Input 2 3 5 6" xfId="2552" xr:uid="{00000000-0005-0000-0000-0000F7090000}"/>
    <cellStyle name="Input 2 4" xfId="2553" xr:uid="{00000000-0005-0000-0000-0000F8090000}"/>
    <cellStyle name="Input 2 4 2" xfId="2554" xr:uid="{00000000-0005-0000-0000-0000F9090000}"/>
    <cellStyle name="Input 2 4 2 2" xfId="2555" xr:uid="{00000000-0005-0000-0000-0000FA090000}"/>
    <cellStyle name="Input 2 4 2 2 2" xfId="2556" xr:uid="{00000000-0005-0000-0000-0000FB090000}"/>
    <cellStyle name="Input 2 4 2 2 2 2" xfId="2557" xr:uid="{00000000-0005-0000-0000-0000FC090000}"/>
    <cellStyle name="Input 2 4 2 2 2 2 2" xfId="2558" xr:uid="{00000000-0005-0000-0000-0000FD090000}"/>
    <cellStyle name="Input 2 4 2 2 2 3" xfId="2559" xr:uid="{00000000-0005-0000-0000-0000FE090000}"/>
    <cellStyle name="Input 2 4 2 2 3" xfId="2560" xr:uid="{00000000-0005-0000-0000-0000FF090000}"/>
    <cellStyle name="Input 2 4 2 2 3 2" xfId="2561" xr:uid="{00000000-0005-0000-0000-0000000A0000}"/>
    <cellStyle name="Input 2 4 2 2 4" xfId="2562" xr:uid="{00000000-0005-0000-0000-0000010A0000}"/>
    <cellStyle name="Input 2 4 2 3" xfId="2563" xr:uid="{00000000-0005-0000-0000-0000020A0000}"/>
    <cellStyle name="Input 2 4 2 3 2" xfId="2564" xr:uid="{00000000-0005-0000-0000-0000030A0000}"/>
    <cellStyle name="Input 2 4 2 3 2 2" xfId="2565" xr:uid="{00000000-0005-0000-0000-0000040A0000}"/>
    <cellStyle name="Input 2 4 2 3 3" xfId="2566" xr:uid="{00000000-0005-0000-0000-0000050A0000}"/>
    <cellStyle name="Input 2 4 2 3 4" xfId="2567" xr:uid="{00000000-0005-0000-0000-0000060A0000}"/>
    <cellStyle name="Input 2 4 2 4" xfId="2568" xr:uid="{00000000-0005-0000-0000-0000070A0000}"/>
    <cellStyle name="Input 2 4 2 4 2" xfId="2569" xr:uid="{00000000-0005-0000-0000-0000080A0000}"/>
    <cellStyle name="Input 2 4 2 4 2 2" xfId="2570" xr:uid="{00000000-0005-0000-0000-0000090A0000}"/>
    <cellStyle name="Input 2 4 2 4 3" xfId="2571" xr:uid="{00000000-0005-0000-0000-00000A0A0000}"/>
    <cellStyle name="Input 2 4 2 5" xfId="2572" xr:uid="{00000000-0005-0000-0000-00000B0A0000}"/>
    <cellStyle name="Input 2 4 2 5 2" xfId="2573" xr:uid="{00000000-0005-0000-0000-00000C0A0000}"/>
    <cellStyle name="Input 2 4 2 6" xfId="2574" xr:uid="{00000000-0005-0000-0000-00000D0A0000}"/>
    <cellStyle name="Input 2 4 3" xfId="2575" xr:uid="{00000000-0005-0000-0000-00000E0A0000}"/>
    <cellStyle name="Input 2 4 3 2" xfId="2576" xr:uid="{00000000-0005-0000-0000-00000F0A0000}"/>
    <cellStyle name="Input 2 4 3 2 2" xfId="2577" xr:uid="{00000000-0005-0000-0000-0000100A0000}"/>
    <cellStyle name="Input 2 4 3 2 2 2" xfId="2578" xr:uid="{00000000-0005-0000-0000-0000110A0000}"/>
    <cellStyle name="Input 2 4 3 2 2 2 2" xfId="2579" xr:uid="{00000000-0005-0000-0000-0000120A0000}"/>
    <cellStyle name="Input 2 4 3 2 2 3" xfId="2580" xr:uid="{00000000-0005-0000-0000-0000130A0000}"/>
    <cellStyle name="Input 2 4 3 2 3" xfId="2581" xr:uid="{00000000-0005-0000-0000-0000140A0000}"/>
    <cellStyle name="Input 2 4 3 2 3 2" xfId="2582" xr:uid="{00000000-0005-0000-0000-0000150A0000}"/>
    <cellStyle name="Input 2 4 3 2 4" xfId="2583" xr:uid="{00000000-0005-0000-0000-0000160A0000}"/>
    <cellStyle name="Input 2 4 3 3" xfId="2584" xr:uid="{00000000-0005-0000-0000-0000170A0000}"/>
    <cellStyle name="Input 2 4 3 3 2" xfId="2585" xr:uid="{00000000-0005-0000-0000-0000180A0000}"/>
    <cellStyle name="Input 2 4 3 3 2 2" xfId="2586" xr:uid="{00000000-0005-0000-0000-0000190A0000}"/>
    <cellStyle name="Input 2 4 3 3 3" xfId="2587" xr:uid="{00000000-0005-0000-0000-00001A0A0000}"/>
    <cellStyle name="Input 2 4 3 3 4" xfId="2588" xr:uid="{00000000-0005-0000-0000-00001B0A0000}"/>
    <cellStyle name="Input 2 4 3 4" xfId="2589" xr:uid="{00000000-0005-0000-0000-00001C0A0000}"/>
    <cellStyle name="Input 2 4 3 4 2" xfId="2590" xr:uid="{00000000-0005-0000-0000-00001D0A0000}"/>
    <cellStyle name="Input 2 4 3 4 2 2" xfId="2591" xr:uid="{00000000-0005-0000-0000-00001E0A0000}"/>
    <cellStyle name="Input 2 4 3 4 3" xfId="2592" xr:uid="{00000000-0005-0000-0000-00001F0A0000}"/>
    <cellStyle name="Input 2 4 3 5" xfId="2593" xr:uid="{00000000-0005-0000-0000-0000200A0000}"/>
    <cellStyle name="Input 2 4 3 5 2" xfId="2594" xr:uid="{00000000-0005-0000-0000-0000210A0000}"/>
    <cellStyle name="Input 2 4 3 6" xfId="2595" xr:uid="{00000000-0005-0000-0000-0000220A0000}"/>
    <cellStyle name="Input 2 4 4" xfId="2596" xr:uid="{00000000-0005-0000-0000-0000230A0000}"/>
    <cellStyle name="Input 2 4 4 2" xfId="2597" xr:uid="{00000000-0005-0000-0000-0000240A0000}"/>
    <cellStyle name="Input 2 4 4 2 2" xfId="2598" xr:uid="{00000000-0005-0000-0000-0000250A0000}"/>
    <cellStyle name="Input 2 4 4 2 2 2" xfId="2599" xr:uid="{00000000-0005-0000-0000-0000260A0000}"/>
    <cellStyle name="Input 2 4 4 2 2 2 2" xfId="2600" xr:uid="{00000000-0005-0000-0000-0000270A0000}"/>
    <cellStyle name="Input 2 4 4 2 2 3" xfId="2601" xr:uid="{00000000-0005-0000-0000-0000280A0000}"/>
    <cellStyle name="Input 2 4 4 2 3" xfId="2602" xr:uid="{00000000-0005-0000-0000-0000290A0000}"/>
    <cellStyle name="Input 2 4 4 2 3 2" xfId="2603" xr:uid="{00000000-0005-0000-0000-00002A0A0000}"/>
    <cellStyle name="Input 2 4 4 2 4" xfId="2604" xr:uid="{00000000-0005-0000-0000-00002B0A0000}"/>
    <cellStyle name="Input 2 4 4 3" xfId="2605" xr:uid="{00000000-0005-0000-0000-00002C0A0000}"/>
    <cellStyle name="Input 2 4 4 3 2" xfId="2606" xr:uid="{00000000-0005-0000-0000-00002D0A0000}"/>
    <cellStyle name="Input 2 4 4 3 2 2" xfId="2607" xr:uid="{00000000-0005-0000-0000-00002E0A0000}"/>
    <cellStyle name="Input 2 4 4 3 3" xfId="2608" xr:uid="{00000000-0005-0000-0000-00002F0A0000}"/>
    <cellStyle name="Input 2 4 4 3 4" xfId="2609" xr:uid="{00000000-0005-0000-0000-0000300A0000}"/>
    <cellStyle name="Input 2 4 4 4" xfId="2610" xr:uid="{00000000-0005-0000-0000-0000310A0000}"/>
    <cellStyle name="Input 2 4 4 4 2" xfId="2611" xr:uid="{00000000-0005-0000-0000-0000320A0000}"/>
    <cellStyle name="Input 2 4 4 4 2 2" xfId="2612" xr:uid="{00000000-0005-0000-0000-0000330A0000}"/>
    <cellStyle name="Input 2 4 4 4 3" xfId="2613" xr:uid="{00000000-0005-0000-0000-0000340A0000}"/>
    <cellStyle name="Input 2 4 4 5" xfId="2614" xr:uid="{00000000-0005-0000-0000-0000350A0000}"/>
    <cellStyle name="Input 2 4 4 5 2" xfId="2615" xr:uid="{00000000-0005-0000-0000-0000360A0000}"/>
    <cellStyle name="Input 2 4 4 6" xfId="2616" xr:uid="{00000000-0005-0000-0000-0000370A0000}"/>
    <cellStyle name="Input 2 4 5" xfId="2617" xr:uid="{00000000-0005-0000-0000-0000380A0000}"/>
    <cellStyle name="Input 2 4 5 2" xfId="2618" xr:uid="{00000000-0005-0000-0000-0000390A0000}"/>
    <cellStyle name="Input 2 5" xfId="2619" xr:uid="{00000000-0005-0000-0000-00003A0A0000}"/>
    <cellStyle name="Input 2 5 2" xfId="2620" xr:uid="{00000000-0005-0000-0000-00003B0A0000}"/>
    <cellStyle name="Input 2 5 2 2" xfId="2621" xr:uid="{00000000-0005-0000-0000-00003C0A0000}"/>
    <cellStyle name="Input 2 5 2 2 2" xfId="2622" xr:uid="{00000000-0005-0000-0000-00003D0A0000}"/>
    <cellStyle name="Input 2 5 2 2 2 2" xfId="2623" xr:uid="{00000000-0005-0000-0000-00003E0A0000}"/>
    <cellStyle name="Input 2 5 2 2 2 2 2" xfId="2624" xr:uid="{00000000-0005-0000-0000-00003F0A0000}"/>
    <cellStyle name="Input 2 5 2 2 2 3" xfId="2625" xr:uid="{00000000-0005-0000-0000-0000400A0000}"/>
    <cellStyle name="Input 2 5 2 2 3" xfId="2626" xr:uid="{00000000-0005-0000-0000-0000410A0000}"/>
    <cellStyle name="Input 2 5 2 2 3 2" xfId="2627" xr:uid="{00000000-0005-0000-0000-0000420A0000}"/>
    <cellStyle name="Input 2 5 2 2 4" xfId="2628" xr:uid="{00000000-0005-0000-0000-0000430A0000}"/>
    <cellStyle name="Input 2 5 2 3" xfId="2629" xr:uid="{00000000-0005-0000-0000-0000440A0000}"/>
    <cellStyle name="Input 2 5 2 3 2" xfId="2630" xr:uid="{00000000-0005-0000-0000-0000450A0000}"/>
    <cellStyle name="Input 2 5 2 3 2 2" xfId="2631" xr:uid="{00000000-0005-0000-0000-0000460A0000}"/>
    <cellStyle name="Input 2 5 2 3 3" xfId="2632" xr:uid="{00000000-0005-0000-0000-0000470A0000}"/>
    <cellStyle name="Input 2 5 2 3 4" xfId="2633" xr:uid="{00000000-0005-0000-0000-0000480A0000}"/>
    <cellStyle name="Input 2 5 2 4" xfId="2634" xr:uid="{00000000-0005-0000-0000-0000490A0000}"/>
    <cellStyle name="Input 2 5 2 4 2" xfId="2635" xr:uid="{00000000-0005-0000-0000-00004A0A0000}"/>
    <cellStyle name="Input 2 5 2 4 2 2" xfId="2636" xr:uid="{00000000-0005-0000-0000-00004B0A0000}"/>
    <cellStyle name="Input 2 5 2 4 3" xfId="2637" xr:uid="{00000000-0005-0000-0000-00004C0A0000}"/>
    <cellStyle name="Input 2 5 2 5" xfId="2638" xr:uid="{00000000-0005-0000-0000-00004D0A0000}"/>
    <cellStyle name="Input 2 5 2 5 2" xfId="2639" xr:uid="{00000000-0005-0000-0000-00004E0A0000}"/>
    <cellStyle name="Input 2 5 2 6" xfId="2640" xr:uid="{00000000-0005-0000-0000-00004F0A0000}"/>
    <cellStyle name="Input 2 5 3" xfId="2641" xr:uid="{00000000-0005-0000-0000-0000500A0000}"/>
    <cellStyle name="Input 2 5 3 2" xfId="2642" xr:uid="{00000000-0005-0000-0000-0000510A0000}"/>
    <cellStyle name="Input 2 5 3 2 2" xfId="2643" xr:uid="{00000000-0005-0000-0000-0000520A0000}"/>
    <cellStyle name="Input 2 5 3 2 2 2" xfId="2644" xr:uid="{00000000-0005-0000-0000-0000530A0000}"/>
    <cellStyle name="Input 2 5 3 2 2 2 2" xfId="2645" xr:uid="{00000000-0005-0000-0000-0000540A0000}"/>
    <cellStyle name="Input 2 5 3 2 2 3" xfId="2646" xr:uid="{00000000-0005-0000-0000-0000550A0000}"/>
    <cellStyle name="Input 2 5 3 2 3" xfId="2647" xr:uid="{00000000-0005-0000-0000-0000560A0000}"/>
    <cellStyle name="Input 2 5 3 2 3 2" xfId="2648" xr:uid="{00000000-0005-0000-0000-0000570A0000}"/>
    <cellStyle name="Input 2 5 3 2 4" xfId="2649" xr:uid="{00000000-0005-0000-0000-0000580A0000}"/>
    <cellStyle name="Input 2 5 3 3" xfId="2650" xr:uid="{00000000-0005-0000-0000-0000590A0000}"/>
    <cellStyle name="Input 2 5 3 3 2" xfId="2651" xr:uid="{00000000-0005-0000-0000-00005A0A0000}"/>
    <cellStyle name="Input 2 5 3 3 2 2" xfId="2652" xr:uid="{00000000-0005-0000-0000-00005B0A0000}"/>
    <cellStyle name="Input 2 5 3 3 3" xfId="2653" xr:uid="{00000000-0005-0000-0000-00005C0A0000}"/>
    <cellStyle name="Input 2 5 3 3 4" xfId="2654" xr:uid="{00000000-0005-0000-0000-00005D0A0000}"/>
    <cellStyle name="Input 2 5 3 4" xfId="2655" xr:uid="{00000000-0005-0000-0000-00005E0A0000}"/>
    <cellStyle name="Input 2 5 3 4 2" xfId="2656" xr:uid="{00000000-0005-0000-0000-00005F0A0000}"/>
    <cellStyle name="Input 2 5 3 4 2 2" xfId="2657" xr:uid="{00000000-0005-0000-0000-0000600A0000}"/>
    <cellStyle name="Input 2 5 3 4 3" xfId="2658" xr:uid="{00000000-0005-0000-0000-0000610A0000}"/>
    <cellStyle name="Input 2 5 3 5" xfId="2659" xr:uid="{00000000-0005-0000-0000-0000620A0000}"/>
    <cellStyle name="Input 2 5 3 5 2" xfId="2660" xr:uid="{00000000-0005-0000-0000-0000630A0000}"/>
    <cellStyle name="Input 2 5 3 6" xfId="2661" xr:uid="{00000000-0005-0000-0000-0000640A0000}"/>
    <cellStyle name="Input 2 5 4" xfId="2662" xr:uid="{00000000-0005-0000-0000-0000650A0000}"/>
    <cellStyle name="Input 2 5 4 2" xfId="2663" xr:uid="{00000000-0005-0000-0000-0000660A0000}"/>
    <cellStyle name="Input 2 5 4 2 2" xfId="2664" xr:uid="{00000000-0005-0000-0000-0000670A0000}"/>
    <cellStyle name="Input 2 5 4 2 2 2" xfId="2665" xr:uid="{00000000-0005-0000-0000-0000680A0000}"/>
    <cellStyle name="Input 2 5 4 2 3" xfId="2666" xr:uid="{00000000-0005-0000-0000-0000690A0000}"/>
    <cellStyle name="Input 2 5 4 3" xfId="2667" xr:uid="{00000000-0005-0000-0000-00006A0A0000}"/>
    <cellStyle name="Input 2 5 4 3 2" xfId="2668" xr:uid="{00000000-0005-0000-0000-00006B0A0000}"/>
    <cellStyle name="Input 2 5 4 4" xfId="2669" xr:uid="{00000000-0005-0000-0000-00006C0A0000}"/>
    <cellStyle name="Input 2 5 5" xfId="2670" xr:uid="{00000000-0005-0000-0000-00006D0A0000}"/>
    <cellStyle name="Input 2 5 5 2" xfId="2671" xr:uid="{00000000-0005-0000-0000-00006E0A0000}"/>
    <cellStyle name="Input 2 5 5 2 2" xfId="2672" xr:uid="{00000000-0005-0000-0000-00006F0A0000}"/>
    <cellStyle name="Input 2 5 5 3" xfId="2673" xr:uid="{00000000-0005-0000-0000-0000700A0000}"/>
    <cellStyle name="Input 2 5 5 4" xfId="2674" xr:uid="{00000000-0005-0000-0000-0000710A0000}"/>
    <cellStyle name="Input 2 5 6" xfId="2675" xr:uid="{00000000-0005-0000-0000-0000720A0000}"/>
    <cellStyle name="Input 2 5 6 2" xfId="2676" xr:uid="{00000000-0005-0000-0000-0000730A0000}"/>
    <cellStyle name="Input 2 5 6 2 2" xfId="2677" xr:uid="{00000000-0005-0000-0000-0000740A0000}"/>
    <cellStyle name="Input 2 5 6 3" xfId="2678" xr:uid="{00000000-0005-0000-0000-0000750A0000}"/>
    <cellStyle name="Input 2 5 7" xfId="2679" xr:uid="{00000000-0005-0000-0000-0000760A0000}"/>
    <cellStyle name="Input 2 5 7 2" xfId="2680" xr:uid="{00000000-0005-0000-0000-0000770A0000}"/>
    <cellStyle name="Input 2 5 8" xfId="2681" xr:uid="{00000000-0005-0000-0000-0000780A0000}"/>
    <cellStyle name="Input 2 6" xfId="2682" xr:uid="{00000000-0005-0000-0000-0000790A0000}"/>
    <cellStyle name="Input 2 6 2" xfId="2683" xr:uid="{00000000-0005-0000-0000-00007A0A0000}"/>
    <cellStyle name="Input 2 6 2 2" xfId="2684" xr:uid="{00000000-0005-0000-0000-00007B0A0000}"/>
    <cellStyle name="Input 2 6 2 2 2" xfId="2685" xr:uid="{00000000-0005-0000-0000-00007C0A0000}"/>
    <cellStyle name="Input 2 6 2 2 2 2" xfId="2686" xr:uid="{00000000-0005-0000-0000-00007D0A0000}"/>
    <cellStyle name="Input 2 6 2 2 3" xfId="2687" xr:uid="{00000000-0005-0000-0000-00007E0A0000}"/>
    <cellStyle name="Input 2 6 2 3" xfId="2688" xr:uid="{00000000-0005-0000-0000-00007F0A0000}"/>
    <cellStyle name="Input 2 6 2 3 2" xfId="2689" xr:uid="{00000000-0005-0000-0000-0000800A0000}"/>
    <cellStyle name="Input 2 6 2 4" xfId="2690" xr:uid="{00000000-0005-0000-0000-0000810A0000}"/>
    <cellStyle name="Input 2 6 3" xfId="2691" xr:uid="{00000000-0005-0000-0000-0000820A0000}"/>
    <cellStyle name="Input 2 6 3 2" xfId="2692" xr:uid="{00000000-0005-0000-0000-0000830A0000}"/>
    <cellStyle name="Input 2 6 3 2 2" xfId="2693" xr:uid="{00000000-0005-0000-0000-0000840A0000}"/>
    <cellStyle name="Input 2 6 3 3" xfId="2694" xr:uid="{00000000-0005-0000-0000-0000850A0000}"/>
    <cellStyle name="Input 2 6 3 4" xfId="2695" xr:uid="{00000000-0005-0000-0000-0000860A0000}"/>
    <cellStyle name="Input 2 6 4" xfId="2696" xr:uid="{00000000-0005-0000-0000-0000870A0000}"/>
    <cellStyle name="Input 2 6 4 2" xfId="2697" xr:uid="{00000000-0005-0000-0000-0000880A0000}"/>
    <cellStyle name="Input 2 6 4 2 2" xfId="2698" xr:uid="{00000000-0005-0000-0000-0000890A0000}"/>
    <cellStyle name="Input 2 6 4 3" xfId="2699" xr:uid="{00000000-0005-0000-0000-00008A0A0000}"/>
    <cellStyle name="Input 2 6 5" xfId="2700" xr:uid="{00000000-0005-0000-0000-00008B0A0000}"/>
    <cellStyle name="Input 2 6 5 2" xfId="2701" xr:uid="{00000000-0005-0000-0000-00008C0A0000}"/>
    <cellStyle name="Input 2 6 6" xfId="2702" xr:uid="{00000000-0005-0000-0000-00008D0A0000}"/>
    <cellStyle name="Input 3" xfId="2703" xr:uid="{00000000-0005-0000-0000-00008E0A0000}"/>
    <cellStyle name="Input 3 2" xfId="2704" xr:uid="{00000000-0005-0000-0000-00008F0A0000}"/>
    <cellStyle name="Input 3 2 2" xfId="2705" xr:uid="{00000000-0005-0000-0000-0000900A0000}"/>
    <cellStyle name="Input 3 2 2 2" xfId="2706" xr:uid="{00000000-0005-0000-0000-0000910A0000}"/>
    <cellStyle name="Input 3 2 2 2 2" xfId="2707" xr:uid="{00000000-0005-0000-0000-0000920A0000}"/>
    <cellStyle name="Input 3 2 2 2 2 2" xfId="2708" xr:uid="{00000000-0005-0000-0000-0000930A0000}"/>
    <cellStyle name="Input 3 2 2 2 2 2 2" xfId="2709" xr:uid="{00000000-0005-0000-0000-0000940A0000}"/>
    <cellStyle name="Input 3 2 2 2 2 3" xfId="2710" xr:uid="{00000000-0005-0000-0000-0000950A0000}"/>
    <cellStyle name="Input 3 2 2 2 3" xfId="2711" xr:uid="{00000000-0005-0000-0000-0000960A0000}"/>
    <cellStyle name="Input 3 2 2 2 3 2" xfId="2712" xr:uid="{00000000-0005-0000-0000-0000970A0000}"/>
    <cellStyle name="Input 3 2 2 2 4" xfId="2713" xr:uid="{00000000-0005-0000-0000-0000980A0000}"/>
    <cellStyle name="Input 3 2 2 3" xfId="2714" xr:uid="{00000000-0005-0000-0000-0000990A0000}"/>
    <cellStyle name="Input 3 2 2 3 2" xfId="2715" xr:uid="{00000000-0005-0000-0000-00009A0A0000}"/>
    <cellStyle name="Input 3 2 2 3 2 2" xfId="2716" xr:uid="{00000000-0005-0000-0000-00009B0A0000}"/>
    <cellStyle name="Input 3 2 2 3 3" xfId="2717" xr:uid="{00000000-0005-0000-0000-00009C0A0000}"/>
    <cellStyle name="Input 3 2 2 3 4" xfId="2718" xr:uid="{00000000-0005-0000-0000-00009D0A0000}"/>
    <cellStyle name="Input 3 2 2 4" xfId="2719" xr:uid="{00000000-0005-0000-0000-00009E0A0000}"/>
    <cellStyle name="Input 3 2 2 4 2" xfId="2720" xr:uid="{00000000-0005-0000-0000-00009F0A0000}"/>
    <cellStyle name="Input 3 2 2 4 2 2" xfId="2721" xr:uid="{00000000-0005-0000-0000-0000A00A0000}"/>
    <cellStyle name="Input 3 2 2 4 3" xfId="2722" xr:uid="{00000000-0005-0000-0000-0000A10A0000}"/>
    <cellStyle name="Input 3 2 2 5" xfId="2723" xr:uid="{00000000-0005-0000-0000-0000A20A0000}"/>
    <cellStyle name="Input 3 2 2 5 2" xfId="2724" xr:uid="{00000000-0005-0000-0000-0000A30A0000}"/>
    <cellStyle name="Input 3 2 2 6" xfId="2725" xr:uid="{00000000-0005-0000-0000-0000A40A0000}"/>
    <cellStyle name="Input 3 2 3" xfId="2726" xr:uid="{00000000-0005-0000-0000-0000A50A0000}"/>
    <cellStyle name="Input 3 2 3 2" xfId="2727" xr:uid="{00000000-0005-0000-0000-0000A60A0000}"/>
    <cellStyle name="Input 3 2 3 2 2" xfId="2728" xr:uid="{00000000-0005-0000-0000-0000A70A0000}"/>
    <cellStyle name="Input 3 2 3 2 2 2" xfId="2729" xr:uid="{00000000-0005-0000-0000-0000A80A0000}"/>
    <cellStyle name="Input 3 2 3 2 2 2 2" xfId="2730" xr:uid="{00000000-0005-0000-0000-0000A90A0000}"/>
    <cellStyle name="Input 3 2 3 2 2 3" xfId="2731" xr:uid="{00000000-0005-0000-0000-0000AA0A0000}"/>
    <cellStyle name="Input 3 2 3 2 3" xfId="2732" xr:uid="{00000000-0005-0000-0000-0000AB0A0000}"/>
    <cellStyle name="Input 3 2 3 2 3 2" xfId="2733" xr:uid="{00000000-0005-0000-0000-0000AC0A0000}"/>
    <cellStyle name="Input 3 2 3 2 4" xfId="2734" xr:uid="{00000000-0005-0000-0000-0000AD0A0000}"/>
    <cellStyle name="Input 3 2 3 3" xfId="2735" xr:uid="{00000000-0005-0000-0000-0000AE0A0000}"/>
    <cellStyle name="Input 3 2 3 3 2" xfId="2736" xr:uid="{00000000-0005-0000-0000-0000AF0A0000}"/>
    <cellStyle name="Input 3 2 3 3 2 2" xfId="2737" xr:uid="{00000000-0005-0000-0000-0000B00A0000}"/>
    <cellStyle name="Input 3 2 3 3 3" xfId="2738" xr:uid="{00000000-0005-0000-0000-0000B10A0000}"/>
    <cellStyle name="Input 3 2 3 3 4" xfId="2739" xr:uid="{00000000-0005-0000-0000-0000B20A0000}"/>
    <cellStyle name="Input 3 2 3 4" xfId="2740" xr:uid="{00000000-0005-0000-0000-0000B30A0000}"/>
    <cellStyle name="Input 3 2 3 4 2" xfId="2741" xr:uid="{00000000-0005-0000-0000-0000B40A0000}"/>
    <cellStyle name="Input 3 2 3 4 2 2" xfId="2742" xr:uid="{00000000-0005-0000-0000-0000B50A0000}"/>
    <cellStyle name="Input 3 2 3 4 3" xfId="2743" xr:uid="{00000000-0005-0000-0000-0000B60A0000}"/>
    <cellStyle name="Input 3 2 3 5" xfId="2744" xr:uid="{00000000-0005-0000-0000-0000B70A0000}"/>
    <cellStyle name="Input 3 2 3 5 2" xfId="2745" xr:uid="{00000000-0005-0000-0000-0000B80A0000}"/>
    <cellStyle name="Input 3 2 3 6" xfId="2746" xr:uid="{00000000-0005-0000-0000-0000B90A0000}"/>
    <cellStyle name="Input 3 2 4" xfId="2747" xr:uid="{00000000-0005-0000-0000-0000BA0A0000}"/>
    <cellStyle name="Input 3 2 4 2" xfId="2748" xr:uid="{00000000-0005-0000-0000-0000BB0A0000}"/>
    <cellStyle name="Input 3 2 4 2 2" xfId="2749" xr:uid="{00000000-0005-0000-0000-0000BC0A0000}"/>
    <cellStyle name="Input 3 2 4 2 2 2" xfId="2750" xr:uid="{00000000-0005-0000-0000-0000BD0A0000}"/>
    <cellStyle name="Input 3 2 4 2 2 2 2" xfId="2751" xr:uid="{00000000-0005-0000-0000-0000BE0A0000}"/>
    <cellStyle name="Input 3 2 4 2 2 3" xfId="2752" xr:uid="{00000000-0005-0000-0000-0000BF0A0000}"/>
    <cellStyle name="Input 3 2 4 2 3" xfId="2753" xr:uid="{00000000-0005-0000-0000-0000C00A0000}"/>
    <cellStyle name="Input 3 2 4 2 3 2" xfId="2754" xr:uid="{00000000-0005-0000-0000-0000C10A0000}"/>
    <cellStyle name="Input 3 2 4 2 4" xfId="2755" xr:uid="{00000000-0005-0000-0000-0000C20A0000}"/>
    <cellStyle name="Input 3 2 4 3" xfId="2756" xr:uid="{00000000-0005-0000-0000-0000C30A0000}"/>
    <cellStyle name="Input 3 2 4 3 2" xfId="2757" xr:uid="{00000000-0005-0000-0000-0000C40A0000}"/>
    <cellStyle name="Input 3 2 4 3 2 2" xfId="2758" xr:uid="{00000000-0005-0000-0000-0000C50A0000}"/>
    <cellStyle name="Input 3 2 4 3 3" xfId="2759" xr:uid="{00000000-0005-0000-0000-0000C60A0000}"/>
    <cellStyle name="Input 3 2 4 3 4" xfId="2760" xr:uid="{00000000-0005-0000-0000-0000C70A0000}"/>
    <cellStyle name="Input 3 2 4 4" xfId="2761" xr:uid="{00000000-0005-0000-0000-0000C80A0000}"/>
    <cellStyle name="Input 3 2 4 4 2" xfId="2762" xr:uid="{00000000-0005-0000-0000-0000C90A0000}"/>
    <cellStyle name="Input 3 2 4 4 2 2" xfId="2763" xr:uid="{00000000-0005-0000-0000-0000CA0A0000}"/>
    <cellStyle name="Input 3 2 4 4 3" xfId="2764" xr:uid="{00000000-0005-0000-0000-0000CB0A0000}"/>
    <cellStyle name="Input 3 2 4 5" xfId="2765" xr:uid="{00000000-0005-0000-0000-0000CC0A0000}"/>
    <cellStyle name="Input 3 2 4 5 2" xfId="2766" xr:uid="{00000000-0005-0000-0000-0000CD0A0000}"/>
    <cellStyle name="Input 3 2 4 6" xfId="2767" xr:uid="{00000000-0005-0000-0000-0000CE0A0000}"/>
    <cellStyle name="Input 3 2 5" xfId="2768" xr:uid="{00000000-0005-0000-0000-0000CF0A0000}"/>
    <cellStyle name="Input 3 2 5 2" xfId="2769" xr:uid="{00000000-0005-0000-0000-0000D00A0000}"/>
    <cellStyle name="Input 3 3" xfId="2770" xr:uid="{00000000-0005-0000-0000-0000D10A0000}"/>
    <cellStyle name="Input 3 3 2" xfId="2771" xr:uid="{00000000-0005-0000-0000-0000D20A0000}"/>
    <cellStyle name="Input 3 3 2 2" xfId="2772" xr:uid="{00000000-0005-0000-0000-0000D30A0000}"/>
    <cellStyle name="Input 3 3 2 2 2" xfId="2773" xr:uid="{00000000-0005-0000-0000-0000D40A0000}"/>
    <cellStyle name="Input 3 3 2 2 2 2" xfId="2774" xr:uid="{00000000-0005-0000-0000-0000D50A0000}"/>
    <cellStyle name="Input 3 3 2 2 2 2 2" xfId="2775" xr:uid="{00000000-0005-0000-0000-0000D60A0000}"/>
    <cellStyle name="Input 3 3 2 2 2 3" xfId="2776" xr:uid="{00000000-0005-0000-0000-0000D70A0000}"/>
    <cellStyle name="Input 3 3 2 2 3" xfId="2777" xr:uid="{00000000-0005-0000-0000-0000D80A0000}"/>
    <cellStyle name="Input 3 3 2 2 3 2" xfId="2778" xr:uid="{00000000-0005-0000-0000-0000D90A0000}"/>
    <cellStyle name="Input 3 3 2 2 4" xfId="2779" xr:uid="{00000000-0005-0000-0000-0000DA0A0000}"/>
    <cellStyle name="Input 3 3 2 3" xfId="2780" xr:uid="{00000000-0005-0000-0000-0000DB0A0000}"/>
    <cellStyle name="Input 3 3 2 3 2" xfId="2781" xr:uid="{00000000-0005-0000-0000-0000DC0A0000}"/>
    <cellStyle name="Input 3 3 2 3 2 2" xfId="2782" xr:uid="{00000000-0005-0000-0000-0000DD0A0000}"/>
    <cellStyle name="Input 3 3 2 3 3" xfId="2783" xr:uid="{00000000-0005-0000-0000-0000DE0A0000}"/>
    <cellStyle name="Input 3 3 2 3 4" xfId="2784" xr:uid="{00000000-0005-0000-0000-0000DF0A0000}"/>
    <cellStyle name="Input 3 3 2 4" xfId="2785" xr:uid="{00000000-0005-0000-0000-0000E00A0000}"/>
    <cellStyle name="Input 3 3 2 4 2" xfId="2786" xr:uid="{00000000-0005-0000-0000-0000E10A0000}"/>
    <cellStyle name="Input 3 3 2 4 2 2" xfId="2787" xr:uid="{00000000-0005-0000-0000-0000E20A0000}"/>
    <cellStyle name="Input 3 3 2 4 3" xfId="2788" xr:uid="{00000000-0005-0000-0000-0000E30A0000}"/>
    <cellStyle name="Input 3 3 2 5" xfId="2789" xr:uid="{00000000-0005-0000-0000-0000E40A0000}"/>
    <cellStyle name="Input 3 3 2 5 2" xfId="2790" xr:uid="{00000000-0005-0000-0000-0000E50A0000}"/>
    <cellStyle name="Input 3 3 2 6" xfId="2791" xr:uid="{00000000-0005-0000-0000-0000E60A0000}"/>
    <cellStyle name="Input 3 3 3" xfId="2792" xr:uid="{00000000-0005-0000-0000-0000E70A0000}"/>
    <cellStyle name="Input 3 3 3 2" xfId="2793" xr:uid="{00000000-0005-0000-0000-0000E80A0000}"/>
    <cellStyle name="Input 3 3 3 2 2" xfId="2794" xr:uid="{00000000-0005-0000-0000-0000E90A0000}"/>
    <cellStyle name="Input 3 3 3 2 2 2" xfId="2795" xr:uid="{00000000-0005-0000-0000-0000EA0A0000}"/>
    <cellStyle name="Input 3 3 3 2 2 2 2" xfId="2796" xr:uid="{00000000-0005-0000-0000-0000EB0A0000}"/>
    <cellStyle name="Input 3 3 3 2 2 3" xfId="2797" xr:uid="{00000000-0005-0000-0000-0000EC0A0000}"/>
    <cellStyle name="Input 3 3 3 2 3" xfId="2798" xr:uid="{00000000-0005-0000-0000-0000ED0A0000}"/>
    <cellStyle name="Input 3 3 3 2 3 2" xfId="2799" xr:uid="{00000000-0005-0000-0000-0000EE0A0000}"/>
    <cellStyle name="Input 3 3 3 2 4" xfId="2800" xr:uid="{00000000-0005-0000-0000-0000EF0A0000}"/>
    <cellStyle name="Input 3 3 3 3" xfId="2801" xr:uid="{00000000-0005-0000-0000-0000F00A0000}"/>
    <cellStyle name="Input 3 3 3 3 2" xfId="2802" xr:uid="{00000000-0005-0000-0000-0000F10A0000}"/>
    <cellStyle name="Input 3 3 3 3 2 2" xfId="2803" xr:uid="{00000000-0005-0000-0000-0000F20A0000}"/>
    <cellStyle name="Input 3 3 3 3 3" xfId="2804" xr:uid="{00000000-0005-0000-0000-0000F30A0000}"/>
    <cellStyle name="Input 3 3 3 3 4" xfId="2805" xr:uid="{00000000-0005-0000-0000-0000F40A0000}"/>
    <cellStyle name="Input 3 3 3 4" xfId="2806" xr:uid="{00000000-0005-0000-0000-0000F50A0000}"/>
    <cellStyle name="Input 3 3 3 4 2" xfId="2807" xr:uid="{00000000-0005-0000-0000-0000F60A0000}"/>
    <cellStyle name="Input 3 3 3 4 2 2" xfId="2808" xr:uid="{00000000-0005-0000-0000-0000F70A0000}"/>
    <cellStyle name="Input 3 3 3 4 3" xfId="2809" xr:uid="{00000000-0005-0000-0000-0000F80A0000}"/>
    <cellStyle name="Input 3 3 3 5" xfId="2810" xr:uid="{00000000-0005-0000-0000-0000F90A0000}"/>
    <cellStyle name="Input 3 3 3 5 2" xfId="2811" xr:uid="{00000000-0005-0000-0000-0000FA0A0000}"/>
    <cellStyle name="Input 3 3 3 6" xfId="2812" xr:uid="{00000000-0005-0000-0000-0000FB0A0000}"/>
    <cellStyle name="Input 3 3 4" xfId="2813" xr:uid="{00000000-0005-0000-0000-0000FC0A0000}"/>
    <cellStyle name="Input 3 3 4 2" xfId="2814" xr:uid="{00000000-0005-0000-0000-0000FD0A0000}"/>
    <cellStyle name="Input 3 3 4 2 2" xfId="2815" xr:uid="{00000000-0005-0000-0000-0000FE0A0000}"/>
    <cellStyle name="Input 3 3 4 2 2 2" xfId="2816" xr:uid="{00000000-0005-0000-0000-0000FF0A0000}"/>
    <cellStyle name="Input 3 3 4 2 3" xfId="2817" xr:uid="{00000000-0005-0000-0000-0000000B0000}"/>
    <cellStyle name="Input 3 3 4 3" xfId="2818" xr:uid="{00000000-0005-0000-0000-0000010B0000}"/>
    <cellStyle name="Input 3 3 4 3 2" xfId="2819" xr:uid="{00000000-0005-0000-0000-0000020B0000}"/>
    <cellStyle name="Input 3 3 4 4" xfId="2820" xr:uid="{00000000-0005-0000-0000-0000030B0000}"/>
    <cellStyle name="Input 3 3 5" xfId="2821" xr:uid="{00000000-0005-0000-0000-0000040B0000}"/>
    <cellStyle name="Input 3 3 5 2" xfId="2822" xr:uid="{00000000-0005-0000-0000-0000050B0000}"/>
    <cellStyle name="Input 3 3 5 2 2" xfId="2823" xr:uid="{00000000-0005-0000-0000-0000060B0000}"/>
    <cellStyle name="Input 3 3 5 3" xfId="2824" xr:uid="{00000000-0005-0000-0000-0000070B0000}"/>
    <cellStyle name="Input 3 3 5 4" xfId="2825" xr:uid="{00000000-0005-0000-0000-0000080B0000}"/>
    <cellStyle name="Input 3 3 6" xfId="2826" xr:uid="{00000000-0005-0000-0000-0000090B0000}"/>
    <cellStyle name="Input 3 3 6 2" xfId="2827" xr:uid="{00000000-0005-0000-0000-00000A0B0000}"/>
    <cellStyle name="Input 3 3 6 2 2" xfId="2828" xr:uid="{00000000-0005-0000-0000-00000B0B0000}"/>
    <cellStyle name="Input 3 3 6 3" xfId="2829" xr:uid="{00000000-0005-0000-0000-00000C0B0000}"/>
    <cellStyle name="Input 3 3 7" xfId="2830" xr:uid="{00000000-0005-0000-0000-00000D0B0000}"/>
    <cellStyle name="Input 3 3 7 2" xfId="2831" xr:uid="{00000000-0005-0000-0000-00000E0B0000}"/>
    <cellStyle name="Input 3 3 8" xfId="2832" xr:uid="{00000000-0005-0000-0000-00000F0B0000}"/>
    <cellStyle name="Input 3 4" xfId="2833" xr:uid="{00000000-0005-0000-0000-0000100B0000}"/>
    <cellStyle name="Input 3 4 2" xfId="2834" xr:uid="{00000000-0005-0000-0000-0000110B0000}"/>
    <cellStyle name="Input 3 4 2 2" xfId="2835" xr:uid="{00000000-0005-0000-0000-0000120B0000}"/>
    <cellStyle name="Input 3 4 2 2 2" xfId="2836" xr:uid="{00000000-0005-0000-0000-0000130B0000}"/>
    <cellStyle name="Input 3 4 2 2 2 2" xfId="2837" xr:uid="{00000000-0005-0000-0000-0000140B0000}"/>
    <cellStyle name="Input 3 4 2 2 3" xfId="2838" xr:uid="{00000000-0005-0000-0000-0000150B0000}"/>
    <cellStyle name="Input 3 4 2 3" xfId="2839" xr:uid="{00000000-0005-0000-0000-0000160B0000}"/>
    <cellStyle name="Input 3 4 2 3 2" xfId="2840" xr:uid="{00000000-0005-0000-0000-0000170B0000}"/>
    <cellStyle name="Input 3 4 2 4" xfId="2841" xr:uid="{00000000-0005-0000-0000-0000180B0000}"/>
    <cellStyle name="Input 3 4 3" xfId="2842" xr:uid="{00000000-0005-0000-0000-0000190B0000}"/>
    <cellStyle name="Input 3 4 3 2" xfId="2843" xr:uid="{00000000-0005-0000-0000-00001A0B0000}"/>
    <cellStyle name="Input 3 4 3 2 2" xfId="2844" xr:uid="{00000000-0005-0000-0000-00001B0B0000}"/>
    <cellStyle name="Input 3 4 3 3" xfId="2845" xr:uid="{00000000-0005-0000-0000-00001C0B0000}"/>
    <cellStyle name="Input 3 4 3 4" xfId="2846" xr:uid="{00000000-0005-0000-0000-00001D0B0000}"/>
    <cellStyle name="Input 3 4 4" xfId="2847" xr:uid="{00000000-0005-0000-0000-00001E0B0000}"/>
    <cellStyle name="Input 3 4 4 2" xfId="2848" xr:uid="{00000000-0005-0000-0000-00001F0B0000}"/>
    <cellStyle name="Input 3 4 4 2 2" xfId="2849" xr:uid="{00000000-0005-0000-0000-0000200B0000}"/>
    <cellStyle name="Input 3 4 4 3" xfId="2850" xr:uid="{00000000-0005-0000-0000-0000210B0000}"/>
    <cellStyle name="Input 3 4 5" xfId="2851" xr:uid="{00000000-0005-0000-0000-0000220B0000}"/>
    <cellStyle name="Input 3 4 5 2" xfId="2852" xr:uid="{00000000-0005-0000-0000-0000230B0000}"/>
    <cellStyle name="Input 3 4 6" xfId="2853" xr:uid="{00000000-0005-0000-0000-0000240B0000}"/>
    <cellStyle name="Input 4" xfId="2854" xr:uid="{00000000-0005-0000-0000-0000250B0000}"/>
    <cellStyle name="Input 4 2" xfId="2855" xr:uid="{00000000-0005-0000-0000-0000260B0000}"/>
    <cellStyle name="Input 4 2 2" xfId="2856" xr:uid="{00000000-0005-0000-0000-0000270B0000}"/>
    <cellStyle name="Input 4 2 2 2" xfId="2857" xr:uid="{00000000-0005-0000-0000-0000280B0000}"/>
    <cellStyle name="Input 4 2 2 2 2" xfId="2858" xr:uid="{00000000-0005-0000-0000-0000290B0000}"/>
    <cellStyle name="Input 4 2 2 2 2 2" xfId="2859" xr:uid="{00000000-0005-0000-0000-00002A0B0000}"/>
    <cellStyle name="Input 4 2 2 2 2 2 2" xfId="2860" xr:uid="{00000000-0005-0000-0000-00002B0B0000}"/>
    <cellStyle name="Input 4 2 2 2 2 3" xfId="2861" xr:uid="{00000000-0005-0000-0000-00002C0B0000}"/>
    <cellStyle name="Input 4 2 2 2 3" xfId="2862" xr:uid="{00000000-0005-0000-0000-00002D0B0000}"/>
    <cellStyle name="Input 4 2 2 2 3 2" xfId="2863" xr:uid="{00000000-0005-0000-0000-00002E0B0000}"/>
    <cellStyle name="Input 4 2 2 2 4" xfId="2864" xr:uid="{00000000-0005-0000-0000-00002F0B0000}"/>
    <cellStyle name="Input 4 2 2 3" xfId="2865" xr:uid="{00000000-0005-0000-0000-0000300B0000}"/>
    <cellStyle name="Input 4 2 2 3 2" xfId="2866" xr:uid="{00000000-0005-0000-0000-0000310B0000}"/>
    <cellStyle name="Input 4 2 2 3 2 2" xfId="2867" xr:uid="{00000000-0005-0000-0000-0000320B0000}"/>
    <cellStyle name="Input 4 2 2 3 3" xfId="2868" xr:uid="{00000000-0005-0000-0000-0000330B0000}"/>
    <cellStyle name="Input 4 2 2 3 4" xfId="2869" xr:uid="{00000000-0005-0000-0000-0000340B0000}"/>
    <cellStyle name="Input 4 2 2 4" xfId="2870" xr:uid="{00000000-0005-0000-0000-0000350B0000}"/>
    <cellStyle name="Input 4 2 2 4 2" xfId="2871" xr:uid="{00000000-0005-0000-0000-0000360B0000}"/>
    <cellStyle name="Input 4 2 2 4 2 2" xfId="2872" xr:uid="{00000000-0005-0000-0000-0000370B0000}"/>
    <cellStyle name="Input 4 2 2 4 3" xfId="2873" xr:uid="{00000000-0005-0000-0000-0000380B0000}"/>
    <cellStyle name="Input 4 2 2 5" xfId="2874" xr:uid="{00000000-0005-0000-0000-0000390B0000}"/>
    <cellStyle name="Input 4 2 2 5 2" xfId="2875" xr:uid="{00000000-0005-0000-0000-00003A0B0000}"/>
    <cellStyle name="Input 4 2 2 6" xfId="2876" xr:uid="{00000000-0005-0000-0000-00003B0B0000}"/>
    <cellStyle name="Input 4 2 3" xfId="2877" xr:uid="{00000000-0005-0000-0000-00003C0B0000}"/>
    <cellStyle name="Input 4 2 3 2" xfId="2878" xr:uid="{00000000-0005-0000-0000-00003D0B0000}"/>
    <cellStyle name="Input 4 2 3 2 2" xfId="2879" xr:uid="{00000000-0005-0000-0000-00003E0B0000}"/>
    <cellStyle name="Input 4 2 3 2 2 2" xfId="2880" xr:uid="{00000000-0005-0000-0000-00003F0B0000}"/>
    <cellStyle name="Input 4 2 3 2 2 2 2" xfId="2881" xr:uid="{00000000-0005-0000-0000-0000400B0000}"/>
    <cellStyle name="Input 4 2 3 2 2 3" xfId="2882" xr:uid="{00000000-0005-0000-0000-0000410B0000}"/>
    <cellStyle name="Input 4 2 3 2 3" xfId="2883" xr:uid="{00000000-0005-0000-0000-0000420B0000}"/>
    <cellStyle name="Input 4 2 3 2 3 2" xfId="2884" xr:uid="{00000000-0005-0000-0000-0000430B0000}"/>
    <cellStyle name="Input 4 2 3 2 4" xfId="2885" xr:uid="{00000000-0005-0000-0000-0000440B0000}"/>
    <cellStyle name="Input 4 2 3 3" xfId="2886" xr:uid="{00000000-0005-0000-0000-0000450B0000}"/>
    <cellStyle name="Input 4 2 3 3 2" xfId="2887" xr:uid="{00000000-0005-0000-0000-0000460B0000}"/>
    <cellStyle name="Input 4 2 3 3 2 2" xfId="2888" xr:uid="{00000000-0005-0000-0000-0000470B0000}"/>
    <cellStyle name="Input 4 2 3 3 3" xfId="2889" xr:uid="{00000000-0005-0000-0000-0000480B0000}"/>
    <cellStyle name="Input 4 2 3 3 4" xfId="2890" xr:uid="{00000000-0005-0000-0000-0000490B0000}"/>
    <cellStyle name="Input 4 2 3 4" xfId="2891" xr:uid="{00000000-0005-0000-0000-00004A0B0000}"/>
    <cellStyle name="Input 4 2 3 4 2" xfId="2892" xr:uid="{00000000-0005-0000-0000-00004B0B0000}"/>
    <cellStyle name="Input 4 2 3 4 2 2" xfId="2893" xr:uid="{00000000-0005-0000-0000-00004C0B0000}"/>
    <cellStyle name="Input 4 2 3 4 3" xfId="2894" xr:uid="{00000000-0005-0000-0000-00004D0B0000}"/>
    <cellStyle name="Input 4 2 3 5" xfId="2895" xr:uid="{00000000-0005-0000-0000-00004E0B0000}"/>
    <cellStyle name="Input 4 2 3 5 2" xfId="2896" xr:uid="{00000000-0005-0000-0000-00004F0B0000}"/>
    <cellStyle name="Input 4 2 3 6" xfId="2897" xr:uid="{00000000-0005-0000-0000-0000500B0000}"/>
    <cellStyle name="Input 4 2 4" xfId="2898" xr:uid="{00000000-0005-0000-0000-0000510B0000}"/>
    <cellStyle name="Input 4 2 4 2" xfId="2899" xr:uid="{00000000-0005-0000-0000-0000520B0000}"/>
    <cellStyle name="Input 4 2 4 2 2" xfId="2900" xr:uid="{00000000-0005-0000-0000-0000530B0000}"/>
    <cellStyle name="Input 4 2 4 2 2 2" xfId="2901" xr:uid="{00000000-0005-0000-0000-0000540B0000}"/>
    <cellStyle name="Input 4 2 4 2 2 2 2" xfId="2902" xr:uid="{00000000-0005-0000-0000-0000550B0000}"/>
    <cellStyle name="Input 4 2 4 2 2 3" xfId="2903" xr:uid="{00000000-0005-0000-0000-0000560B0000}"/>
    <cellStyle name="Input 4 2 4 2 3" xfId="2904" xr:uid="{00000000-0005-0000-0000-0000570B0000}"/>
    <cellStyle name="Input 4 2 4 2 3 2" xfId="2905" xr:uid="{00000000-0005-0000-0000-0000580B0000}"/>
    <cellStyle name="Input 4 2 4 2 4" xfId="2906" xr:uid="{00000000-0005-0000-0000-0000590B0000}"/>
    <cellStyle name="Input 4 2 4 3" xfId="2907" xr:uid="{00000000-0005-0000-0000-00005A0B0000}"/>
    <cellStyle name="Input 4 2 4 3 2" xfId="2908" xr:uid="{00000000-0005-0000-0000-00005B0B0000}"/>
    <cellStyle name="Input 4 2 4 3 2 2" xfId="2909" xr:uid="{00000000-0005-0000-0000-00005C0B0000}"/>
    <cellStyle name="Input 4 2 4 3 3" xfId="2910" xr:uid="{00000000-0005-0000-0000-00005D0B0000}"/>
    <cellStyle name="Input 4 2 4 3 4" xfId="2911" xr:uid="{00000000-0005-0000-0000-00005E0B0000}"/>
    <cellStyle name="Input 4 2 4 4" xfId="2912" xr:uid="{00000000-0005-0000-0000-00005F0B0000}"/>
    <cellStyle name="Input 4 2 4 4 2" xfId="2913" xr:uid="{00000000-0005-0000-0000-0000600B0000}"/>
    <cellStyle name="Input 4 2 4 4 2 2" xfId="2914" xr:uid="{00000000-0005-0000-0000-0000610B0000}"/>
    <cellStyle name="Input 4 2 4 4 3" xfId="2915" xr:uid="{00000000-0005-0000-0000-0000620B0000}"/>
    <cellStyle name="Input 4 2 4 5" xfId="2916" xr:uid="{00000000-0005-0000-0000-0000630B0000}"/>
    <cellStyle name="Input 4 2 4 5 2" xfId="2917" xr:uid="{00000000-0005-0000-0000-0000640B0000}"/>
    <cellStyle name="Input 4 2 4 6" xfId="2918" xr:uid="{00000000-0005-0000-0000-0000650B0000}"/>
    <cellStyle name="Input 4 2 5" xfId="2919" xr:uid="{00000000-0005-0000-0000-0000660B0000}"/>
    <cellStyle name="Input 4 2 5 2" xfId="2920" xr:uid="{00000000-0005-0000-0000-0000670B0000}"/>
    <cellStyle name="Input 4 3" xfId="2921" xr:uid="{00000000-0005-0000-0000-0000680B0000}"/>
    <cellStyle name="Input 4 3 2" xfId="2922" xr:uid="{00000000-0005-0000-0000-0000690B0000}"/>
    <cellStyle name="Input 4 3 2 2" xfId="2923" xr:uid="{00000000-0005-0000-0000-00006A0B0000}"/>
    <cellStyle name="Input 4 3 2 2 2" xfId="2924" xr:uid="{00000000-0005-0000-0000-00006B0B0000}"/>
    <cellStyle name="Input 4 3 2 2 2 2" xfId="2925" xr:uid="{00000000-0005-0000-0000-00006C0B0000}"/>
    <cellStyle name="Input 4 3 2 2 2 2 2" xfId="2926" xr:uid="{00000000-0005-0000-0000-00006D0B0000}"/>
    <cellStyle name="Input 4 3 2 2 2 3" xfId="2927" xr:uid="{00000000-0005-0000-0000-00006E0B0000}"/>
    <cellStyle name="Input 4 3 2 2 3" xfId="2928" xr:uid="{00000000-0005-0000-0000-00006F0B0000}"/>
    <cellStyle name="Input 4 3 2 2 3 2" xfId="2929" xr:uid="{00000000-0005-0000-0000-0000700B0000}"/>
    <cellStyle name="Input 4 3 2 2 4" xfId="2930" xr:uid="{00000000-0005-0000-0000-0000710B0000}"/>
    <cellStyle name="Input 4 3 2 3" xfId="2931" xr:uid="{00000000-0005-0000-0000-0000720B0000}"/>
    <cellStyle name="Input 4 3 2 3 2" xfId="2932" xr:uid="{00000000-0005-0000-0000-0000730B0000}"/>
    <cellStyle name="Input 4 3 2 3 2 2" xfId="2933" xr:uid="{00000000-0005-0000-0000-0000740B0000}"/>
    <cellStyle name="Input 4 3 2 3 3" xfId="2934" xr:uid="{00000000-0005-0000-0000-0000750B0000}"/>
    <cellStyle name="Input 4 3 2 3 4" xfId="2935" xr:uid="{00000000-0005-0000-0000-0000760B0000}"/>
    <cellStyle name="Input 4 3 2 4" xfId="2936" xr:uid="{00000000-0005-0000-0000-0000770B0000}"/>
    <cellStyle name="Input 4 3 2 4 2" xfId="2937" xr:uid="{00000000-0005-0000-0000-0000780B0000}"/>
    <cellStyle name="Input 4 3 2 4 2 2" xfId="2938" xr:uid="{00000000-0005-0000-0000-0000790B0000}"/>
    <cellStyle name="Input 4 3 2 4 3" xfId="2939" xr:uid="{00000000-0005-0000-0000-00007A0B0000}"/>
    <cellStyle name="Input 4 3 2 5" xfId="2940" xr:uid="{00000000-0005-0000-0000-00007B0B0000}"/>
    <cellStyle name="Input 4 3 2 5 2" xfId="2941" xr:uid="{00000000-0005-0000-0000-00007C0B0000}"/>
    <cellStyle name="Input 4 3 2 6" xfId="2942" xr:uid="{00000000-0005-0000-0000-00007D0B0000}"/>
    <cellStyle name="Input 4 3 3" xfId="2943" xr:uid="{00000000-0005-0000-0000-00007E0B0000}"/>
    <cellStyle name="Input 4 3 3 2" xfId="2944" xr:uid="{00000000-0005-0000-0000-00007F0B0000}"/>
    <cellStyle name="Input 4 3 3 2 2" xfId="2945" xr:uid="{00000000-0005-0000-0000-0000800B0000}"/>
    <cellStyle name="Input 4 3 3 2 2 2" xfId="2946" xr:uid="{00000000-0005-0000-0000-0000810B0000}"/>
    <cellStyle name="Input 4 3 3 2 2 2 2" xfId="2947" xr:uid="{00000000-0005-0000-0000-0000820B0000}"/>
    <cellStyle name="Input 4 3 3 2 2 3" xfId="2948" xr:uid="{00000000-0005-0000-0000-0000830B0000}"/>
    <cellStyle name="Input 4 3 3 2 3" xfId="2949" xr:uid="{00000000-0005-0000-0000-0000840B0000}"/>
    <cellStyle name="Input 4 3 3 2 3 2" xfId="2950" xr:uid="{00000000-0005-0000-0000-0000850B0000}"/>
    <cellStyle name="Input 4 3 3 2 4" xfId="2951" xr:uid="{00000000-0005-0000-0000-0000860B0000}"/>
    <cellStyle name="Input 4 3 3 3" xfId="2952" xr:uid="{00000000-0005-0000-0000-0000870B0000}"/>
    <cellStyle name="Input 4 3 3 3 2" xfId="2953" xr:uid="{00000000-0005-0000-0000-0000880B0000}"/>
    <cellStyle name="Input 4 3 3 3 2 2" xfId="2954" xr:uid="{00000000-0005-0000-0000-0000890B0000}"/>
    <cellStyle name="Input 4 3 3 3 3" xfId="2955" xr:uid="{00000000-0005-0000-0000-00008A0B0000}"/>
    <cellStyle name="Input 4 3 3 3 4" xfId="2956" xr:uid="{00000000-0005-0000-0000-00008B0B0000}"/>
    <cellStyle name="Input 4 3 3 4" xfId="2957" xr:uid="{00000000-0005-0000-0000-00008C0B0000}"/>
    <cellStyle name="Input 4 3 3 4 2" xfId="2958" xr:uid="{00000000-0005-0000-0000-00008D0B0000}"/>
    <cellStyle name="Input 4 3 3 4 2 2" xfId="2959" xr:uid="{00000000-0005-0000-0000-00008E0B0000}"/>
    <cellStyle name="Input 4 3 3 4 3" xfId="2960" xr:uid="{00000000-0005-0000-0000-00008F0B0000}"/>
    <cellStyle name="Input 4 3 3 5" xfId="2961" xr:uid="{00000000-0005-0000-0000-0000900B0000}"/>
    <cellStyle name="Input 4 3 3 5 2" xfId="2962" xr:uid="{00000000-0005-0000-0000-0000910B0000}"/>
    <cellStyle name="Input 4 3 3 6" xfId="2963" xr:uid="{00000000-0005-0000-0000-0000920B0000}"/>
    <cellStyle name="Input 4 3 4" xfId="2964" xr:uid="{00000000-0005-0000-0000-0000930B0000}"/>
    <cellStyle name="Input 4 3 4 2" xfId="2965" xr:uid="{00000000-0005-0000-0000-0000940B0000}"/>
    <cellStyle name="Input 4 3 4 2 2" xfId="2966" xr:uid="{00000000-0005-0000-0000-0000950B0000}"/>
    <cellStyle name="Input 4 3 4 2 2 2" xfId="2967" xr:uid="{00000000-0005-0000-0000-0000960B0000}"/>
    <cellStyle name="Input 4 3 4 2 3" xfId="2968" xr:uid="{00000000-0005-0000-0000-0000970B0000}"/>
    <cellStyle name="Input 4 3 4 3" xfId="2969" xr:uid="{00000000-0005-0000-0000-0000980B0000}"/>
    <cellStyle name="Input 4 3 4 3 2" xfId="2970" xr:uid="{00000000-0005-0000-0000-0000990B0000}"/>
    <cellStyle name="Input 4 3 4 4" xfId="2971" xr:uid="{00000000-0005-0000-0000-00009A0B0000}"/>
    <cellStyle name="Input 4 3 5" xfId="2972" xr:uid="{00000000-0005-0000-0000-00009B0B0000}"/>
    <cellStyle name="Input 4 3 5 2" xfId="2973" xr:uid="{00000000-0005-0000-0000-00009C0B0000}"/>
    <cellStyle name="Input 4 3 5 2 2" xfId="2974" xr:uid="{00000000-0005-0000-0000-00009D0B0000}"/>
    <cellStyle name="Input 4 3 5 3" xfId="2975" xr:uid="{00000000-0005-0000-0000-00009E0B0000}"/>
    <cellStyle name="Input 4 3 5 4" xfId="2976" xr:uid="{00000000-0005-0000-0000-00009F0B0000}"/>
    <cellStyle name="Input 4 3 6" xfId="2977" xr:uid="{00000000-0005-0000-0000-0000A00B0000}"/>
    <cellStyle name="Input 4 3 6 2" xfId="2978" xr:uid="{00000000-0005-0000-0000-0000A10B0000}"/>
    <cellStyle name="Input 4 3 6 2 2" xfId="2979" xr:uid="{00000000-0005-0000-0000-0000A20B0000}"/>
    <cellStyle name="Input 4 3 6 3" xfId="2980" xr:uid="{00000000-0005-0000-0000-0000A30B0000}"/>
    <cellStyle name="Input 4 3 7" xfId="2981" xr:uid="{00000000-0005-0000-0000-0000A40B0000}"/>
    <cellStyle name="Input 4 3 7 2" xfId="2982" xr:uid="{00000000-0005-0000-0000-0000A50B0000}"/>
    <cellStyle name="Input 4 3 8" xfId="2983" xr:uid="{00000000-0005-0000-0000-0000A60B0000}"/>
    <cellStyle name="Input 4 4" xfId="2984" xr:uid="{00000000-0005-0000-0000-0000A70B0000}"/>
    <cellStyle name="Input 4 4 2" xfId="2985" xr:uid="{00000000-0005-0000-0000-0000A80B0000}"/>
    <cellStyle name="Input 4 4 2 2" xfId="2986" xr:uid="{00000000-0005-0000-0000-0000A90B0000}"/>
    <cellStyle name="Input 4 4 2 2 2" xfId="2987" xr:uid="{00000000-0005-0000-0000-0000AA0B0000}"/>
    <cellStyle name="Input 4 4 2 2 2 2" xfId="2988" xr:uid="{00000000-0005-0000-0000-0000AB0B0000}"/>
    <cellStyle name="Input 4 4 2 2 3" xfId="2989" xr:uid="{00000000-0005-0000-0000-0000AC0B0000}"/>
    <cellStyle name="Input 4 4 2 3" xfId="2990" xr:uid="{00000000-0005-0000-0000-0000AD0B0000}"/>
    <cellStyle name="Input 4 4 2 3 2" xfId="2991" xr:uid="{00000000-0005-0000-0000-0000AE0B0000}"/>
    <cellStyle name="Input 4 4 2 4" xfId="2992" xr:uid="{00000000-0005-0000-0000-0000AF0B0000}"/>
    <cellStyle name="Input 4 4 3" xfId="2993" xr:uid="{00000000-0005-0000-0000-0000B00B0000}"/>
    <cellStyle name="Input 4 4 3 2" xfId="2994" xr:uid="{00000000-0005-0000-0000-0000B10B0000}"/>
    <cellStyle name="Input 4 4 3 2 2" xfId="2995" xr:uid="{00000000-0005-0000-0000-0000B20B0000}"/>
    <cellStyle name="Input 4 4 3 3" xfId="2996" xr:uid="{00000000-0005-0000-0000-0000B30B0000}"/>
    <cellStyle name="Input 4 4 3 4" xfId="2997" xr:uid="{00000000-0005-0000-0000-0000B40B0000}"/>
    <cellStyle name="Input 4 4 4" xfId="2998" xr:uid="{00000000-0005-0000-0000-0000B50B0000}"/>
    <cellStyle name="Input 4 4 4 2" xfId="2999" xr:uid="{00000000-0005-0000-0000-0000B60B0000}"/>
    <cellStyle name="Input 4 4 4 2 2" xfId="3000" xr:uid="{00000000-0005-0000-0000-0000B70B0000}"/>
    <cellStyle name="Input 4 4 4 3" xfId="3001" xr:uid="{00000000-0005-0000-0000-0000B80B0000}"/>
    <cellStyle name="Input 4 4 5" xfId="3002" xr:uid="{00000000-0005-0000-0000-0000B90B0000}"/>
    <cellStyle name="Input 4 4 5 2" xfId="3003" xr:uid="{00000000-0005-0000-0000-0000BA0B0000}"/>
    <cellStyle name="Input 4 4 6" xfId="3004" xr:uid="{00000000-0005-0000-0000-0000BB0B0000}"/>
    <cellStyle name="Input 5" xfId="3005" xr:uid="{00000000-0005-0000-0000-0000BC0B0000}"/>
    <cellStyle name="Input 5 2" xfId="3006" xr:uid="{00000000-0005-0000-0000-0000BD0B0000}"/>
    <cellStyle name="Input 5 2 2" xfId="3007" xr:uid="{00000000-0005-0000-0000-0000BE0B0000}"/>
    <cellStyle name="Input 5 2 2 2" xfId="3008" xr:uid="{00000000-0005-0000-0000-0000BF0B0000}"/>
    <cellStyle name="Input 5 2 2 2 2" xfId="3009" xr:uid="{00000000-0005-0000-0000-0000C00B0000}"/>
    <cellStyle name="Input 5 2 2 2 2 2" xfId="3010" xr:uid="{00000000-0005-0000-0000-0000C10B0000}"/>
    <cellStyle name="Input 5 2 2 2 3" xfId="3011" xr:uid="{00000000-0005-0000-0000-0000C20B0000}"/>
    <cellStyle name="Input 5 2 2 3" xfId="3012" xr:uid="{00000000-0005-0000-0000-0000C30B0000}"/>
    <cellStyle name="Input 5 2 2 3 2" xfId="3013" xr:uid="{00000000-0005-0000-0000-0000C40B0000}"/>
    <cellStyle name="Input 5 2 2 4" xfId="3014" xr:uid="{00000000-0005-0000-0000-0000C50B0000}"/>
    <cellStyle name="Input 5 2 3" xfId="3015" xr:uid="{00000000-0005-0000-0000-0000C60B0000}"/>
    <cellStyle name="Input 5 2 3 2" xfId="3016" xr:uid="{00000000-0005-0000-0000-0000C70B0000}"/>
    <cellStyle name="Input 5 2 3 2 2" xfId="3017" xr:uid="{00000000-0005-0000-0000-0000C80B0000}"/>
    <cellStyle name="Input 5 2 3 3" xfId="3018" xr:uid="{00000000-0005-0000-0000-0000C90B0000}"/>
    <cellStyle name="Input 5 2 3 4" xfId="3019" xr:uid="{00000000-0005-0000-0000-0000CA0B0000}"/>
    <cellStyle name="Input 5 2 4" xfId="3020" xr:uid="{00000000-0005-0000-0000-0000CB0B0000}"/>
    <cellStyle name="Input 5 2 4 2" xfId="3021" xr:uid="{00000000-0005-0000-0000-0000CC0B0000}"/>
    <cellStyle name="Input 5 2 4 2 2" xfId="3022" xr:uid="{00000000-0005-0000-0000-0000CD0B0000}"/>
    <cellStyle name="Input 5 2 4 3" xfId="3023" xr:uid="{00000000-0005-0000-0000-0000CE0B0000}"/>
    <cellStyle name="Input 5 2 5" xfId="3024" xr:uid="{00000000-0005-0000-0000-0000CF0B0000}"/>
    <cellStyle name="Input 5 2 5 2" xfId="3025" xr:uid="{00000000-0005-0000-0000-0000D00B0000}"/>
    <cellStyle name="Input 5 2 6" xfId="3026" xr:uid="{00000000-0005-0000-0000-0000D10B0000}"/>
    <cellStyle name="Input 5 3" xfId="3027" xr:uid="{00000000-0005-0000-0000-0000D20B0000}"/>
    <cellStyle name="Input 5 3 2" xfId="3028" xr:uid="{00000000-0005-0000-0000-0000D30B0000}"/>
    <cellStyle name="Input 5 3 2 2" xfId="3029" xr:uid="{00000000-0005-0000-0000-0000D40B0000}"/>
    <cellStyle name="Input 5 3 2 2 2" xfId="3030" xr:uid="{00000000-0005-0000-0000-0000D50B0000}"/>
    <cellStyle name="Input 5 3 2 2 2 2" xfId="3031" xr:uid="{00000000-0005-0000-0000-0000D60B0000}"/>
    <cellStyle name="Input 5 3 2 2 3" xfId="3032" xr:uid="{00000000-0005-0000-0000-0000D70B0000}"/>
    <cellStyle name="Input 5 3 2 3" xfId="3033" xr:uid="{00000000-0005-0000-0000-0000D80B0000}"/>
    <cellStyle name="Input 5 3 2 3 2" xfId="3034" xr:uid="{00000000-0005-0000-0000-0000D90B0000}"/>
    <cellStyle name="Input 5 3 2 4" xfId="3035" xr:uid="{00000000-0005-0000-0000-0000DA0B0000}"/>
    <cellStyle name="Input 5 3 3" xfId="3036" xr:uid="{00000000-0005-0000-0000-0000DB0B0000}"/>
    <cellStyle name="Input 5 3 3 2" xfId="3037" xr:uid="{00000000-0005-0000-0000-0000DC0B0000}"/>
    <cellStyle name="Input 5 3 3 2 2" xfId="3038" xr:uid="{00000000-0005-0000-0000-0000DD0B0000}"/>
    <cellStyle name="Input 5 3 3 3" xfId="3039" xr:uid="{00000000-0005-0000-0000-0000DE0B0000}"/>
    <cellStyle name="Input 5 3 3 4" xfId="3040" xr:uid="{00000000-0005-0000-0000-0000DF0B0000}"/>
    <cellStyle name="Input 5 3 4" xfId="3041" xr:uid="{00000000-0005-0000-0000-0000E00B0000}"/>
    <cellStyle name="Input 5 3 4 2" xfId="3042" xr:uid="{00000000-0005-0000-0000-0000E10B0000}"/>
    <cellStyle name="Input 5 3 4 2 2" xfId="3043" xr:uid="{00000000-0005-0000-0000-0000E20B0000}"/>
    <cellStyle name="Input 5 3 4 3" xfId="3044" xr:uid="{00000000-0005-0000-0000-0000E30B0000}"/>
    <cellStyle name="Input 5 3 5" xfId="3045" xr:uid="{00000000-0005-0000-0000-0000E40B0000}"/>
    <cellStyle name="Input 5 3 5 2" xfId="3046" xr:uid="{00000000-0005-0000-0000-0000E50B0000}"/>
    <cellStyle name="Input 5 3 6" xfId="3047" xr:uid="{00000000-0005-0000-0000-0000E60B0000}"/>
    <cellStyle name="Input 5 4" xfId="3048" xr:uid="{00000000-0005-0000-0000-0000E70B0000}"/>
    <cellStyle name="Input 5 4 2" xfId="3049" xr:uid="{00000000-0005-0000-0000-0000E80B0000}"/>
    <cellStyle name="Input 5 4 2 2" xfId="3050" xr:uid="{00000000-0005-0000-0000-0000E90B0000}"/>
    <cellStyle name="Input 5 4 2 2 2" xfId="3051" xr:uid="{00000000-0005-0000-0000-0000EA0B0000}"/>
    <cellStyle name="Input 5 4 2 2 2 2" xfId="3052" xr:uid="{00000000-0005-0000-0000-0000EB0B0000}"/>
    <cellStyle name="Input 5 4 2 2 3" xfId="3053" xr:uid="{00000000-0005-0000-0000-0000EC0B0000}"/>
    <cellStyle name="Input 5 4 2 3" xfId="3054" xr:uid="{00000000-0005-0000-0000-0000ED0B0000}"/>
    <cellStyle name="Input 5 4 2 3 2" xfId="3055" xr:uid="{00000000-0005-0000-0000-0000EE0B0000}"/>
    <cellStyle name="Input 5 4 2 4" xfId="3056" xr:uid="{00000000-0005-0000-0000-0000EF0B0000}"/>
    <cellStyle name="Input 5 4 3" xfId="3057" xr:uid="{00000000-0005-0000-0000-0000F00B0000}"/>
    <cellStyle name="Input 5 4 3 2" xfId="3058" xr:uid="{00000000-0005-0000-0000-0000F10B0000}"/>
    <cellStyle name="Input 5 4 3 2 2" xfId="3059" xr:uid="{00000000-0005-0000-0000-0000F20B0000}"/>
    <cellStyle name="Input 5 4 3 3" xfId="3060" xr:uid="{00000000-0005-0000-0000-0000F30B0000}"/>
    <cellStyle name="Input 5 4 3 4" xfId="3061" xr:uid="{00000000-0005-0000-0000-0000F40B0000}"/>
    <cellStyle name="Input 5 4 4" xfId="3062" xr:uid="{00000000-0005-0000-0000-0000F50B0000}"/>
    <cellStyle name="Input 5 4 4 2" xfId="3063" xr:uid="{00000000-0005-0000-0000-0000F60B0000}"/>
    <cellStyle name="Input 5 4 4 2 2" xfId="3064" xr:uid="{00000000-0005-0000-0000-0000F70B0000}"/>
    <cellStyle name="Input 5 4 4 3" xfId="3065" xr:uid="{00000000-0005-0000-0000-0000F80B0000}"/>
    <cellStyle name="Input 5 4 5" xfId="3066" xr:uid="{00000000-0005-0000-0000-0000F90B0000}"/>
    <cellStyle name="Input 5 4 5 2" xfId="3067" xr:uid="{00000000-0005-0000-0000-0000FA0B0000}"/>
    <cellStyle name="Input 5 4 6" xfId="3068" xr:uid="{00000000-0005-0000-0000-0000FB0B0000}"/>
    <cellStyle name="Input 5 5" xfId="3069" xr:uid="{00000000-0005-0000-0000-0000FC0B0000}"/>
    <cellStyle name="Input 5 5 2" xfId="3070" xr:uid="{00000000-0005-0000-0000-0000FD0B0000}"/>
    <cellStyle name="Input 6" xfId="3071" xr:uid="{00000000-0005-0000-0000-0000FE0B0000}"/>
    <cellStyle name="Input 6 2" xfId="3072" xr:uid="{00000000-0005-0000-0000-0000FF0B0000}"/>
    <cellStyle name="Input 6 2 2" xfId="3073" xr:uid="{00000000-0005-0000-0000-0000000C0000}"/>
    <cellStyle name="Input 6 2 2 2" xfId="3074" xr:uid="{00000000-0005-0000-0000-0000010C0000}"/>
    <cellStyle name="Input 6 2 2 2 2" xfId="3075" xr:uid="{00000000-0005-0000-0000-0000020C0000}"/>
    <cellStyle name="Input 6 2 2 2 2 2" xfId="3076" xr:uid="{00000000-0005-0000-0000-0000030C0000}"/>
    <cellStyle name="Input 6 2 2 2 3" xfId="3077" xr:uid="{00000000-0005-0000-0000-0000040C0000}"/>
    <cellStyle name="Input 6 2 2 3" xfId="3078" xr:uid="{00000000-0005-0000-0000-0000050C0000}"/>
    <cellStyle name="Input 6 2 2 3 2" xfId="3079" xr:uid="{00000000-0005-0000-0000-0000060C0000}"/>
    <cellStyle name="Input 6 2 2 4" xfId="3080" xr:uid="{00000000-0005-0000-0000-0000070C0000}"/>
    <cellStyle name="Input 6 2 3" xfId="3081" xr:uid="{00000000-0005-0000-0000-0000080C0000}"/>
    <cellStyle name="Input 6 2 3 2" xfId="3082" xr:uid="{00000000-0005-0000-0000-0000090C0000}"/>
    <cellStyle name="Input 6 2 3 2 2" xfId="3083" xr:uid="{00000000-0005-0000-0000-00000A0C0000}"/>
    <cellStyle name="Input 6 2 3 3" xfId="3084" xr:uid="{00000000-0005-0000-0000-00000B0C0000}"/>
    <cellStyle name="Input 6 2 3 4" xfId="3085" xr:uid="{00000000-0005-0000-0000-00000C0C0000}"/>
    <cellStyle name="Input 6 2 4" xfId="3086" xr:uid="{00000000-0005-0000-0000-00000D0C0000}"/>
    <cellStyle name="Input 6 2 4 2" xfId="3087" xr:uid="{00000000-0005-0000-0000-00000E0C0000}"/>
    <cellStyle name="Input 6 2 4 2 2" xfId="3088" xr:uid="{00000000-0005-0000-0000-00000F0C0000}"/>
    <cellStyle name="Input 6 2 4 3" xfId="3089" xr:uid="{00000000-0005-0000-0000-0000100C0000}"/>
    <cellStyle name="Input 6 2 5" xfId="3090" xr:uid="{00000000-0005-0000-0000-0000110C0000}"/>
    <cellStyle name="Input 6 2 5 2" xfId="3091" xr:uid="{00000000-0005-0000-0000-0000120C0000}"/>
    <cellStyle name="Input 6 2 6" xfId="3092" xr:uid="{00000000-0005-0000-0000-0000130C0000}"/>
    <cellStyle name="Input 6 3" xfId="3093" xr:uid="{00000000-0005-0000-0000-0000140C0000}"/>
    <cellStyle name="Input 6 3 2" xfId="3094" xr:uid="{00000000-0005-0000-0000-0000150C0000}"/>
    <cellStyle name="Input 6 3 2 2" xfId="3095" xr:uid="{00000000-0005-0000-0000-0000160C0000}"/>
    <cellStyle name="Input 6 3 2 2 2" xfId="3096" xr:uid="{00000000-0005-0000-0000-0000170C0000}"/>
    <cellStyle name="Input 6 3 2 2 2 2" xfId="3097" xr:uid="{00000000-0005-0000-0000-0000180C0000}"/>
    <cellStyle name="Input 6 3 2 2 3" xfId="3098" xr:uid="{00000000-0005-0000-0000-0000190C0000}"/>
    <cellStyle name="Input 6 3 2 3" xfId="3099" xr:uid="{00000000-0005-0000-0000-00001A0C0000}"/>
    <cellStyle name="Input 6 3 2 3 2" xfId="3100" xr:uid="{00000000-0005-0000-0000-00001B0C0000}"/>
    <cellStyle name="Input 6 3 2 4" xfId="3101" xr:uid="{00000000-0005-0000-0000-00001C0C0000}"/>
    <cellStyle name="Input 6 3 3" xfId="3102" xr:uid="{00000000-0005-0000-0000-00001D0C0000}"/>
    <cellStyle name="Input 6 3 3 2" xfId="3103" xr:uid="{00000000-0005-0000-0000-00001E0C0000}"/>
    <cellStyle name="Input 6 3 3 2 2" xfId="3104" xr:uid="{00000000-0005-0000-0000-00001F0C0000}"/>
    <cellStyle name="Input 6 3 3 3" xfId="3105" xr:uid="{00000000-0005-0000-0000-0000200C0000}"/>
    <cellStyle name="Input 6 3 3 4" xfId="3106" xr:uid="{00000000-0005-0000-0000-0000210C0000}"/>
    <cellStyle name="Input 6 3 4" xfId="3107" xr:uid="{00000000-0005-0000-0000-0000220C0000}"/>
    <cellStyle name="Input 6 3 4 2" xfId="3108" xr:uid="{00000000-0005-0000-0000-0000230C0000}"/>
    <cellStyle name="Input 6 3 4 2 2" xfId="3109" xr:uid="{00000000-0005-0000-0000-0000240C0000}"/>
    <cellStyle name="Input 6 3 4 3" xfId="3110" xr:uid="{00000000-0005-0000-0000-0000250C0000}"/>
    <cellStyle name="Input 6 3 5" xfId="3111" xr:uid="{00000000-0005-0000-0000-0000260C0000}"/>
    <cellStyle name="Input 6 3 5 2" xfId="3112" xr:uid="{00000000-0005-0000-0000-0000270C0000}"/>
    <cellStyle name="Input 6 3 6" xfId="3113" xr:uid="{00000000-0005-0000-0000-0000280C0000}"/>
    <cellStyle name="Input 6 4" xfId="3114" xr:uid="{00000000-0005-0000-0000-0000290C0000}"/>
    <cellStyle name="Input 6 4 2" xfId="3115" xr:uid="{00000000-0005-0000-0000-00002A0C0000}"/>
    <cellStyle name="Input 6 4 2 2" xfId="3116" xr:uid="{00000000-0005-0000-0000-00002B0C0000}"/>
    <cellStyle name="Input 6 4 2 2 2" xfId="3117" xr:uid="{00000000-0005-0000-0000-00002C0C0000}"/>
    <cellStyle name="Input 6 4 2 3" xfId="3118" xr:uid="{00000000-0005-0000-0000-00002D0C0000}"/>
    <cellStyle name="Input 6 4 3" xfId="3119" xr:uid="{00000000-0005-0000-0000-00002E0C0000}"/>
    <cellStyle name="Input 6 4 3 2" xfId="3120" xr:uid="{00000000-0005-0000-0000-00002F0C0000}"/>
    <cellStyle name="Input 6 4 4" xfId="3121" xr:uid="{00000000-0005-0000-0000-0000300C0000}"/>
    <cellStyle name="Input 6 5" xfId="3122" xr:uid="{00000000-0005-0000-0000-0000310C0000}"/>
    <cellStyle name="Input 6 5 2" xfId="3123" xr:uid="{00000000-0005-0000-0000-0000320C0000}"/>
    <cellStyle name="Input 6 5 2 2" xfId="3124" xr:uid="{00000000-0005-0000-0000-0000330C0000}"/>
    <cellStyle name="Input 6 5 3" xfId="3125" xr:uid="{00000000-0005-0000-0000-0000340C0000}"/>
    <cellStyle name="Input 6 5 4" xfId="3126" xr:uid="{00000000-0005-0000-0000-0000350C0000}"/>
    <cellStyle name="Input 6 6" xfId="3127" xr:uid="{00000000-0005-0000-0000-0000360C0000}"/>
    <cellStyle name="Input 6 6 2" xfId="3128" xr:uid="{00000000-0005-0000-0000-0000370C0000}"/>
    <cellStyle name="Input 6 6 2 2" xfId="3129" xr:uid="{00000000-0005-0000-0000-0000380C0000}"/>
    <cellStyle name="Input 6 6 3" xfId="3130" xr:uid="{00000000-0005-0000-0000-0000390C0000}"/>
    <cellStyle name="Input 6 7" xfId="3131" xr:uid="{00000000-0005-0000-0000-00003A0C0000}"/>
    <cellStyle name="Input 6 7 2" xfId="3132" xr:uid="{00000000-0005-0000-0000-00003B0C0000}"/>
    <cellStyle name="Input 6 8" xfId="3133" xr:uid="{00000000-0005-0000-0000-00003C0C0000}"/>
    <cellStyle name="InputDataRow" xfId="3134" xr:uid="{00000000-0005-0000-0000-00003D0C0000}"/>
    <cellStyle name="InputLabelRow" xfId="3135" xr:uid="{00000000-0005-0000-0000-00003E0C0000}"/>
    <cellStyle name="InputPc2Right" xfId="3136" xr:uid="{00000000-0005-0000-0000-00003F0C0000}"/>
    <cellStyle name="InputShortText" xfId="3137" xr:uid="{00000000-0005-0000-0000-0000400C0000}"/>
    <cellStyle name="InputTextLeft" xfId="3138" xr:uid="{00000000-0005-0000-0000-0000410C0000}"/>
    <cellStyle name="Int.conven" xfId="3139" xr:uid="{00000000-0005-0000-0000-0000420C0000}"/>
    <cellStyle name="IntermediateLabelColumn" xfId="3140" xr:uid="{00000000-0005-0000-0000-0000430C0000}"/>
    <cellStyle name="JG" xfId="3141" xr:uid="{00000000-0005-0000-0000-0000440C0000}"/>
    <cellStyle name="LabelLeft" xfId="3142" xr:uid="{00000000-0005-0000-0000-0000450C0000}"/>
    <cellStyle name="LabelRight" xfId="3143" xr:uid="{00000000-0005-0000-0000-0000460C0000}"/>
    <cellStyle name="Linked Cell 2" xfId="3144" xr:uid="{00000000-0005-0000-0000-0000470C0000}"/>
    <cellStyle name="Linked Cell 2 2" xfId="3145" xr:uid="{00000000-0005-0000-0000-0000480C0000}"/>
    <cellStyle name="Linked Cell 3" xfId="3146" xr:uid="{00000000-0005-0000-0000-0000490C0000}"/>
    <cellStyle name="Linked Cell 4" xfId="3147" xr:uid="{00000000-0005-0000-0000-00004A0C0000}"/>
    <cellStyle name="LocalFormat" xfId="3148" xr:uid="{00000000-0005-0000-0000-00004B0C0000}"/>
    <cellStyle name="LocalFormat 2" xfId="3149" xr:uid="{00000000-0005-0000-0000-00004C0C0000}"/>
    <cellStyle name="LocalFormat 2 2" xfId="3150" xr:uid="{00000000-0005-0000-0000-00004D0C0000}"/>
    <cellStyle name="LocalFormat 2 2 2" xfId="3151" xr:uid="{00000000-0005-0000-0000-00004E0C0000}"/>
    <cellStyle name="LocalFormat 2 2 2 2" xfId="3152" xr:uid="{00000000-0005-0000-0000-00004F0C0000}"/>
    <cellStyle name="LocalFormat 2 2 2 2 2" xfId="3153" xr:uid="{00000000-0005-0000-0000-0000500C0000}"/>
    <cellStyle name="LocalFormat 2 2 2 2 2 2" xfId="3154" xr:uid="{00000000-0005-0000-0000-0000510C0000}"/>
    <cellStyle name="LocalFormat 2 2 2 2 2 2 2" xfId="3155" xr:uid="{00000000-0005-0000-0000-0000520C0000}"/>
    <cellStyle name="LocalFormat 2 2 2 2 2 3" xfId="3156" xr:uid="{00000000-0005-0000-0000-0000530C0000}"/>
    <cellStyle name="LocalFormat 2 2 2 2 3" xfId="3157" xr:uid="{00000000-0005-0000-0000-0000540C0000}"/>
    <cellStyle name="LocalFormat 2 2 2 2 3 2" xfId="3158" xr:uid="{00000000-0005-0000-0000-0000550C0000}"/>
    <cellStyle name="LocalFormat 2 2 2 2 4" xfId="3159" xr:uid="{00000000-0005-0000-0000-0000560C0000}"/>
    <cellStyle name="LocalFormat 2 2 2 3" xfId="3160" xr:uid="{00000000-0005-0000-0000-0000570C0000}"/>
    <cellStyle name="LocalFormat 2 2 2 3 2" xfId="3161" xr:uid="{00000000-0005-0000-0000-0000580C0000}"/>
    <cellStyle name="LocalFormat 2 2 2 3 2 2" xfId="3162" xr:uid="{00000000-0005-0000-0000-0000590C0000}"/>
    <cellStyle name="LocalFormat 2 2 2 3 3" xfId="3163" xr:uid="{00000000-0005-0000-0000-00005A0C0000}"/>
    <cellStyle name="LocalFormat 2 2 2 3 4" xfId="3164" xr:uid="{00000000-0005-0000-0000-00005B0C0000}"/>
    <cellStyle name="LocalFormat 2 2 2 4" xfId="3165" xr:uid="{00000000-0005-0000-0000-00005C0C0000}"/>
    <cellStyle name="LocalFormat 2 2 2 4 2" xfId="3166" xr:uid="{00000000-0005-0000-0000-00005D0C0000}"/>
    <cellStyle name="LocalFormat 2 2 2 4 2 2" xfId="3167" xr:uid="{00000000-0005-0000-0000-00005E0C0000}"/>
    <cellStyle name="LocalFormat 2 2 2 4 3" xfId="3168" xr:uid="{00000000-0005-0000-0000-00005F0C0000}"/>
    <cellStyle name="LocalFormat 2 2 2 5" xfId="3169" xr:uid="{00000000-0005-0000-0000-0000600C0000}"/>
    <cellStyle name="LocalFormat 2 2 3" xfId="3170" xr:uid="{00000000-0005-0000-0000-0000610C0000}"/>
    <cellStyle name="LocalFormat 2 2 3 2" xfId="3171" xr:uid="{00000000-0005-0000-0000-0000620C0000}"/>
    <cellStyle name="LocalFormat 2 2 3 2 2" xfId="3172" xr:uid="{00000000-0005-0000-0000-0000630C0000}"/>
    <cellStyle name="LocalFormat 2 2 3 2 2 2" xfId="3173" xr:uid="{00000000-0005-0000-0000-0000640C0000}"/>
    <cellStyle name="LocalFormat 2 2 3 2 2 2 2" xfId="3174" xr:uid="{00000000-0005-0000-0000-0000650C0000}"/>
    <cellStyle name="LocalFormat 2 2 3 2 2 3" xfId="3175" xr:uid="{00000000-0005-0000-0000-0000660C0000}"/>
    <cellStyle name="LocalFormat 2 2 3 2 3" xfId="3176" xr:uid="{00000000-0005-0000-0000-0000670C0000}"/>
    <cellStyle name="LocalFormat 2 2 3 2 3 2" xfId="3177" xr:uid="{00000000-0005-0000-0000-0000680C0000}"/>
    <cellStyle name="LocalFormat 2 2 3 2 4" xfId="3178" xr:uid="{00000000-0005-0000-0000-0000690C0000}"/>
    <cellStyle name="LocalFormat 2 2 3 3" xfId="3179" xr:uid="{00000000-0005-0000-0000-00006A0C0000}"/>
    <cellStyle name="LocalFormat 2 2 3 3 2" xfId="3180" xr:uid="{00000000-0005-0000-0000-00006B0C0000}"/>
    <cellStyle name="LocalFormat 2 2 3 3 2 2" xfId="3181" xr:uid="{00000000-0005-0000-0000-00006C0C0000}"/>
    <cellStyle name="LocalFormat 2 2 3 3 3" xfId="3182" xr:uid="{00000000-0005-0000-0000-00006D0C0000}"/>
    <cellStyle name="LocalFormat 2 2 3 3 4" xfId="3183" xr:uid="{00000000-0005-0000-0000-00006E0C0000}"/>
    <cellStyle name="LocalFormat 2 2 3 4" xfId="3184" xr:uid="{00000000-0005-0000-0000-00006F0C0000}"/>
    <cellStyle name="LocalFormat 2 2 3 4 2" xfId="3185" xr:uid="{00000000-0005-0000-0000-0000700C0000}"/>
    <cellStyle name="LocalFormat 2 2 3 4 2 2" xfId="3186" xr:uid="{00000000-0005-0000-0000-0000710C0000}"/>
    <cellStyle name="LocalFormat 2 2 3 4 3" xfId="3187" xr:uid="{00000000-0005-0000-0000-0000720C0000}"/>
    <cellStyle name="LocalFormat 2 2 3 5" xfId="3188" xr:uid="{00000000-0005-0000-0000-0000730C0000}"/>
    <cellStyle name="LocalFormat 2 2 3 5 2" xfId="3189" xr:uid="{00000000-0005-0000-0000-0000740C0000}"/>
    <cellStyle name="LocalFormat 2 2 3 6" xfId="3190" xr:uid="{00000000-0005-0000-0000-0000750C0000}"/>
    <cellStyle name="LocalFormat 2 2 4" xfId="3191" xr:uid="{00000000-0005-0000-0000-0000760C0000}"/>
    <cellStyle name="LocalFormat 2 2 4 2" xfId="3192" xr:uid="{00000000-0005-0000-0000-0000770C0000}"/>
    <cellStyle name="LocalFormat 2 2 4 2 2" xfId="3193" xr:uid="{00000000-0005-0000-0000-0000780C0000}"/>
    <cellStyle name="LocalFormat 2 2 4 2 2 2" xfId="3194" xr:uid="{00000000-0005-0000-0000-0000790C0000}"/>
    <cellStyle name="LocalFormat 2 2 4 2 2 2 2" xfId="3195" xr:uid="{00000000-0005-0000-0000-00007A0C0000}"/>
    <cellStyle name="LocalFormat 2 2 4 2 2 3" xfId="3196" xr:uid="{00000000-0005-0000-0000-00007B0C0000}"/>
    <cellStyle name="LocalFormat 2 2 4 2 3" xfId="3197" xr:uid="{00000000-0005-0000-0000-00007C0C0000}"/>
    <cellStyle name="LocalFormat 2 2 4 2 3 2" xfId="3198" xr:uid="{00000000-0005-0000-0000-00007D0C0000}"/>
    <cellStyle name="LocalFormat 2 2 4 2 4" xfId="3199" xr:uid="{00000000-0005-0000-0000-00007E0C0000}"/>
    <cellStyle name="LocalFormat 2 2 4 3" xfId="3200" xr:uid="{00000000-0005-0000-0000-00007F0C0000}"/>
    <cellStyle name="LocalFormat 2 2 4 3 2" xfId="3201" xr:uid="{00000000-0005-0000-0000-0000800C0000}"/>
    <cellStyle name="LocalFormat 2 2 4 3 2 2" xfId="3202" xr:uid="{00000000-0005-0000-0000-0000810C0000}"/>
    <cellStyle name="LocalFormat 2 2 4 3 3" xfId="3203" xr:uid="{00000000-0005-0000-0000-0000820C0000}"/>
    <cellStyle name="LocalFormat 2 2 4 3 4" xfId="3204" xr:uid="{00000000-0005-0000-0000-0000830C0000}"/>
    <cellStyle name="LocalFormat 2 2 4 4" xfId="3205" xr:uid="{00000000-0005-0000-0000-0000840C0000}"/>
    <cellStyle name="LocalFormat 2 2 4 4 2" xfId="3206" xr:uid="{00000000-0005-0000-0000-0000850C0000}"/>
    <cellStyle name="LocalFormat 2 2 4 4 2 2" xfId="3207" xr:uid="{00000000-0005-0000-0000-0000860C0000}"/>
    <cellStyle name="LocalFormat 2 2 4 4 3" xfId="3208" xr:uid="{00000000-0005-0000-0000-0000870C0000}"/>
    <cellStyle name="LocalFormat 2 2 4 5" xfId="3209" xr:uid="{00000000-0005-0000-0000-0000880C0000}"/>
    <cellStyle name="LocalFormat 2 2 4 5 2" xfId="3210" xr:uid="{00000000-0005-0000-0000-0000890C0000}"/>
    <cellStyle name="LocalFormat 2 2 4 6" xfId="3211" xr:uid="{00000000-0005-0000-0000-00008A0C0000}"/>
    <cellStyle name="LocalFormat 2 2 5" xfId="3212" xr:uid="{00000000-0005-0000-0000-00008B0C0000}"/>
    <cellStyle name="LocalFormat 2 2 5 2" xfId="3213" xr:uid="{00000000-0005-0000-0000-00008C0C0000}"/>
    <cellStyle name="LocalFormat 2 3" xfId="3214" xr:uid="{00000000-0005-0000-0000-00008D0C0000}"/>
    <cellStyle name="LocalFormat 2 3 2" xfId="3215" xr:uid="{00000000-0005-0000-0000-00008E0C0000}"/>
    <cellStyle name="LocalFormat 2 3 2 2" xfId="3216" xr:uid="{00000000-0005-0000-0000-00008F0C0000}"/>
    <cellStyle name="LocalFormat 2 3 2 2 2" xfId="3217" xr:uid="{00000000-0005-0000-0000-0000900C0000}"/>
    <cellStyle name="LocalFormat 2 3 2 2 2 2" xfId="3218" xr:uid="{00000000-0005-0000-0000-0000910C0000}"/>
    <cellStyle name="LocalFormat 2 3 2 2 3" xfId="3219" xr:uid="{00000000-0005-0000-0000-0000920C0000}"/>
    <cellStyle name="LocalFormat 2 3 2 3" xfId="3220" xr:uid="{00000000-0005-0000-0000-0000930C0000}"/>
    <cellStyle name="LocalFormat 2 3 2 3 2" xfId="3221" xr:uid="{00000000-0005-0000-0000-0000940C0000}"/>
    <cellStyle name="LocalFormat 2 3 2 4" xfId="3222" xr:uid="{00000000-0005-0000-0000-0000950C0000}"/>
    <cellStyle name="LocalFormat 2 3 3" xfId="3223" xr:uid="{00000000-0005-0000-0000-0000960C0000}"/>
    <cellStyle name="LocalFormat 2 3 3 2" xfId="3224" xr:uid="{00000000-0005-0000-0000-0000970C0000}"/>
    <cellStyle name="LocalFormat 2 3 3 2 2" xfId="3225" xr:uid="{00000000-0005-0000-0000-0000980C0000}"/>
    <cellStyle name="LocalFormat 2 3 3 3" xfId="3226" xr:uid="{00000000-0005-0000-0000-0000990C0000}"/>
    <cellStyle name="LocalFormat 2 3 3 4" xfId="3227" xr:uid="{00000000-0005-0000-0000-00009A0C0000}"/>
    <cellStyle name="LocalFormat 2 3 4" xfId="3228" xr:uid="{00000000-0005-0000-0000-00009B0C0000}"/>
    <cellStyle name="LocalFormat 2 3 4 2" xfId="3229" xr:uid="{00000000-0005-0000-0000-00009C0C0000}"/>
    <cellStyle name="LocalFormat 2 3 4 2 2" xfId="3230" xr:uid="{00000000-0005-0000-0000-00009D0C0000}"/>
    <cellStyle name="LocalFormat 2 3 4 3" xfId="3231" xr:uid="{00000000-0005-0000-0000-00009E0C0000}"/>
    <cellStyle name="LocalFormat 2 3 5" xfId="3232" xr:uid="{00000000-0005-0000-0000-00009F0C0000}"/>
    <cellStyle name="LocalFormat 2 4" xfId="3233" xr:uid="{00000000-0005-0000-0000-0000A00C0000}"/>
    <cellStyle name="LocalFormat 2 4 2" xfId="3234" xr:uid="{00000000-0005-0000-0000-0000A10C0000}"/>
    <cellStyle name="LocalFormat 2 4 2 2" xfId="3235" xr:uid="{00000000-0005-0000-0000-0000A20C0000}"/>
    <cellStyle name="LocalFormat 2 4 2 2 2" xfId="3236" xr:uid="{00000000-0005-0000-0000-0000A30C0000}"/>
    <cellStyle name="LocalFormat 2 4 2 2 2 2" xfId="3237" xr:uid="{00000000-0005-0000-0000-0000A40C0000}"/>
    <cellStyle name="LocalFormat 2 4 2 2 3" xfId="3238" xr:uid="{00000000-0005-0000-0000-0000A50C0000}"/>
    <cellStyle name="LocalFormat 2 4 2 3" xfId="3239" xr:uid="{00000000-0005-0000-0000-0000A60C0000}"/>
    <cellStyle name="LocalFormat 2 4 2 3 2" xfId="3240" xr:uid="{00000000-0005-0000-0000-0000A70C0000}"/>
    <cellStyle name="LocalFormat 2 4 2 4" xfId="3241" xr:uid="{00000000-0005-0000-0000-0000A80C0000}"/>
    <cellStyle name="LocalFormat 2 4 3" xfId="3242" xr:uid="{00000000-0005-0000-0000-0000A90C0000}"/>
    <cellStyle name="LocalFormat 2 4 3 2" xfId="3243" xr:uid="{00000000-0005-0000-0000-0000AA0C0000}"/>
    <cellStyle name="LocalFormat 2 4 3 2 2" xfId="3244" xr:uid="{00000000-0005-0000-0000-0000AB0C0000}"/>
    <cellStyle name="LocalFormat 2 4 3 3" xfId="3245" xr:uid="{00000000-0005-0000-0000-0000AC0C0000}"/>
    <cellStyle name="LocalFormat 2 4 3 4" xfId="3246" xr:uid="{00000000-0005-0000-0000-0000AD0C0000}"/>
    <cellStyle name="LocalFormat 2 4 4" xfId="3247" xr:uid="{00000000-0005-0000-0000-0000AE0C0000}"/>
    <cellStyle name="LocalFormat 2 4 4 2" xfId="3248" xr:uid="{00000000-0005-0000-0000-0000AF0C0000}"/>
    <cellStyle name="LocalFormat 2 4 4 2 2" xfId="3249" xr:uid="{00000000-0005-0000-0000-0000B00C0000}"/>
    <cellStyle name="LocalFormat 2 4 4 3" xfId="3250" xr:uid="{00000000-0005-0000-0000-0000B10C0000}"/>
    <cellStyle name="LocalFormat 2 4 5" xfId="3251" xr:uid="{00000000-0005-0000-0000-0000B20C0000}"/>
    <cellStyle name="LocalFormat 2 4 5 2" xfId="3252" xr:uid="{00000000-0005-0000-0000-0000B30C0000}"/>
    <cellStyle name="LocalFormat 2 4 6" xfId="3253" xr:uid="{00000000-0005-0000-0000-0000B40C0000}"/>
    <cellStyle name="LocalFormat 2 5" xfId="3254" xr:uid="{00000000-0005-0000-0000-0000B50C0000}"/>
    <cellStyle name="LocalFormat 2 5 2" xfId="3255" xr:uid="{00000000-0005-0000-0000-0000B60C0000}"/>
    <cellStyle name="LocalFormat 2 5 2 2" xfId="3256" xr:uid="{00000000-0005-0000-0000-0000B70C0000}"/>
    <cellStyle name="LocalFormat 2 5 2 2 2" xfId="3257" xr:uid="{00000000-0005-0000-0000-0000B80C0000}"/>
    <cellStyle name="LocalFormat 2 5 2 2 2 2" xfId="3258" xr:uid="{00000000-0005-0000-0000-0000B90C0000}"/>
    <cellStyle name="LocalFormat 2 5 2 2 3" xfId="3259" xr:uid="{00000000-0005-0000-0000-0000BA0C0000}"/>
    <cellStyle name="LocalFormat 2 5 2 3" xfId="3260" xr:uid="{00000000-0005-0000-0000-0000BB0C0000}"/>
    <cellStyle name="LocalFormat 2 5 2 3 2" xfId="3261" xr:uid="{00000000-0005-0000-0000-0000BC0C0000}"/>
    <cellStyle name="LocalFormat 2 5 2 4" xfId="3262" xr:uid="{00000000-0005-0000-0000-0000BD0C0000}"/>
    <cellStyle name="LocalFormat 2 5 3" xfId="3263" xr:uid="{00000000-0005-0000-0000-0000BE0C0000}"/>
    <cellStyle name="LocalFormat 2 5 3 2" xfId="3264" xr:uid="{00000000-0005-0000-0000-0000BF0C0000}"/>
    <cellStyle name="LocalFormat 2 5 3 2 2" xfId="3265" xr:uid="{00000000-0005-0000-0000-0000C00C0000}"/>
    <cellStyle name="LocalFormat 2 5 3 3" xfId="3266" xr:uid="{00000000-0005-0000-0000-0000C10C0000}"/>
    <cellStyle name="LocalFormat 2 5 3 4" xfId="3267" xr:uid="{00000000-0005-0000-0000-0000C20C0000}"/>
    <cellStyle name="LocalFormat 2 5 4" xfId="3268" xr:uid="{00000000-0005-0000-0000-0000C30C0000}"/>
    <cellStyle name="LocalFormat 2 5 4 2" xfId="3269" xr:uid="{00000000-0005-0000-0000-0000C40C0000}"/>
    <cellStyle name="LocalFormat 2 5 4 2 2" xfId="3270" xr:uid="{00000000-0005-0000-0000-0000C50C0000}"/>
    <cellStyle name="LocalFormat 2 5 4 3" xfId="3271" xr:uid="{00000000-0005-0000-0000-0000C60C0000}"/>
    <cellStyle name="LocalFormat 2 5 5" xfId="3272" xr:uid="{00000000-0005-0000-0000-0000C70C0000}"/>
    <cellStyle name="LocalFormat 2 5 5 2" xfId="3273" xr:uid="{00000000-0005-0000-0000-0000C80C0000}"/>
    <cellStyle name="LocalFormat 2 5 6" xfId="3274" xr:uid="{00000000-0005-0000-0000-0000C90C0000}"/>
    <cellStyle name="LocalFormat 3" xfId="3275" xr:uid="{00000000-0005-0000-0000-0000CA0C0000}"/>
    <cellStyle name="LocalFormat 3 2" xfId="3276" xr:uid="{00000000-0005-0000-0000-0000CB0C0000}"/>
    <cellStyle name="LocalFormat 3 2 2" xfId="3277" xr:uid="{00000000-0005-0000-0000-0000CC0C0000}"/>
    <cellStyle name="LocalFormat 3 2 2 2" xfId="3278" xr:uid="{00000000-0005-0000-0000-0000CD0C0000}"/>
    <cellStyle name="LocalFormat 3 2 2 2 2" xfId="3279" xr:uid="{00000000-0005-0000-0000-0000CE0C0000}"/>
    <cellStyle name="LocalFormat 3 2 2 2 2 2" xfId="3280" xr:uid="{00000000-0005-0000-0000-0000CF0C0000}"/>
    <cellStyle name="LocalFormat 3 2 2 2 3" xfId="3281" xr:uid="{00000000-0005-0000-0000-0000D00C0000}"/>
    <cellStyle name="LocalFormat 3 2 2 3" xfId="3282" xr:uid="{00000000-0005-0000-0000-0000D10C0000}"/>
    <cellStyle name="LocalFormat 3 2 2 3 2" xfId="3283" xr:uid="{00000000-0005-0000-0000-0000D20C0000}"/>
    <cellStyle name="LocalFormat 3 2 2 4" xfId="3284" xr:uid="{00000000-0005-0000-0000-0000D30C0000}"/>
    <cellStyle name="LocalFormat 3 2 3" xfId="3285" xr:uid="{00000000-0005-0000-0000-0000D40C0000}"/>
    <cellStyle name="LocalFormat 3 2 3 2" xfId="3286" xr:uid="{00000000-0005-0000-0000-0000D50C0000}"/>
    <cellStyle name="LocalFormat 3 2 3 2 2" xfId="3287" xr:uid="{00000000-0005-0000-0000-0000D60C0000}"/>
    <cellStyle name="LocalFormat 3 2 3 3" xfId="3288" xr:uid="{00000000-0005-0000-0000-0000D70C0000}"/>
    <cellStyle name="LocalFormat 3 2 3 4" xfId="3289" xr:uid="{00000000-0005-0000-0000-0000D80C0000}"/>
    <cellStyle name="LocalFormat 3 2 4" xfId="3290" xr:uid="{00000000-0005-0000-0000-0000D90C0000}"/>
    <cellStyle name="LocalFormat 3 2 4 2" xfId="3291" xr:uid="{00000000-0005-0000-0000-0000DA0C0000}"/>
    <cellStyle name="LocalFormat 3 2 4 2 2" xfId="3292" xr:uid="{00000000-0005-0000-0000-0000DB0C0000}"/>
    <cellStyle name="LocalFormat 3 2 4 3" xfId="3293" xr:uid="{00000000-0005-0000-0000-0000DC0C0000}"/>
    <cellStyle name="LocalFormat 3 2 5" xfId="3294" xr:uid="{00000000-0005-0000-0000-0000DD0C0000}"/>
    <cellStyle name="LocalFormat 3 3" xfId="3295" xr:uid="{00000000-0005-0000-0000-0000DE0C0000}"/>
    <cellStyle name="LocalFormat 3 3 2" xfId="3296" xr:uid="{00000000-0005-0000-0000-0000DF0C0000}"/>
    <cellStyle name="LocalFormat 3 3 2 2" xfId="3297" xr:uid="{00000000-0005-0000-0000-0000E00C0000}"/>
    <cellStyle name="LocalFormat 3 3 2 2 2" xfId="3298" xr:uid="{00000000-0005-0000-0000-0000E10C0000}"/>
    <cellStyle name="LocalFormat 3 3 2 2 2 2" xfId="3299" xr:uid="{00000000-0005-0000-0000-0000E20C0000}"/>
    <cellStyle name="LocalFormat 3 3 2 2 3" xfId="3300" xr:uid="{00000000-0005-0000-0000-0000E30C0000}"/>
    <cellStyle name="LocalFormat 3 3 2 3" xfId="3301" xr:uid="{00000000-0005-0000-0000-0000E40C0000}"/>
    <cellStyle name="LocalFormat 3 3 2 3 2" xfId="3302" xr:uid="{00000000-0005-0000-0000-0000E50C0000}"/>
    <cellStyle name="LocalFormat 3 3 2 4" xfId="3303" xr:uid="{00000000-0005-0000-0000-0000E60C0000}"/>
    <cellStyle name="LocalFormat 3 3 3" xfId="3304" xr:uid="{00000000-0005-0000-0000-0000E70C0000}"/>
    <cellStyle name="LocalFormat 3 3 3 2" xfId="3305" xr:uid="{00000000-0005-0000-0000-0000E80C0000}"/>
    <cellStyle name="LocalFormat 3 3 3 2 2" xfId="3306" xr:uid="{00000000-0005-0000-0000-0000E90C0000}"/>
    <cellStyle name="LocalFormat 3 3 3 3" xfId="3307" xr:uid="{00000000-0005-0000-0000-0000EA0C0000}"/>
    <cellStyle name="LocalFormat 3 3 3 4" xfId="3308" xr:uid="{00000000-0005-0000-0000-0000EB0C0000}"/>
    <cellStyle name="LocalFormat 3 3 4" xfId="3309" xr:uid="{00000000-0005-0000-0000-0000EC0C0000}"/>
    <cellStyle name="LocalFormat 3 3 4 2" xfId="3310" xr:uid="{00000000-0005-0000-0000-0000ED0C0000}"/>
    <cellStyle name="LocalFormat 3 3 4 2 2" xfId="3311" xr:uid="{00000000-0005-0000-0000-0000EE0C0000}"/>
    <cellStyle name="LocalFormat 3 3 4 3" xfId="3312" xr:uid="{00000000-0005-0000-0000-0000EF0C0000}"/>
    <cellStyle name="LocalFormat 3 3 5" xfId="3313" xr:uid="{00000000-0005-0000-0000-0000F00C0000}"/>
    <cellStyle name="LocalFormat 3 3 5 2" xfId="3314" xr:uid="{00000000-0005-0000-0000-0000F10C0000}"/>
    <cellStyle name="LocalFormat 3 3 6" xfId="3315" xr:uid="{00000000-0005-0000-0000-0000F20C0000}"/>
    <cellStyle name="LocalFormat 3 4" xfId="3316" xr:uid="{00000000-0005-0000-0000-0000F30C0000}"/>
    <cellStyle name="LocalFormat 3 4 2" xfId="3317" xr:uid="{00000000-0005-0000-0000-0000F40C0000}"/>
    <cellStyle name="LocalFormat 3 4 2 2" xfId="3318" xr:uid="{00000000-0005-0000-0000-0000F50C0000}"/>
    <cellStyle name="LocalFormat 3 4 2 2 2" xfId="3319" xr:uid="{00000000-0005-0000-0000-0000F60C0000}"/>
    <cellStyle name="LocalFormat 3 4 2 2 2 2" xfId="3320" xr:uid="{00000000-0005-0000-0000-0000F70C0000}"/>
    <cellStyle name="LocalFormat 3 4 2 2 3" xfId="3321" xr:uid="{00000000-0005-0000-0000-0000F80C0000}"/>
    <cellStyle name="LocalFormat 3 4 2 3" xfId="3322" xr:uid="{00000000-0005-0000-0000-0000F90C0000}"/>
    <cellStyle name="LocalFormat 3 4 2 3 2" xfId="3323" xr:uid="{00000000-0005-0000-0000-0000FA0C0000}"/>
    <cellStyle name="LocalFormat 3 4 2 4" xfId="3324" xr:uid="{00000000-0005-0000-0000-0000FB0C0000}"/>
    <cellStyle name="LocalFormat 3 4 3" xfId="3325" xr:uid="{00000000-0005-0000-0000-0000FC0C0000}"/>
    <cellStyle name="LocalFormat 3 4 3 2" xfId="3326" xr:uid="{00000000-0005-0000-0000-0000FD0C0000}"/>
    <cellStyle name="LocalFormat 3 4 3 2 2" xfId="3327" xr:uid="{00000000-0005-0000-0000-0000FE0C0000}"/>
    <cellStyle name="LocalFormat 3 4 3 3" xfId="3328" xr:uid="{00000000-0005-0000-0000-0000FF0C0000}"/>
    <cellStyle name="LocalFormat 3 4 3 4" xfId="3329" xr:uid="{00000000-0005-0000-0000-0000000D0000}"/>
    <cellStyle name="LocalFormat 3 4 4" xfId="3330" xr:uid="{00000000-0005-0000-0000-0000010D0000}"/>
    <cellStyle name="LocalFormat 3 4 4 2" xfId="3331" xr:uid="{00000000-0005-0000-0000-0000020D0000}"/>
    <cellStyle name="LocalFormat 3 4 4 2 2" xfId="3332" xr:uid="{00000000-0005-0000-0000-0000030D0000}"/>
    <cellStyle name="LocalFormat 3 4 4 3" xfId="3333" xr:uid="{00000000-0005-0000-0000-0000040D0000}"/>
    <cellStyle name="LocalFormat 3 4 5" xfId="3334" xr:uid="{00000000-0005-0000-0000-0000050D0000}"/>
    <cellStyle name="LocalFormat 3 4 5 2" xfId="3335" xr:uid="{00000000-0005-0000-0000-0000060D0000}"/>
    <cellStyle name="LocalFormat 3 4 6" xfId="3336" xr:uid="{00000000-0005-0000-0000-0000070D0000}"/>
    <cellStyle name="LocalFormat 3 5" xfId="3337" xr:uid="{00000000-0005-0000-0000-0000080D0000}"/>
    <cellStyle name="LocalFormat 3 5 2" xfId="3338" xr:uid="{00000000-0005-0000-0000-0000090D0000}"/>
    <cellStyle name="LocalFormat 4" xfId="3339" xr:uid="{00000000-0005-0000-0000-00000A0D0000}"/>
    <cellStyle name="LocalFormat 4 2" xfId="3340" xr:uid="{00000000-0005-0000-0000-00000B0D0000}"/>
    <cellStyle name="LocalFormat 4 2 2" xfId="3341" xr:uid="{00000000-0005-0000-0000-00000C0D0000}"/>
    <cellStyle name="LocalFormat 4 2 2 2" xfId="3342" xr:uid="{00000000-0005-0000-0000-00000D0D0000}"/>
    <cellStyle name="LocalFormat 4 2 2 2 2" xfId="3343" xr:uid="{00000000-0005-0000-0000-00000E0D0000}"/>
    <cellStyle name="LocalFormat 4 2 2 2 2 2" xfId="3344" xr:uid="{00000000-0005-0000-0000-00000F0D0000}"/>
    <cellStyle name="LocalFormat 4 2 2 2 3" xfId="3345" xr:uid="{00000000-0005-0000-0000-0000100D0000}"/>
    <cellStyle name="LocalFormat 4 2 2 3" xfId="3346" xr:uid="{00000000-0005-0000-0000-0000110D0000}"/>
    <cellStyle name="LocalFormat 4 2 2 3 2" xfId="3347" xr:uid="{00000000-0005-0000-0000-0000120D0000}"/>
    <cellStyle name="LocalFormat 4 2 2 4" xfId="3348" xr:uid="{00000000-0005-0000-0000-0000130D0000}"/>
    <cellStyle name="LocalFormat 4 2 3" xfId="3349" xr:uid="{00000000-0005-0000-0000-0000140D0000}"/>
    <cellStyle name="LocalFormat 4 2 3 2" xfId="3350" xr:uid="{00000000-0005-0000-0000-0000150D0000}"/>
    <cellStyle name="LocalFormat 4 2 3 2 2" xfId="3351" xr:uid="{00000000-0005-0000-0000-0000160D0000}"/>
    <cellStyle name="LocalFormat 4 2 3 3" xfId="3352" xr:uid="{00000000-0005-0000-0000-0000170D0000}"/>
    <cellStyle name="LocalFormat 4 2 3 4" xfId="3353" xr:uid="{00000000-0005-0000-0000-0000180D0000}"/>
    <cellStyle name="LocalFormat 4 2 4" xfId="3354" xr:uid="{00000000-0005-0000-0000-0000190D0000}"/>
    <cellStyle name="LocalFormat 4 2 4 2" xfId="3355" xr:uid="{00000000-0005-0000-0000-00001A0D0000}"/>
    <cellStyle name="LocalFormat 4 2 4 2 2" xfId="3356" xr:uid="{00000000-0005-0000-0000-00001B0D0000}"/>
    <cellStyle name="LocalFormat 4 2 4 3" xfId="3357" xr:uid="{00000000-0005-0000-0000-00001C0D0000}"/>
    <cellStyle name="LocalFormat 4 2 5" xfId="3358" xr:uid="{00000000-0005-0000-0000-00001D0D0000}"/>
    <cellStyle name="LocalFormat 4 2 5 2" xfId="3359" xr:uid="{00000000-0005-0000-0000-00001E0D0000}"/>
    <cellStyle name="LocalFormat 4 2 6" xfId="3360" xr:uid="{00000000-0005-0000-0000-00001F0D0000}"/>
    <cellStyle name="LocalFormat 4 3" xfId="3361" xr:uid="{00000000-0005-0000-0000-0000200D0000}"/>
    <cellStyle name="LocalFormat 4 3 2" xfId="3362" xr:uid="{00000000-0005-0000-0000-0000210D0000}"/>
    <cellStyle name="LocalFormat 4 3 2 2" xfId="3363" xr:uid="{00000000-0005-0000-0000-0000220D0000}"/>
    <cellStyle name="LocalFormat 4 3 2 2 2" xfId="3364" xr:uid="{00000000-0005-0000-0000-0000230D0000}"/>
    <cellStyle name="LocalFormat 4 3 2 2 2 2" xfId="3365" xr:uid="{00000000-0005-0000-0000-0000240D0000}"/>
    <cellStyle name="LocalFormat 4 3 2 2 3" xfId="3366" xr:uid="{00000000-0005-0000-0000-0000250D0000}"/>
    <cellStyle name="LocalFormat 4 3 2 3" xfId="3367" xr:uid="{00000000-0005-0000-0000-0000260D0000}"/>
    <cellStyle name="LocalFormat 4 3 2 3 2" xfId="3368" xr:uid="{00000000-0005-0000-0000-0000270D0000}"/>
    <cellStyle name="LocalFormat 4 3 2 4" xfId="3369" xr:uid="{00000000-0005-0000-0000-0000280D0000}"/>
    <cellStyle name="LocalFormat 4 3 3" xfId="3370" xr:uid="{00000000-0005-0000-0000-0000290D0000}"/>
    <cellStyle name="LocalFormat 4 3 3 2" xfId="3371" xr:uid="{00000000-0005-0000-0000-00002A0D0000}"/>
    <cellStyle name="LocalFormat 4 3 3 2 2" xfId="3372" xr:uid="{00000000-0005-0000-0000-00002B0D0000}"/>
    <cellStyle name="LocalFormat 4 3 3 3" xfId="3373" xr:uid="{00000000-0005-0000-0000-00002C0D0000}"/>
    <cellStyle name="LocalFormat 4 3 3 4" xfId="3374" xr:uid="{00000000-0005-0000-0000-00002D0D0000}"/>
    <cellStyle name="LocalFormat 4 3 4" xfId="3375" xr:uid="{00000000-0005-0000-0000-00002E0D0000}"/>
    <cellStyle name="LocalFormat 4 3 4 2" xfId="3376" xr:uid="{00000000-0005-0000-0000-00002F0D0000}"/>
    <cellStyle name="LocalFormat 4 3 4 2 2" xfId="3377" xr:uid="{00000000-0005-0000-0000-0000300D0000}"/>
    <cellStyle name="LocalFormat 4 3 4 3" xfId="3378" xr:uid="{00000000-0005-0000-0000-0000310D0000}"/>
    <cellStyle name="LocalFormat 4 3 5" xfId="3379" xr:uid="{00000000-0005-0000-0000-0000320D0000}"/>
    <cellStyle name="LocalFormat 4 3 5 2" xfId="3380" xr:uid="{00000000-0005-0000-0000-0000330D0000}"/>
    <cellStyle name="LocalFormat 4 3 6" xfId="3381" xr:uid="{00000000-0005-0000-0000-0000340D0000}"/>
    <cellStyle name="LocalFormat 4 4" xfId="3382" xr:uid="{00000000-0005-0000-0000-0000350D0000}"/>
    <cellStyle name="LocalFormat 4 4 2" xfId="3383" xr:uid="{00000000-0005-0000-0000-0000360D0000}"/>
    <cellStyle name="LocalFormat 4 4 2 2" xfId="3384" xr:uid="{00000000-0005-0000-0000-0000370D0000}"/>
    <cellStyle name="LocalFormat 4 4 2 2 2" xfId="3385" xr:uid="{00000000-0005-0000-0000-0000380D0000}"/>
    <cellStyle name="LocalFormat 4 4 2 3" xfId="3386" xr:uid="{00000000-0005-0000-0000-0000390D0000}"/>
    <cellStyle name="LocalFormat 4 4 3" xfId="3387" xr:uid="{00000000-0005-0000-0000-00003A0D0000}"/>
    <cellStyle name="LocalFormat 4 4 3 2" xfId="3388" xr:uid="{00000000-0005-0000-0000-00003B0D0000}"/>
    <cellStyle name="LocalFormat 4 4 4" xfId="3389" xr:uid="{00000000-0005-0000-0000-00003C0D0000}"/>
    <cellStyle name="LocalFormat 4 5" xfId="3390" xr:uid="{00000000-0005-0000-0000-00003D0D0000}"/>
    <cellStyle name="LocalFormat 4 5 2" xfId="3391" xr:uid="{00000000-0005-0000-0000-00003E0D0000}"/>
    <cellStyle name="LocalFormat 4 5 2 2" xfId="3392" xr:uid="{00000000-0005-0000-0000-00003F0D0000}"/>
    <cellStyle name="LocalFormat 4 5 3" xfId="3393" xr:uid="{00000000-0005-0000-0000-0000400D0000}"/>
    <cellStyle name="LocalFormat 4 5 4" xfId="3394" xr:uid="{00000000-0005-0000-0000-0000410D0000}"/>
    <cellStyle name="LocalFormat 4 6" xfId="3395" xr:uid="{00000000-0005-0000-0000-0000420D0000}"/>
    <cellStyle name="LocalFormat 4 6 2" xfId="3396" xr:uid="{00000000-0005-0000-0000-0000430D0000}"/>
    <cellStyle name="LocalFormat 4 6 2 2" xfId="3397" xr:uid="{00000000-0005-0000-0000-0000440D0000}"/>
    <cellStyle name="LocalFormat 4 6 3" xfId="3398" xr:uid="{00000000-0005-0000-0000-0000450D0000}"/>
    <cellStyle name="LocalFormat 4 7" xfId="3399" xr:uid="{00000000-0005-0000-0000-0000460D0000}"/>
    <cellStyle name="LocalFormat 5" xfId="3400" xr:uid="{00000000-0005-0000-0000-0000470D0000}"/>
    <cellStyle name="LocalFormat 5 2" xfId="3401" xr:uid="{00000000-0005-0000-0000-0000480D0000}"/>
    <cellStyle name="LocalFormat 5 2 2" xfId="3402" xr:uid="{00000000-0005-0000-0000-0000490D0000}"/>
    <cellStyle name="LocalFormat 5 2 2 2" xfId="3403" xr:uid="{00000000-0005-0000-0000-00004A0D0000}"/>
    <cellStyle name="LocalFormat 5 2 2 2 2" xfId="3404" xr:uid="{00000000-0005-0000-0000-00004B0D0000}"/>
    <cellStyle name="LocalFormat 5 2 2 3" xfId="3405" xr:uid="{00000000-0005-0000-0000-00004C0D0000}"/>
    <cellStyle name="LocalFormat 5 2 3" xfId="3406" xr:uid="{00000000-0005-0000-0000-00004D0D0000}"/>
    <cellStyle name="LocalFormat 5 2 3 2" xfId="3407" xr:uid="{00000000-0005-0000-0000-00004E0D0000}"/>
    <cellStyle name="LocalFormat 5 2 4" xfId="3408" xr:uid="{00000000-0005-0000-0000-00004F0D0000}"/>
    <cellStyle name="LocalFormat 5 3" xfId="3409" xr:uid="{00000000-0005-0000-0000-0000500D0000}"/>
    <cellStyle name="LocalFormat 5 3 2" xfId="3410" xr:uid="{00000000-0005-0000-0000-0000510D0000}"/>
    <cellStyle name="LocalFormat 5 3 2 2" xfId="3411" xr:uid="{00000000-0005-0000-0000-0000520D0000}"/>
    <cellStyle name="LocalFormat 5 3 3" xfId="3412" xr:uid="{00000000-0005-0000-0000-0000530D0000}"/>
    <cellStyle name="LocalFormat 5 3 4" xfId="3413" xr:uid="{00000000-0005-0000-0000-0000540D0000}"/>
    <cellStyle name="LocalFormat 5 4" xfId="3414" xr:uid="{00000000-0005-0000-0000-0000550D0000}"/>
    <cellStyle name="LocalFormat 5 4 2" xfId="3415" xr:uid="{00000000-0005-0000-0000-0000560D0000}"/>
    <cellStyle name="LocalFormat 5 4 2 2" xfId="3416" xr:uid="{00000000-0005-0000-0000-0000570D0000}"/>
    <cellStyle name="LocalFormat 5 4 3" xfId="3417" xr:uid="{00000000-0005-0000-0000-0000580D0000}"/>
    <cellStyle name="LocalFormat 5 5" xfId="3418" xr:uid="{00000000-0005-0000-0000-0000590D0000}"/>
    <cellStyle name="Macro Header" xfId="3419" xr:uid="{00000000-0005-0000-0000-00005A0D0000}"/>
    <cellStyle name="Macro Text" xfId="3420" xr:uid="{00000000-0005-0000-0000-00005B0D0000}"/>
    <cellStyle name="MacroCode" xfId="3421" xr:uid="{00000000-0005-0000-0000-00005C0D0000}"/>
    <cellStyle name="Millares [0]_2AV_M_M " xfId="3422" xr:uid="{00000000-0005-0000-0000-00005D0D0000}"/>
    <cellStyle name="Millares_2AV_M_M " xfId="3423" xr:uid="{00000000-0005-0000-0000-00005E0D0000}"/>
    <cellStyle name="Milliers [0]_Open&amp;Close" xfId="3424" xr:uid="{00000000-0005-0000-0000-00005F0D0000}"/>
    <cellStyle name="Milliers_Open&amp;Close" xfId="3425" xr:uid="{00000000-0005-0000-0000-0000600D0000}"/>
    <cellStyle name="Mon?taire [0]_Open&amp;Close" xfId="3426" xr:uid="{00000000-0005-0000-0000-0000610D0000}"/>
    <cellStyle name="Mon?taire_Open&amp;Close" xfId="3427" xr:uid="{00000000-0005-0000-0000-0000620D0000}"/>
    <cellStyle name="Moneda [0]_2AV_M_M " xfId="3428" xr:uid="{00000000-0005-0000-0000-0000630D0000}"/>
    <cellStyle name="Moneda_2AV_M_M " xfId="3429" xr:uid="{00000000-0005-0000-0000-0000640D0000}"/>
    <cellStyle name="Monétaire [0]_Open&amp;Close" xfId="3430" xr:uid="{00000000-0005-0000-0000-0000650D0000}"/>
    <cellStyle name="Monétaire_Open&amp;Close" xfId="3431" xr:uid="{00000000-0005-0000-0000-0000660D0000}"/>
    <cellStyle name="Neutral 2" xfId="3432" xr:uid="{00000000-0005-0000-0000-0000670D0000}"/>
    <cellStyle name="Neutral 2 2" xfId="3433" xr:uid="{00000000-0005-0000-0000-0000680D0000}"/>
    <cellStyle name="Neutral 3" xfId="3434" xr:uid="{00000000-0005-0000-0000-0000690D0000}"/>
    <cellStyle name="Neutral 4" xfId="3435" xr:uid="{00000000-0005-0000-0000-00006A0D0000}"/>
    <cellStyle name="Normal" xfId="0" builtinId="0"/>
    <cellStyle name="Normal - Style1" xfId="3436" xr:uid="{00000000-0005-0000-0000-00006C0D0000}"/>
    <cellStyle name="Normal 10" xfId="3437" xr:uid="{00000000-0005-0000-0000-00006D0D0000}"/>
    <cellStyle name="Normal 10 2" xfId="3438" xr:uid="{00000000-0005-0000-0000-00006E0D0000}"/>
    <cellStyle name="Normal 10 2 2" xfId="3439" xr:uid="{00000000-0005-0000-0000-00006F0D0000}"/>
    <cellStyle name="Normal 10 2 2 2" xfId="3440" xr:uid="{00000000-0005-0000-0000-0000700D0000}"/>
    <cellStyle name="Normal 10 2 2 2 2" xfId="3441" xr:uid="{00000000-0005-0000-0000-0000710D0000}"/>
    <cellStyle name="Normal 10 2 2 3" xfId="3442" xr:uid="{00000000-0005-0000-0000-0000720D0000}"/>
    <cellStyle name="Normal 10 2 3" xfId="3443" xr:uid="{00000000-0005-0000-0000-0000730D0000}"/>
    <cellStyle name="Normal 10 2 3 2" xfId="3444" xr:uid="{00000000-0005-0000-0000-0000740D0000}"/>
    <cellStyle name="Normal 10 2 4" xfId="3445" xr:uid="{00000000-0005-0000-0000-0000750D0000}"/>
    <cellStyle name="Normal 10 3" xfId="3446" xr:uid="{00000000-0005-0000-0000-0000760D0000}"/>
    <cellStyle name="Normal 10 3 2" xfId="3447" xr:uid="{00000000-0005-0000-0000-0000770D0000}"/>
    <cellStyle name="Normal 10 3 2 2" xfId="3448" xr:uid="{00000000-0005-0000-0000-0000780D0000}"/>
    <cellStyle name="Normal 10 3 2 2 2" xfId="3449" xr:uid="{00000000-0005-0000-0000-0000790D0000}"/>
    <cellStyle name="Normal 10 3 2 3" xfId="3450" xr:uid="{00000000-0005-0000-0000-00007A0D0000}"/>
    <cellStyle name="Normal 10 3 3" xfId="3451" xr:uid="{00000000-0005-0000-0000-00007B0D0000}"/>
    <cellStyle name="Normal 10 3 3 2" xfId="3452" xr:uid="{00000000-0005-0000-0000-00007C0D0000}"/>
    <cellStyle name="Normal 10 3 4" xfId="3453" xr:uid="{00000000-0005-0000-0000-00007D0D0000}"/>
    <cellStyle name="Normal 10 4" xfId="3454" xr:uid="{00000000-0005-0000-0000-00007E0D0000}"/>
    <cellStyle name="Normal 10 4 2" xfId="3455" xr:uid="{00000000-0005-0000-0000-00007F0D0000}"/>
    <cellStyle name="Normal 10 4 2 2" xfId="3456" xr:uid="{00000000-0005-0000-0000-0000800D0000}"/>
    <cellStyle name="Normal 10 4 3" xfId="3457" xr:uid="{00000000-0005-0000-0000-0000810D0000}"/>
    <cellStyle name="Normal 10 5" xfId="3458" xr:uid="{00000000-0005-0000-0000-0000820D0000}"/>
    <cellStyle name="Normal 10 5 2" xfId="3459" xr:uid="{00000000-0005-0000-0000-0000830D0000}"/>
    <cellStyle name="Normal 10 6" xfId="3460" xr:uid="{00000000-0005-0000-0000-0000840D0000}"/>
    <cellStyle name="Normal 11" xfId="3461" xr:uid="{00000000-0005-0000-0000-0000850D0000}"/>
    <cellStyle name="Normal 11 2" xfId="3462" xr:uid="{00000000-0005-0000-0000-0000860D0000}"/>
    <cellStyle name="Normal 11 2 2" xfId="3463" xr:uid="{00000000-0005-0000-0000-0000870D0000}"/>
    <cellStyle name="Normal 12" xfId="3464" xr:uid="{00000000-0005-0000-0000-0000880D0000}"/>
    <cellStyle name="Normal 12 2" xfId="3465" xr:uid="{00000000-0005-0000-0000-0000890D0000}"/>
    <cellStyle name="Normal 12 2 2" xfId="3466" xr:uid="{00000000-0005-0000-0000-00008A0D0000}"/>
    <cellStyle name="Normal 13" xfId="3467" xr:uid="{00000000-0005-0000-0000-00008B0D0000}"/>
    <cellStyle name="Normal 13 2" xfId="3468" xr:uid="{00000000-0005-0000-0000-00008C0D0000}"/>
    <cellStyle name="Normal 13 2 2" xfId="3469" xr:uid="{00000000-0005-0000-0000-00008D0D0000}"/>
    <cellStyle name="Normal 13 3" xfId="3470" xr:uid="{00000000-0005-0000-0000-00008E0D0000}"/>
    <cellStyle name="Normal 13 4" xfId="3471" xr:uid="{00000000-0005-0000-0000-00008F0D0000}"/>
    <cellStyle name="Normal 14" xfId="3472" xr:uid="{00000000-0005-0000-0000-0000900D0000}"/>
    <cellStyle name="Normal 14 2" xfId="3473" xr:uid="{00000000-0005-0000-0000-0000910D0000}"/>
    <cellStyle name="Normal 14 2 2" xfId="3474" xr:uid="{00000000-0005-0000-0000-0000920D0000}"/>
    <cellStyle name="Normal 14 3" xfId="3475" xr:uid="{00000000-0005-0000-0000-0000930D0000}"/>
    <cellStyle name="Normal 14 4" xfId="3476" xr:uid="{00000000-0005-0000-0000-0000940D0000}"/>
    <cellStyle name="Normal 15" xfId="3477" xr:uid="{00000000-0005-0000-0000-0000950D0000}"/>
    <cellStyle name="Normal 15 2" xfId="3478" xr:uid="{00000000-0005-0000-0000-0000960D0000}"/>
    <cellStyle name="Normal 15 2 2" xfId="3479" xr:uid="{00000000-0005-0000-0000-0000970D0000}"/>
    <cellStyle name="Normal 15 3" xfId="3480" xr:uid="{00000000-0005-0000-0000-0000980D0000}"/>
    <cellStyle name="Normal 15 4" xfId="3481" xr:uid="{00000000-0005-0000-0000-0000990D0000}"/>
    <cellStyle name="Normal 16" xfId="3482" xr:uid="{00000000-0005-0000-0000-00009A0D0000}"/>
    <cellStyle name="Normal 16 2" xfId="3483" xr:uid="{00000000-0005-0000-0000-00009B0D0000}"/>
    <cellStyle name="Normal 17" xfId="3484" xr:uid="{00000000-0005-0000-0000-00009C0D0000}"/>
    <cellStyle name="Normal 17 2" xfId="3485" xr:uid="{00000000-0005-0000-0000-00009D0D0000}"/>
    <cellStyle name="Normal 18" xfId="3486" xr:uid="{00000000-0005-0000-0000-00009E0D0000}"/>
    <cellStyle name="Normal 18 2" xfId="3487" xr:uid="{00000000-0005-0000-0000-00009F0D0000}"/>
    <cellStyle name="Normal 19" xfId="3488" xr:uid="{00000000-0005-0000-0000-0000A00D0000}"/>
    <cellStyle name="Normal 19 2" xfId="3489" xr:uid="{00000000-0005-0000-0000-0000A10D0000}"/>
    <cellStyle name="Normal 2" xfId="3490" xr:uid="{00000000-0005-0000-0000-0000A20D0000}"/>
    <cellStyle name="Normal 2 2" xfId="3491" xr:uid="{00000000-0005-0000-0000-0000A30D0000}"/>
    <cellStyle name="Normal 2 3" xfId="3492" xr:uid="{00000000-0005-0000-0000-0000A40D0000}"/>
    <cellStyle name="Normal 20" xfId="3493" xr:uid="{00000000-0005-0000-0000-0000A50D0000}"/>
    <cellStyle name="Normal 20 2" xfId="3494" xr:uid="{00000000-0005-0000-0000-0000A60D0000}"/>
    <cellStyle name="Normal 21" xfId="3495" xr:uid="{00000000-0005-0000-0000-0000A70D0000}"/>
    <cellStyle name="Normal 21 2" xfId="3496" xr:uid="{00000000-0005-0000-0000-0000A80D0000}"/>
    <cellStyle name="Normal 22" xfId="3497" xr:uid="{00000000-0005-0000-0000-0000A90D0000}"/>
    <cellStyle name="Normal 22 2" xfId="3498" xr:uid="{00000000-0005-0000-0000-0000AA0D0000}"/>
    <cellStyle name="Normal 22 2 2" xfId="3499" xr:uid="{00000000-0005-0000-0000-0000AB0D0000}"/>
    <cellStyle name="Normal 22 3" xfId="3500" xr:uid="{00000000-0005-0000-0000-0000AC0D0000}"/>
    <cellStyle name="Normal 22 4" xfId="3501" xr:uid="{00000000-0005-0000-0000-0000AD0D0000}"/>
    <cellStyle name="Normal 23" xfId="3502" xr:uid="{00000000-0005-0000-0000-0000AE0D0000}"/>
    <cellStyle name="Normal 23 2" xfId="3503" xr:uid="{00000000-0005-0000-0000-0000AF0D0000}"/>
    <cellStyle name="Normal 24" xfId="3504" xr:uid="{00000000-0005-0000-0000-0000B00D0000}"/>
    <cellStyle name="Normal 24 2" xfId="3505" xr:uid="{00000000-0005-0000-0000-0000B10D0000}"/>
    <cellStyle name="Normal 25" xfId="3506" xr:uid="{00000000-0005-0000-0000-0000B20D0000}"/>
    <cellStyle name="Normal 25 2" xfId="3507" xr:uid="{00000000-0005-0000-0000-0000B30D0000}"/>
    <cellStyle name="Normal 25 2 2" xfId="3508" xr:uid="{00000000-0005-0000-0000-0000B40D0000}"/>
    <cellStyle name="Normal 25 3" xfId="3509" xr:uid="{00000000-0005-0000-0000-0000B50D0000}"/>
    <cellStyle name="Normal 26" xfId="3510" xr:uid="{00000000-0005-0000-0000-0000B60D0000}"/>
    <cellStyle name="Normal 26 2" xfId="3511" xr:uid="{00000000-0005-0000-0000-0000B70D0000}"/>
    <cellStyle name="Normal 26 2 2" xfId="3512" xr:uid="{00000000-0005-0000-0000-0000B80D0000}"/>
    <cellStyle name="Normal 26 3" xfId="3513" xr:uid="{00000000-0005-0000-0000-0000B90D0000}"/>
    <cellStyle name="Normal 27" xfId="3514" xr:uid="{00000000-0005-0000-0000-0000BA0D0000}"/>
    <cellStyle name="Normal 27 2" xfId="3515" xr:uid="{00000000-0005-0000-0000-0000BB0D0000}"/>
    <cellStyle name="Normal 28" xfId="3516" xr:uid="{00000000-0005-0000-0000-0000BC0D0000}"/>
    <cellStyle name="Normal 28 2" xfId="3517" xr:uid="{00000000-0005-0000-0000-0000BD0D0000}"/>
    <cellStyle name="Normal 29" xfId="3518" xr:uid="{00000000-0005-0000-0000-0000BE0D0000}"/>
    <cellStyle name="Normal 29 2" xfId="3519" xr:uid="{00000000-0005-0000-0000-0000BF0D0000}"/>
    <cellStyle name="Normal 3" xfId="3520" xr:uid="{00000000-0005-0000-0000-0000C00D0000}"/>
    <cellStyle name="Normal 3 2" xfId="3521" xr:uid="{00000000-0005-0000-0000-0000C10D0000}"/>
    <cellStyle name="Normal 3 3" xfId="3522" xr:uid="{00000000-0005-0000-0000-0000C20D0000}"/>
    <cellStyle name="Normal 3 3 2" xfId="3523" xr:uid="{00000000-0005-0000-0000-0000C30D0000}"/>
    <cellStyle name="Normal 3 3 2 2" xfId="3524" xr:uid="{00000000-0005-0000-0000-0000C40D0000}"/>
    <cellStyle name="Normal 3 3 2 2 2" xfId="3525" xr:uid="{00000000-0005-0000-0000-0000C50D0000}"/>
    <cellStyle name="Normal 3 3 2 2 2 2" xfId="3526" xr:uid="{00000000-0005-0000-0000-0000C60D0000}"/>
    <cellStyle name="Normal 3 3 2 2 3" xfId="3527" xr:uid="{00000000-0005-0000-0000-0000C70D0000}"/>
    <cellStyle name="Normal 3 3 2 3" xfId="3528" xr:uid="{00000000-0005-0000-0000-0000C80D0000}"/>
    <cellStyle name="Normal 3 3 2 3 2" xfId="3529" xr:uid="{00000000-0005-0000-0000-0000C90D0000}"/>
    <cellStyle name="Normal 3 3 2 4" xfId="3530" xr:uid="{00000000-0005-0000-0000-0000CA0D0000}"/>
    <cellStyle name="Normal 3 3 3" xfId="3531" xr:uid="{00000000-0005-0000-0000-0000CB0D0000}"/>
    <cellStyle name="Normal 3 3 3 2" xfId="3532" xr:uid="{00000000-0005-0000-0000-0000CC0D0000}"/>
    <cellStyle name="Normal 3 3 3 2 2" xfId="3533" xr:uid="{00000000-0005-0000-0000-0000CD0D0000}"/>
    <cellStyle name="Normal 3 3 3 2 2 2" xfId="3534" xr:uid="{00000000-0005-0000-0000-0000CE0D0000}"/>
    <cellStyle name="Normal 3 3 3 2 3" xfId="3535" xr:uid="{00000000-0005-0000-0000-0000CF0D0000}"/>
    <cellStyle name="Normal 3 3 3 3" xfId="3536" xr:uid="{00000000-0005-0000-0000-0000D00D0000}"/>
    <cellStyle name="Normal 3 3 3 3 2" xfId="3537" xr:uid="{00000000-0005-0000-0000-0000D10D0000}"/>
    <cellStyle name="Normal 3 3 3 4" xfId="3538" xr:uid="{00000000-0005-0000-0000-0000D20D0000}"/>
    <cellStyle name="Normal 3 3 4" xfId="3539" xr:uid="{00000000-0005-0000-0000-0000D30D0000}"/>
    <cellStyle name="Normal 3 3 4 2" xfId="3540" xr:uid="{00000000-0005-0000-0000-0000D40D0000}"/>
    <cellStyle name="Normal 3 3 4 2 2" xfId="3541" xr:uid="{00000000-0005-0000-0000-0000D50D0000}"/>
    <cellStyle name="Normal 3 3 4 3" xfId="3542" xr:uid="{00000000-0005-0000-0000-0000D60D0000}"/>
    <cellStyle name="Normal 3 3 5" xfId="3543" xr:uid="{00000000-0005-0000-0000-0000D70D0000}"/>
    <cellStyle name="Normal 3 3 5 2" xfId="3544" xr:uid="{00000000-0005-0000-0000-0000D80D0000}"/>
    <cellStyle name="Normal 3 3 6" xfId="3545" xr:uid="{00000000-0005-0000-0000-0000D90D0000}"/>
    <cellStyle name="Normal 3 4" xfId="3546" xr:uid="{00000000-0005-0000-0000-0000DA0D0000}"/>
    <cellStyle name="Normal 3 4 2" xfId="3547" xr:uid="{00000000-0005-0000-0000-0000DB0D0000}"/>
    <cellStyle name="Normal 3 4 2 2" xfId="3548" xr:uid="{00000000-0005-0000-0000-0000DC0D0000}"/>
    <cellStyle name="Normal 3 4 2 2 2" xfId="3549" xr:uid="{00000000-0005-0000-0000-0000DD0D0000}"/>
    <cellStyle name="Normal 3 4 2 2 2 2" xfId="3550" xr:uid="{00000000-0005-0000-0000-0000DE0D0000}"/>
    <cellStyle name="Normal 3 4 2 2 3" xfId="3551" xr:uid="{00000000-0005-0000-0000-0000DF0D0000}"/>
    <cellStyle name="Normal 3 4 2 3" xfId="3552" xr:uid="{00000000-0005-0000-0000-0000E00D0000}"/>
    <cellStyle name="Normal 3 4 2 3 2" xfId="3553" xr:uid="{00000000-0005-0000-0000-0000E10D0000}"/>
    <cellStyle name="Normal 3 4 2 4" xfId="3554" xr:uid="{00000000-0005-0000-0000-0000E20D0000}"/>
    <cellStyle name="Normal 3 4 3" xfId="3555" xr:uid="{00000000-0005-0000-0000-0000E30D0000}"/>
    <cellStyle name="Normal 3 4 3 2" xfId="3556" xr:uid="{00000000-0005-0000-0000-0000E40D0000}"/>
    <cellStyle name="Normal 3 4 3 2 2" xfId="3557" xr:uid="{00000000-0005-0000-0000-0000E50D0000}"/>
    <cellStyle name="Normal 3 4 3 2 2 2" xfId="3558" xr:uid="{00000000-0005-0000-0000-0000E60D0000}"/>
    <cellStyle name="Normal 3 4 3 2 3" xfId="3559" xr:uid="{00000000-0005-0000-0000-0000E70D0000}"/>
    <cellStyle name="Normal 3 4 3 3" xfId="3560" xr:uid="{00000000-0005-0000-0000-0000E80D0000}"/>
    <cellStyle name="Normal 3 4 3 3 2" xfId="3561" xr:uid="{00000000-0005-0000-0000-0000E90D0000}"/>
    <cellStyle name="Normal 3 4 3 4" xfId="3562" xr:uid="{00000000-0005-0000-0000-0000EA0D0000}"/>
    <cellStyle name="Normal 3 4 4" xfId="3563" xr:uid="{00000000-0005-0000-0000-0000EB0D0000}"/>
    <cellStyle name="Normal 3 4 4 2" xfId="3564" xr:uid="{00000000-0005-0000-0000-0000EC0D0000}"/>
    <cellStyle name="Normal 3 4 4 2 2" xfId="3565" xr:uid="{00000000-0005-0000-0000-0000ED0D0000}"/>
    <cellStyle name="Normal 3 4 4 3" xfId="3566" xr:uid="{00000000-0005-0000-0000-0000EE0D0000}"/>
    <cellStyle name="Normal 3 4 5" xfId="3567" xr:uid="{00000000-0005-0000-0000-0000EF0D0000}"/>
    <cellStyle name="Normal 3 4 5 2" xfId="3568" xr:uid="{00000000-0005-0000-0000-0000F00D0000}"/>
    <cellStyle name="Normal 3 4 6" xfId="3569" xr:uid="{00000000-0005-0000-0000-0000F10D0000}"/>
    <cellStyle name="Normal 3 5" xfId="3570" xr:uid="{00000000-0005-0000-0000-0000F20D0000}"/>
    <cellStyle name="Normal 30" xfId="3571" xr:uid="{00000000-0005-0000-0000-0000F30D0000}"/>
    <cellStyle name="Normal 30 2" xfId="3572" xr:uid="{00000000-0005-0000-0000-0000F40D0000}"/>
    <cellStyle name="Normal 30 2 2" xfId="3573" xr:uid="{00000000-0005-0000-0000-0000F50D0000}"/>
    <cellStyle name="Normal 30 3" xfId="3574" xr:uid="{00000000-0005-0000-0000-0000F60D0000}"/>
    <cellStyle name="Normal 31" xfId="3575" xr:uid="{00000000-0005-0000-0000-0000F70D0000}"/>
    <cellStyle name="Normal 31 2" xfId="3576" xr:uid="{00000000-0005-0000-0000-0000F80D0000}"/>
    <cellStyle name="Normal 32" xfId="3577" xr:uid="{00000000-0005-0000-0000-0000F90D0000}"/>
    <cellStyle name="Normal 32 2" xfId="3578" xr:uid="{00000000-0005-0000-0000-0000FA0D0000}"/>
    <cellStyle name="Normal 33" xfId="3579" xr:uid="{00000000-0005-0000-0000-0000FB0D0000}"/>
    <cellStyle name="Normal 33 2" xfId="3580" xr:uid="{00000000-0005-0000-0000-0000FC0D0000}"/>
    <cellStyle name="Normal 34" xfId="3581" xr:uid="{00000000-0005-0000-0000-0000FD0D0000}"/>
    <cellStyle name="Normal 34 2" xfId="3582" xr:uid="{00000000-0005-0000-0000-0000FE0D0000}"/>
    <cellStyle name="Normal 35" xfId="3583" xr:uid="{00000000-0005-0000-0000-0000FF0D0000}"/>
    <cellStyle name="Normal 35 2" xfId="3584" xr:uid="{00000000-0005-0000-0000-0000000E0000}"/>
    <cellStyle name="Normal 36" xfId="3585" xr:uid="{00000000-0005-0000-0000-0000010E0000}"/>
    <cellStyle name="Normal 36 2" xfId="3586" xr:uid="{00000000-0005-0000-0000-0000020E0000}"/>
    <cellStyle name="Normal 37" xfId="3587" xr:uid="{00000000-0005-0000-0000-0000030E0000}"/>
    <cellStyle name="Normal 37 2" xfId="3588" xr:uid="{00000000-0005-0000-0000-0000040E0000}"/>
    <cellStyle name="Normal 38" xfId="3589" xr:uid="{00000000-0005-0000-0000-0000050E0000}"/>
    <cellStyle name="Normal 38 2" xfId="3590" xr:uid="{00000000-0005-0000-0000-0000060E0000}"/>
    <cellStyle name="Normal 39" xfId="3591" xr:uid="{00000000-0005-0000-0000-0000070E0000}"/>
    <cellStyle name="Normal 39 2" xfId="3592" xr:uid="{00000000-0005-0000-0000-0000080E0000}"/>
    <cellStyle name="Normal 4" xfId="3593" xr:uid="{00000000-0005-0000-0000-0000090E0000}"/>
    <cellStyle name="Normal 4 2" xfId="3594" xr:uid="{00000000-0005-0000-0000-00000A0E0000}"/>
    <cellStyle name="Normal 4 3" xfId="3595" xr:uid="{00000000-0005-0000-0000-00000B0E0000}"/>
    <cellStyle name="Normal 40" xfId="3596" xr:uid="{00000000-0005-0000-0000-00000C0E0000}"/>
    <cellStyle name="Normal 40 2" xfId="3597" xr:uid="{00000000-0005-0000-0000-00000D0E0000}"/>
    <cellStyle name="Normal 41" xfId="3598" xr:uid="{00000000-0005-0000-0000-00000E0E0000}"/>
    <cellStyle name="Normal 41 2" xfId="3599" xr:uid="{00000000-0005-0000-0000-00000F0E0000}"/>
    <cellStyle name="Normal 41 2 2" xfId="3600" xr:uid="{00000000-0005-0000-0000-0000100E0000}"/>
    <cellStyle name="Normal 41 3" xfId="3601" xr:uid="{00000000-0005-0000-0000-0000110E0000}"/>
    <cellStyle name="Normal 42" xfId="3602" xr:uid="{00000000-0005-0000-0000-0000120E0000}"/>
    <cellStyle name="Normal 42 2" xfId="3603" xr:uid="{00000000-0005-0000-0000-0000130E0000}"/>
    <cellStyle name="Normal 42 2 2" xfId="3604" xr:uid="{00000000-0005-0000-0000-0000140E0000}"/>
    <cellStyle name="Normal 42 3" xfId="3605" xr:uid="{00000000-0005-0000-0000-0000150E0000}"/>
    <cellStyle name="Normal 43" xfId="3606" xr:uid="{00000000-0005-0000-0000-0000160E0000}"/>
    <cellStyle name="Normal 43 2" xfId="3607" xr:uid="{00000000-0005-0000-0000-0000170E0000}"/>
    <cellStyle name="Normal 44" xfId="3608" xr:uid="{00000000-0005-0000-0000-0000180E0000}"/>
    <cellStyle name="Normal 44 2" xfId="3609" xr:uid="{00000000-0005-0000-0000-0000190E0000}"/>
    <cellStyle name="Normal 45" xfId="3610" xr:uid="{00000000-0005-0000-0000-00001A0E0000}"/>
    <cellStyle name="Normal 45 2" xfId="3611" xr:uid="{00000000-0005-0000-0000-00001B0E0000}"/>
    <cellStyle name="Normal 46" xfId="3612" xr:uid="{00000000-0005-0000-0000-00001C0E0000}"/>
    <cellStyle name="Normal 47" xfId="3613" xr:uid="{00000000-0005-0000-0000-00001D0E0000}"/>
    <cellStyle name="Normal 48" xfId="3614" xr:uid="{00000000-0005-0000-0000-00001E0E0000}"/>
    <cellStyle name="Normal 49" xfId="3615" xr:uid="{00000000-0005-0000-0000-00001F0E0000}"/>
    <cellStyle name="Normal 49 2" xfId="3616" xr:uid="{00000000-0005-0000-0000-0000200E0000}"/>
    <cellStyle name="Normal 5" xfId="3617" xr:uid="{00000000-0005-0000-0000-0000210E0000}"/>
    <cellStyle name="Normal 5 2" xfId="3618" xr:uid="{00000000-0005-0000-0000-0000220E0000}"/>
    <cellStyle name="Normal 5 3" xfId="3619" xr:uid="{00000000-0005-0000-0000-0000230E0000}"/>
    <cellStyle name="Normal 50" xfId="3620" xr:uid="{00000000-0005-0000-0000-0000240E0000}"/>
    <cellStyle name="Normal 50 2" xfId="3621" xr:uid="{00000000-0005-0000-0000-0000250E0000}"/>
    <cellStyle name="Normal 51" xfId="3622" xr:uid="{00000000-0005-0000-0000-0000260E0000}"/>
    <cellStyle name="Normal 51 2" xfId="3623" xr:uid="{00000000-0005-0000-0000-0000270E0000}"/>
    <cellStyle name="Normal 52" xfId="3624" xr:uid="{00000000-0005-0000-0000-0000280E0000}"/>
    <cellStyle name="Normal 52 2" xfId="3625" xr:uid="{00000000-0005-0000-0000-0000290E0000}"/>
    <cellStyle name="Normal 53" xfId="3626" xr:uid="{00000000-0005-0000-0000-00002A0E0000}"/>
    <cellStyle name="Normal 53 2" xfId="3627" xr:uid="{00000000-0005-0000-0000-00002B0E0000}"/>
    <cellStyle name="Normal 54" xfId="3628" xr:uid="{00000000-0005-0000-0000-00002C0E0000}"/>
    <cellStyle name="Normal 54 2" xfId="3629" xr:uid="{00000000-0005-0000-0000-00002D0E0000}"/>
    <cellStyle name="Normal 55" xfId="3630" xr:uid="{00000000-0005-0000-0000-00002E0E0000}"/>
    <cellStyle name="Normal 55 2" xfId="3631" xr:uid="{00000000-0005-0000-0000-00002F0E0000}"/>
    <cellStyle name="Normal 56" xfId="3632" xr:uid="{00000000-0005-0000-0000-0000300E0000}"/>
    <cellStyle name="Normal 56 2" xfId="3633" xr:uid="{00000000-0005-0000-0000-0000310E0000}"/>
    <cellStyle name="Normal 57" xfId="3634" xr:uid="{00000000-0005-0000-0000-0000320E0000}"/>
    <cellStyle name="Normal 57 2" xfId="3635" xr:uid="{00000000-0005-0000-0000-0000330E0000}"/>
    <cellStyle name="Normal 58" xfId="3636" xr:uid="{00000000-0005-0000-0000-0000340E0000}"/>
    <cellStyle name="Normal 59" xfId="3637" xr:uid="{00000000-0005-0000-0000-0000350E0000}"/>
    <cellStyle name="Normal 6" xfId="3638" xr:uid="{00000000-0005-0000-0000-0000360E0000}"/>
    <cellStyle name="Normal 60" xfId="3639" xr:uid="{00000000-0005-0000-0000-0000370E0000}"/>
    <cellStyle name="Normal 61" xfId="3640" xr:uid="{00000000-0005-0000-0000-0000380E0000}"/>
    <cellStyle name="Normal 62" xfId="3641" xr:uid="{00000000-0005-0000-0000-0000390E0000}"/>
    <cellStyle name="Normal 63" xfId="3642" xr:uid="{00000000-0005-0000-0000-00003A0E0000}"/>
    <cellStyle name="Normal 64" xfId="3643" xr:uid="{00000000-0005-0000-0000-00003B0E0000}"/>
    <cellStyle name="Normal 65" xfId="3644" xr:uid="{00000000-0005-0000-0000-00003C0E0000}"/>
    <cellStyle name="Normal 66" xfId="3645" xr:uid="{00000000-0005-0000-0000-00003D0E0000}"/>
    <cellStyle name="Normal 67" xfId="3646" xr:uid="{00000000-0005-0000-0000-00003E0E0000}"/>
    <cellStyle name="Normal 68" xfId="3647" xr:uid="{00000000-0005-0000-0000-00003F0E0000}"/>
    <cellStyle name="Normal 7" xfId="3648" xr:uid="{00000000-0005-0000-0000-0000400E0000}"/>
    <cellStyle name="Normal 8" xfId="3649" xr:uid="{00000000-0005-0000-0000-0000410E0000}"/>
    <cellStyle name="Normal 9" xfId="3650" xr:uid="{00000000-0005-0000-0000-0000420E0000}"/>
    <cellStyle name="Normal 9 2" xfId="3651" xr:uid="{00000000-0005-0000-0000-0000430E0000}"/>
    <cellStyle name="Normal 9 2 2" xfId="3652" xr:uid="{00000000-0005-0000-0000-0000440E0000}"/>
    <cellStyle name="Normal 9 2 2 2" xfId="3653" xr:uid="{00000000-0005-0000-0000-0000450E0000}"/>
    <cellStyle name="Normal 9 2 2 2 2" xfId="3654" xr:uid="{00000000-0005-0000-0000-0000460E0000}"/>
    <cellStyle name="Normal 9 2 2 3" xfId="3655" xr:uid="{00000000-0005-0000-0000-0000470E0000}"/>
    <cellStyle name="Normal 9 2 3" xfId="3656" xr:uid="{00000000-0005-0000-0000-0000480E0000}"/>
    <cellStyle name="Normal 9 2 3 2" xfId="3657" xr:uid="{00000000-0005-0000-0000-0000490E0000}"/>
    <cellStyle name="Normal 9 2 4" xfId="3658" xr:uid="{00000000-0005-0000-0000-00004A0E0000}"/>
    <cellStyle name="Normal 9 3" xfId="3659" xr:uid="{00000000-0005-0000-0000-00004B0E0000}"/>
    <cellStyle name="Normal 9 3 2" xfId="3660" xr:uid="{00000000-0005-0000-0000-00004C0E0000}"/>
    <cellStyle name="Normal 9 3 2 2" xfId="3661" xr:uid="{00000000-0005-0000-0000-00004D0E0000}"/>
    <cellStyle name="Normal 9 3 2 2 2" xfId="3662" xr:uid="{00000000-0005-0000-0000-00004E0E0000}"/>
    <cellStyle name="Normal 9 3 2 3" xfId="3663" xr:uid="{00000000-0005-0000-0000-00004F0E0000}"/>
    <cellStyle name="Normal 9 3 3" xfId="3664" xr:uid="{00000000-0005-0000-0000-0000500E0000}"/>
    <cellStyle name="Normal 9 3 3 2" xfId="3665" xr:uid="{00000000-0005-0000-0000-0000510E0000}"/>
    <cellStyle name="Normal 9 3 4" xfId="3666" xr:uid="{00000000-0005-0000-0000-0000520E0000}"/>
    <cellStyle name="Normal 9 4" xfId="3667" xr:uid="{00000000-0005-0000-0000-0000530E0000}"/>
    <cellStyle name="Normal 9 4 2" xfId="3668" xr:uid="{00000000-0005-0000-0000-0000540E0000}"/>
    <cellStyle name="Normal 9 4 2 2" xfId="3669" xr:uid="{00000000-0005-0000-0000-0000550E0000}"/>
    <cellStyle name="Normal 9 4 3" xfId="3670" xr:uid="{00000000-0005-0000-0000-0000560E0000}"/>
    <cellStyle name="Normal 9 5" xfId="3671" xr:uid="{00000000-0005-0000-0000-0000570E0000}"/>
    <cellStyle name="Normal 9 5 2" xfId="3672" xr:uid="{00000000-0005-0000-0000-0000580E0000}"/>
    <cellStyle name="Normal 9 6" xfId="3673" xr:uid="{00000000-0005-0000-0000-0000590E0000}"/>
    <cellStyle name="Note 2" xfId="3674" xr:uid="{00000000-0005-0000-0000-00005A0E0000}"/>
    <cellStyle name="Note 2 2" xfId="3675" xr:uid="{00000000-0005-0000-0000-00005B0E0000}"/>
    <cellStyle name="Note 2 2 2" xfId="3676" xr:uid="{00000000-0005-0000-0000-00005C0E0000}"/>
    <cellStyle name="Note 2 2 2 2" xfId="3677" xr:uid="{00000000-0005-0000-0000-00005D0E0000}"/>
    <cellStyle name="Note 2 2 2 2 2" xfId="3678" xr:uid="{00000000-0005-0000-0000-00005E0E0000}"/>
    <cellStyle name="Note 2 2 2 2 2 2" xfId="3679" xr:uid="{00000000-0005-0000-0000-00005F0E0000}"/>
    <cellStyle name="Note 2 2 2 2 2 2 2" xfId="3680" xr:uid="{00000000-0005-0000-0000-0000600E0000}"/>
    <cellStyle name="Note 2 2 2 2 2 2 2 2" xfId="3681" xr:uid="{00000000-0005-0000-0000-0000610E0000}"/>
    <cellStyle name="Note 2 2 2 2 2 2 2 2 2" xfId="3682" xr:uid="{00000000-0005-0000-0000-0000620E0000}"/>
    <cellStyle name="Note 2 2 2 2 2 2 2 3" xfId="3683" xr:uid="{00000000-0005-0000-0000-0000630E0000}"/>
    <cellStyle name="Note 2 2 2 2 2 2 3" xfId="3684" xr:uid="{00000000-0005-0000-0000-0000640E0000}"/>
    <cellStyle name="Note 2 2 2 2 2 2 3 2" xfId="3685" xr:uid="{00000000-0005-0000-0000-0000650E0000}"/>
    <cellStyle name="Note 2 2 2 2 2 2 4" xfId="3686" xr:uid="{00000000-0005-0000-0000-0000660E0000}"/>
    <cellStyle name="Note 2 2 2 2 2 3" xfId="3687" xr:uid="{00000000-0005-0000-0000-0000670E0000}"/>
    <cellStyle name="Note 2 2 2 2 2 3 2" xfId="3688" xr:uid="{00000000-0005-0000-0000-0000680E0000}"/>
    <cellStyle name="Note 2 2 2 2 2 3 2 2" xfId="3689" xr:uid="{00000000-0005-0000-0000-0000690E0000}"/>
    <cellStyle name="Note 2 2 2 2 2 3 3" xfId="3690" xr:uid="{00000000-0005-0000-0000-00006A0E0000}"/>
    <cellStyle name="Note 2 2 2 2 2 3 4" xfId="3691" xr:uid="{00000000-0005-0000-0000-00006B0E0000}"/>
    <cellStyle name="Note 2 2 2 2 2 4" xfId="3692" xr:uid="{00000000-0005-0000-0000-00006C0E0000}"/>
    <cellStyle name="Note 2 2 2 2 2 4 2" xfId="3693" xr:uid="{00000000-0005-0000-0000-00006D0E0000}"/>
    <cellStyle name="Note 2 2 2 2 2 4 2 2" xfId="3694" xr:uid="{00000000-0005-0000-0000-00006E0E0000}"/>
    <cellStyle name="Note 2 2 2 2 2 4 3" xfId="3695" xr:uid="{00000000-0005-0000-0000-00006F0E0000}"/>
    <cellStyle name="Note 2 2 2 2 2 5" xfId="3696" xr:uid="{00000000-0005-0000-0000-0000700E0000}"/>
    <cellStyle name="Note 2 2 2 2 3" xfId="3697" xr:uid="{00000000-0005-0000-0000-0000710E0000}"/>
    <cellStyle name="Note 2 2 2 2 3 2" xfId="3698" xr:uid="{00000000-0005-0000-0000-0000720E0000}"/>
    <cellStyle name="Note 2 2 2 2 3 2 2" xfId="3699" xr:uid="{00000000-0005-0000-0000-0000730E0000}"/>
    <cellStyle name="Note 2 2 2 2 3 2 2 2" xfId="3700" xr:uid="{00000000-0005-0000-0000-0000740E0000}"/>
    <cellStyle name="Note 2 2 2 2 3 2 2 2 2" xfId="3701" xr:uid="{00000000-0005-0000-0000-0000750E0000}"/>
    <cellStyle name="Note 2 2 2 2 3 2 2 3" xfId="3702" xr:uid="{00000000-0005-0000-0000-0000760E0000}"/>
    <cellStyle name="Note 2 2 2 2 3 2 3" xfId="3703" xr:uid="{00000000-0005-0000-0000-0000770E0000}"/>
    <cellStyle name="Note 2 2 2 2 3 2 3 2" xfId="3704" xr:uid="{00000000-0005-0000-0000-0000780E0000}"/>
    <cellStyle name="Note 2 2 2 2 3 2 4" xfId="3705" xr:uid="{00000000-0005-0000-0000-0000790E0000}"/>
    <cellStyle name="Note 2 2 2 2 3 3" xfId="3706" xr:uid="{00000000-0005-0000-0000-00007A0E0000}"/>
    <cellStyle name="Note 2 2 2 2 3 3 2" xfId="3707" xr:uid="{00000000-0005-0000-0000-00007B0E0000}"/>
    <cellStyle name="Note 2 2 2 2 3 3 2 2" xfId="3708" xr:uid="{00000000-0005-0000-0000-00007C0E0000}"/>
    <cellStyle name="Note 2 2 2 2 3 3 3" xfId="3709" xr:uid="{00000000-0005-0000-0000-00007D0E0000}"/>
    <cellStyle name="Note 2 2 2 2 3 3 4" xfId="3710" xr:uid="{00000000-0005-0000-0000-00007E0E0000}"/>
    <cellStyle name="Note 2 2 2 2 3 4" xfId="3711" xr:uid="{00000000-0005-0000-0000-00007F0E0000}"/>
    <cellStyle name="Note 2 2 2 2 3 4 2" xfId="3712" xr:uid="{00000000-0005-0000-0000-0000800E0000}"/>
    <cellStyle name="Note 2 2 2 2 3 4 2 2" xfId="3713" xr:uid="{00000000-0005-0000-0000-0000810E0000}"/>
    <cellStyle name="Note 2 2 2 2 3 4 3" xfId="3714" xr:uid="{00000000-0005-0000-0000-0000820E0000}"/>
    <cellStyle name="Note 2 2 2 2 3 5" xfId="3715" xr:uid="{00000000-0005-0000-0000-0000830E0000}"/>
    <cellStyle name="Note 2 2 2 2 3 5 2" xfId="3716" xr:uid="{00000000-0005-0000-0000-0000840E0000}"/>
    <cellStyle name="Note 2 2 2 2 3 6" xfId="3717" xr:uid="{00000000-0005-0000-0000-0000850E0000}"/>
    <cellStyle name="Note 2 2 2 2 4" xfId="3718" xr:uid="{00000000-0005-0000-0000-0000860E0000}"/>
    <cellStyle name="Note 2 2 2 2 4 2" xfId="3719" xr:uid="{00000000-0005-0000-0000-0000870E0000}"/>
    <cellStyle name="Note 2 2 2 2 4 2 2" xfId="3720" xr:uid="{00000000-0005-0000-0000-0000880E0000}"/>
    <cellStyle name="Note 2 2 2 2 4 2 2 2" xfId="3721" xr:uid="{00000000-0005-0000-0000-0000890E0000}"/>
    <cellStyle name="Note 2 2 2 2 4 2 2 2 2" xfId="3722" xr:uid="{00000000-0005-0000-0000-00008A0E0000}"/>
    <cellStyle name="Note 2 2 2 2 4 2 2 3" xfId="3723" xr:uid="{00000000-0005-0000-0000-00008B0E0000}"/>
    <cellStyle name="Note 2 2 2 2 4 2 3" xfId="3724" xr:uid="{00000000-0005-0000-0000-00008C0E0000}"/>
    <cellStyle name="Note 2 2 2 2 4 2 3 2" xfId="3725" xr:uid="{00000000-0005-0000-0000-00008D0E0000}"/>
    <cellStyle name="Note 2 2 2 2 4 2 4" xfId="3726" xr:uid="{00000000-0005-0000-0000-00008E0E0000}"/>
    <cellStyle name="Note 2 2 2 2 4 3" xfId="3727" xr:uid="{00000000-0005-0000-0000-00008F0E0000}"/>
    <cellStyle name="Note 2 2 2 2 4 3 2" xfId="3728" xr:uid="{00000000-0005-0000-0000-0000900E0000}"/>
    <cellStyle name="Note 2 2 2 2 4 3 2 2" xfId="3729" xr:uid="{00000000-0005-0000-0000-0000910E0000}"/>
    <cellStyle name="Note 2 2 2 2 4 3 3" xfId="3730" xr:uid="{00000000-0005-0000-0000-0000920E0000}"/>
    <cellStyle name="Note 2 2 2 2 4 3 4" xfId="3731" xr:uid="{00000000-0005-0000-0000-0000930E0000}"/>
    <cellStyle name="Note 2 2 2 2 4 4" xfId="3732" xr:uid="{00000000-0005-0000-0000-0000940E0000}"/>
    <cellStyle name="Note 2 2 2 2 4 4 2" xfId="3733" xr:uid="{00000000-0005-0000-0000-0000950E0000}"/>
    <cellStyle name="Note 2 2 2 2 4 4 2 2" xfId="3734" xr:uid="{00000000-0005-0000-0000-0000960E0000}"/>
    <cellStyle name="Note 2 2 2 2 4 4 3" xfId="3735" xr:uid="{00000000-0005-0000-0000-0000970E0000}"/>
    <cellStyle name="Note 2 2 2 2 4 5" xfId="3736" xr:uid="{00000000-0005-0000-0000-0000980E0000}"/>
    <cellStyle name="Note 2 2 2 2 4 5 2" xfId="3737" xr:uid="{00000000-0005-0000-0000-0000990E0000}"/>
    <cellStyle name="Note 2 2 2 2 4 6" xfId="3738" xr:uid="{00000000-0005-0000-0000-00009A0E0000}"/>
    <cellStyle name="Note 2 2 2 2 5" xfId="3739" xr:uid="{00000000-0005-0000-0000-00009B0E0000}"/>
    <cellStyle name="Note 2 2 2 2 5 2" xfId="3740" xr:uid="{00000000-0005-0000-0000-00009C0E0000}"/>
    <cellStyle name="Note 2 2 2 3" xfId="3741" xr:uid="{00000000-0005-0000-0000-00009D0E0000}"/>
    <cellStyle name="Note 2 2 2 3 2" xfId="3742" xr:uid="{00000000-0005-0000-0000-00009E0E0000}"/>
    <cellStyle name="Note 2 2 2 3 2 2" xfId="3743" xr:uid="{00000000-0005-0000-0000-00009F0E0000}"/>
    <cellStyle name="Note 2 2 2 3 2 2 2" xfId="3744" xr:uid="{00000000-0005-0000-0000-0000A00E0000}"/>
    <cellStyle name="Note 2 2 2 3 2 2 2 2" xfId="3745" xr:uid="{00000000-0005-0000-0000-0000A10E0000}"/>
    <cellStyle name="Note 2 2 2 3 2 2 3" xfId="3746" xr:uid="{00000000-0005-0000-0000-0000A20E0000}"/>
    <cellStyle name="Note 2 2 2 3 2 3" xfId="3747" xr:uid="{00000000-0005-0000-0000-0000A30E0000}"/>
    <cellStyle name="Note 2 2 2 3 2 3 2" xfId="3748" xr:uid="{00000000-0005-0000-0000-0000A40E0000}"/>
    <cellStyle name="Note 2 2 2 3 2 4" xfId="3749" xr:uid="{00000000-0005-0000-0000-0000A50E0000}"/>
    <cellStyle name="Note 2 2 2 3 3" xfId="3750" xr:uid="{00000000-0005-0000-0000-0000A60E0000}"/>
    <cellStyle name="Note 2 2 2 3 3 2" xfId="3751" xr:uid="{00000000-0005-0000-0000-0000A70E0000}"/>
    <cellStyle name="Note 2 2 2 3 3 2 2" xfId="3752" xr:uid="{00000000-0005-0000-0000-0000A80E0000}"/>
    <cellStyle name="Note 2 2 2 3 3 3" xfId="3753" xr:uid="{00000000-0005-0000-0000-0000A90E0000}"/>
    <cellStyle name="Note 2 2 2 3 3 4" xfId="3754" xr:uid="{00000000-0005-0000-0000-0000AA0E0000}"/>
    <cellStyle name="Note 2 2 2 3 4" xfId="3755" xr:uid="{00000000-0005-0000-0000-0000AB0E0000}"/>
    <cellStyle name="Note 2 2 2 3 4 2" xfId="3756" xr:uid="{00000000-0005-0000-0000-0000AC0E0000}"/>
    <cellStyle name="Note 2 2 2 3 4 2 2" xfId="3757" xr:uid="{00000000-0005-0000-0000-0000AD0E0000}"/>
    <cellStyle name="Note 2 2 2 3 4 3" xfId="3758" xr:uid="{00000000-0005-0000-0000-0000AE0E0000}"/>
    <cellStyle name="Note 2 2 2 3 5" xfId="3759" xr:uid="{00000000-0005-0000-0000-0000AF0E0000}"/>
    <cellStyle name="Note 2 2 2 4" xfId="3760" xr:uid="{00000000-0005-0000-0000-0000B00E0000}"/>
    <cellStyle name="Note 2 2 2 4 2" xfId="3761" xr:uid="{00000000-0005-0000-0000-0000B10E0000}"/>
    <cellStyle name="Note 2 2 2 4 2 2" xfId="3762" xr:uid="{00000000-0005-0000-0000-0000B20E0000}"/>
    <cellStyle name="Note 2 2 2 4 2 2 2" xfId="3763" xr:uid="{00000000-0005-0000-0000-0000B30E0000}"/>
    <cellStyle name="Note 2 2 2 4 2 2 2 2" xfId="3764" xr:uid="{00000000-0005-0000-0000-0000B40E0000}"/>
    <cellStyle name="Note 2 2 2 4 2 2 3" xfId="3765" xr:uid="{00000000-0005-0000-0000-0000B50E0000}"/>
    <cellStyle name="Note 2 2 2 4 2 3" xfId="3766" xr:uid="{00000000-0005-0000-0000-0000B60E0000}"/>
    <cellStyle name="Note 2 2 2 4 2 3 2" xfId="3767" xr:uid="{00000000-0005-0000-0000-0000B70E0000}"/>
    <cellStyle name="Note 2 2 2 4 2 4" xfId="3768" xr:uid="{00000000-0005-0000-0000-0000B80E0000}"/>
    <cellStyle name="Note 2 2 2 4 3" xfId="3769" xr:uid="{00000000-0005-0000-0000-0000B90E0000}"/>
    <cellStyle name="Note 2 2 2 4 3 2" xfId="3770" xr:uid="{00000000-0005-0000-0000-0000BA0E0000}"/>
    <cellStyle name="Note 2 2 2 4 3 2 2" xfId="3771" xr:uid="{00000000-0005-0000-0000-0000BB0E0000}"/>
    <cellStyle name="Note 2 2 2 4 3 3" xfId="3772" xr:uid="{00000000-0005-0000-0000-0000BC0E0000}"/>
    <cellStyle name="Note 2 2 2 4 3 4" xfId="3773" xr:uid="{00000000-0005-0000-0000-0000BD0E0000}"/>
    <cellStyle name="Note 2 2 2 4 4" xfId="3774" xr:uid="{00000000-0005-0000-0000-0000BE0E0000}"/>
    <cellStyle name="Note 2 2 2 4 4 2" xfId="3775" xr:uid="{00000000-0005-0000-0000-0000BF0E0000}"/>
    <cellStyle name="Note 2 2 2 4 4 2 2" xfId="3776" xr:uid="{00000000-0005-0000-0000-0000C00E0000}"/>
    <cellStyle name="Note 2 2 2 4 4 3" xfId="3777" xr:uid="{00000000-0005-0000-0000-0000C10E0000}"/>
    <cellStyle name="Note 2 2 2 4 5" xfId="3778" xr:uid="{00000000-0005-0000-0000-0000C20E0000}"/>
    <cellStyle name="Note 2 2 2 4 5 2" xfId="3779" xr:uid="{00000000-0005-0000-0000-0000C30E0000}"/>
    <cellStyle name="Note 2 2 2 4 6" xfId="3780" xr:uid="{00000000-0005-0000-0000-0000C40E0000}"/>
    <cellStyle name="Note 2 2 2 5" xfId="3781" xr:uid="{00000000-0005-0000-0000-0000C50E0000}"/>
    <cellStyle name="Note 2 2 2 5 2" xfId="3782" xr:uid="{00000000-0005-0000-0000-0000C60E0000}"/>
    <cellStyle name="Note 2 2 2 5 2 2" xfId="3783" xr:uid="{00000000-0005-0000-0000-0000C70E0000}"/>
    <cellStyle name="Note 2 2 2 5 2 2 2" xfId="3784" xr:uid="{00000000-0005-0000-0000-0000C80E0000}"/>
    <cellStyle name="Note 2 2 2 5 2 2 2 2" xfId="3785" xr:uid="{00000000-0005-0000-0000-0000C90E0000}"/>
    <cellStyle name="Note 2 2 2 5 2 2 3" xfId="3786" xr:uid="{00000000-0005-0000-0000-0000CA0E0000}"/>
    <cellStyle name="Note 2 2 2 5 2 3" xfId="3787" xr:uid="{00000000-0005-0000-0000-0000CB0E0000}"/>
    <cellStyle name="Note 2 2 2 5 2 3 2" xfId="3788" xr:uid="{00000000-0005-0000-0000-0000CC0E0000}"/>
    <cellStyle name="Note 2 2 2 5 2 4" xfId="3789" xr:uid="{00000000-0005-0000-0000-0000CD0E0000}"/>
    <cellStyle name="Note 2 2 2 5 3" xfId="3790" xr:uid="{00000000-0005-0000-0000-0000CE0E0000}"/>
    <cellStyle name="Note 2 2 2 5 3 2" xfId="3791" xr:uid="{00000000-0005-0000-0000-0000CF0E0000}"/>
    <cellStyle name="Note 2 2 2 5 3 2 2" xfId="3792" xr:uid="{00000000-0005-0000-0000-0000D00E0000}"/>
    <cellStyle name="Note 2 2 2 5 3 3" xfId="3793" xr:uid="{00000000-0005-0000-0000-0000D10E0000}"/>
    <cellStyle name="Note 2 2 2 5 3 4" xfId="3794" xr:uid="{00000000-0005-0000-0000-0000D20E0000}"/>
    <cellStyle name="Note 2 2 2 5 4" xfId="3795" xr:uid="{00000000-0005-0000-0000-0000D30E0000}"/>
    <cellStyle name="Note 2 2 2 5 4 2" xfId="3796" xr:uid="{00000000-0005-0000-0000-0000D40E0000}"/>
    <cellStyle name="Note 2 2 2 5 4 2 2" xfId="3797" xr:uid="{00000000-0005-0000-0000-0000D50E0000}"/>
    <cellStyle name="Note 2 2 2 5 4 3" xfId="3798" xr:uid="{00000000-0005-0000-0000-0000D60E0000}"/>
    <cellStyle name="Note 2 2 2 5 5" xfId="3799" xr:uid="{00000000-0005-0000-0000-0000D70E0000}"/>
    <cellStyle name="Note 2 2 2 5 5 2" xfId="3800" xr:uid="{00000000-0005-0000-0000-0000D80E0000}"/>
    <cellStyle name="Note 2 2 2 5 6" xfId="3801" xr:uid="{00000000-0005-0000-0000-0000D90E0000}"/>
    <cellStyle name="Note 2 2 3" xfId="3802" xr:uid="{00000000-0005-0000-0000-0000DA0E0000}"/>
    <cellStyle name="Note 2 2 3 2" xfId="3803" xr:uid="{00000000-0005-0000-0000-0000DB0E0000}"/>
    <cellStyle name="Note 2 2 3 2 2" xfId="3804" xr:uid="{00000000-0005-0000-0000-0000DC0E0000}"/>
    <cellStyle name="Note 2 2 3 2 2 2" xfId="3805" xr:uid="{00000000-0005-0000-0000-0000DD0E0000}"/>
    <cellStyle name="Note 2 2 3 2 2 2 2" xfId="3806" xr:uid="{00000000-0005-0000-0000-0000DE0E0000}"/>
    <cellStyle name="Note 2 2 3 2 2 2 2 2" xfId="3807" xr:uid="{00000000-0005-0000-0000-0000DF0E0000}"/>
    <cellStyle name="Note 2 2 3 2 2 2 3" xfId="3808" xr:uid="{00000000-0005-0000-0000-0000E00E0000}"/>
    <cellStyle name="Note 2 2 3 2 2 3" xfId="3809" xr:uid="{00000000-0005-0000-0000-0000E10E0000}"/>
    <cellStyle name="Note 2 2 3 2 2 3 2" xfId="3810" xr:uid="{00000000-0005-0000-0000-0000E20E0000}"/>
    <cellStyle name="Note 2 2 3 2 2 4" xfId="3811" xr:uid="{00000000-0005-0000-0000-0000E30E0000}"/>
    <cellStyle name="Note 2 2 3 2 3" xfId="3812" xr:uid="{00000000-0005-0000-0000-0000E40E0000}"/>
    <cellStyle name="Note 2 2 3 2 3 2" xfId="3813" xr:uid="{00000000-0005-0000-0000-0000E50E0000}"/>
    <cellStyle name="Note 2 2 3 2 3 2 2" xfId="3814" xr:uid="{00000000-0005-0000-0000-0000E60E0000}"/>
    <cellStyle name="Note 2 2 3 2 3 3" xfId="3815" xr:uid="{00000000-0005-0000-0000-0000E70E0000}"/>
    <cellStyle name="Note 2 2 3 2 3 4" xfId="3816" xr:uid="{00000000-0005-0000-0000-0000E80E0000}"/>
    <cellStyle name="Note 2 2 3 2 4" xfId="3817" xr:uid="{00000000-0005-0000-0000-0000E90E0000}"/>
    <cellStyle name="Note 2 2 3 2 4 2" xfId="3818" xr:uid="{00000000-0005-0000-0000-0000EA0E0000}"/>
    <cellStyle name="Note 2 2 3 2 4 2 2" xfId="3819" xr:uid="{00000000-0005-0000-0000-0000EB0E0000}"/>
    <cellStyle name="Note 2 2 3 2 4 3" xfId="3820" xr:uid="{00000000-0005-0000-0000-0000EC0E0000}"/>
    <cellStyle name="Note 2 2 3 2 5" xfId="3821" xr:uid="{00000000-0005-0000-0000-0000ED0E0000}"/>
    <cellStyle name="Note 2 2 3 3" xfId="3822" xr:uid="{00000000-0005-0000-0000-0000EE0E0000}"/>
    <cellStyle name="Note 2 2 3 3 2" xfId="3823" xr:uid="{00000000-0005-0000-0000-0000EF0E0000}"/>
    <cellStyle name="Note 2 2 3 3 2 2" xfId="3824" xr:uid="{00000000-0005-0000-0000-0000F00E0000}"/>
    <cellStyle name="Note 2 2 3 3 2 2 2" xfId="3825" xr:uid="{00000000-0005-0000-0000-0000F10E0000}"/>
    <cellStyle name="Note 2 2 3 3 2 2 2 2" xfId="3826" xr:uid="{00000000-0005-0000-0000-0000F20E0000}"/>
    <cellStyle name="Note 2 2 3 3 2 2 3" xfId="3827" xr:uid="{00000000-0005-0000-0000-0000F30E0000}"/>
    <cellStyle name="Note 2 2 3 3 2 3" xfId="3828" xr:uid="{00000000-0005-0000-0000-0000F40E0000}"/>
    <cellStyle name="Note 2 2 3 3 2 3 2" xfId="3829" xr:uid="{00000000-0005-0000-0000-0000F50E0000}"/>
    <cellStyle name="Note 2 2 3 3 2 4" xfId="3830" xr:uid="{00000000-0005-0000-0000-0000F60E0000}"/>
    <cellStyle name="Note 2 2 3 3 3" xfId="3831" xr:uid="{00000000-0005-0000-0000-0000F70E0000}"/>
    <cellStyle name="Note 2 2 3 3 3 2" xfId="3832" xr:uid="{00000000-0005-0000-0000-0000F80E0000}"/>
    <cellStyle name="Note 2 2 3 3 3 2 2" xfId="3833" xr:uid="{00000000-0005-0000-0000-0000F90E0000}"/>
    <cellStyle name="Note 2 2 3 3 3 3" xfId="3834" xr:uid="{00000000-0005-0000-0000-0000FA0E0000}"/>
    <cellStyle name="Note 2 2 3 3 3 4" xfId="3835" xr:uid="{00000000-0005-0000-0000-0000FB0E0000}"/>
    <cellStyle name="Note 2 2 3 3 4" xfId="3836" xr:uid="{00000000-0005-0000-0000-0000FC0E0000}"/>
    <cellStyle name="Note 2 2 3 3 4 2" xfId="3837" xr:uid="{00000000-0005-0000-0000-0000FD0E0000}"/>
    <cellStyle name="Note 2 2 3 3 4 2 2" xfId="3838" xr:uid="{00000000-0005-0000-0000-0000FE0E0000}"/>
    <cellStyle name="Note 2 2 3 3 4 3" xfId="3839" xr:uid="{00000000-0005-0000-0000-0000FF0E0000}"/>
    <cellStyle name="Note 2 2 3 3 5" xfId="3840" xr:uid="{00000000-0005-0000-0000-0000000F0000}"/>
    <cellStyle name="Note 2 2 3 3 5 2" xfId="3841" xr:uid="{00000000-0005-0000-0000-0000010F0000}"/>
    <cellStyle name="Note 2 2 3 3 6" xfId="3842" xr:uid="{00000000-0005-0000-0000-0000020F0000}"/>
    <cellStyle name="Note 2 2 3 4" xfId="3843" xr:uid="{00000000-0005-0000-0000-0000030F0000}"/>
    <cellStyle name="Note 2 2 3 4 2" xfId="3844" xr:uid="{00000000-0005-0000-0000-0000040F0000}"/>
    <cellStyle name="Note 2 2 3 4 2 2" xfId="3845" xr:uid="{00000000-0005-0000-0000-0000050F0000}"/>
    <cellStyle name="Note 2 2 3 4 2 2 2" xfId="3846" xr:uid="{00000000-0005-0000-0000-0000060F0000}"/>
    <cellStyle name="Note 2 2 3 4 2 2 2 2" xfId="3847" xr:uid="{00000000-0005-0000-0000-0000070F0000}"/>
    <cellStyle name="Note 2 2 3 4 2 2 3" xfId="3848" xr:uid="{00000000-0005-0000-0000-0000080F0000}"/>
    <cellStyle name="Note 2 2 3 4 2 3" xfId="3849" xr:uid="{00000000-0005-0000-0000-0000090F0000}"/>
    <cellStyle name="Note 2 2 3 4 2 3 2" xfId="3850" xr:uid="{00000000-0005-0000-0000-00000A0F0000}"/>
    <cellStyle name="Note 2 2 3 4 2 4" xfId="3851" xr:uid="{00000000-0005-0000-0000-00000B0F0000}"/>
    <cellStyle name="Note 2 2 3 4 3" xfId="3852" xr:uid="{00000000-0005-0000-0000-00000C0F0000}"/>
    <cellStyle name="Note 2 2 3 4 3 2" xfId="3853" xr:uid="{00000000-0005-0000-0000-00000D0F0000}"/>
    <cellStyle name="Note 2 2 3 4 3 2 2" xfId="3854" xr:uid="{00000000-0005-0000-0000-00000E0F0000}"/>
    <cellStyle name="Note 2 2 3 4 3 3" xfId="3855" xr:uid="{00000000-0005-0000-0000-00000F0F0000}"/>
    <cellStyle name="Note 2 2 3 4 3 4" xfId="3856" xr:uid="{00000000-0005-0000-0000-0000100F0000}"/>
    <cellStyle name="Note 2 2 3 4 4" xfId="3857" xr:uid="{00000000-0005-0000-0000-0000110F0000}"/>
    <cellStyle name="Note 2 2 3 4 4 2" xfId="3858" xr:uid="{00000000-0005-0000-0000-0000120F0000}"/>
    <cellStyle name="Note 2 2 3 4 4 2 2" xfId="3859" xr:uid="{00000000-0005-0000-0000-0000130F0000}"/>
    <cellStyle name="Note 2 2 3 4 4 3" xfId="3860" xr:uid="{00000000-0005-0000-0000-0000140F0000}"/>
    <cellStyle name="Note 2 2 3 4 5" xfId="3861" xr:uid="{00000000-0005-0000-0000-0000150F0000}"/>
    <cellStyle name="Note 2 2 3 4 5 2" xfId="3862" xr:uid="{00000000-0005-0000-0000-0000160F0000}"/>
    <cellStyle name="Note 2 2 3 4 6" xfId="3863" xr:uid="{00000000-0005-0000-0000-0000170F0000}"/>
    <cellStyle name="Note 2 2 3 5" xfId="3864" xr:uid="{00000000-0005-0000-0000-0000180F0000}"/>
    <cellStyle name="Note 2 2 3 5 2" xfId="3865" xr:uid="{00000000-0005-0000-0000-0000190F0000}"/>
    <cellStyle name="Note 2 2 4" xfId="3866" xr:uid="{00000000-0005-0000-0000-00001A0F0000}"/>
    <cellStyle name="Note 2 2 4 2" xfId="3867" xr:uid="{00000000-0005-0000-0000-00001B0F0000}"/>
    <cellStyle name="Note 2 2 4 2 2" xfId="3868" xr:uid="{00000000-0005-0000-0000-00001C0F0000}"/>
    <cellStyle name="Note 2 2 4 2 2 2" xfId="3869" xr:uid="{00000000-0005-0000-0000-00001D0F0000}"/>
    <cellStyle name="Note 2 2 4 2 2 2 2" xfId="3870" xr:uid="{00000000-0005-0000-0000-00001E0F0000}"/>
    <cellStyle name="Note 2 2 4 2 2 2 2 2" xfId="3871" xr:uid="{00000000-0005-0000-0000-00001F0F0000}"/>
    <cellStyle name="Note 2 2 4 2 2 2 3" xfId="3872" xr:uid="{00000000-0005-0000-0000-0000200F0000}"/>
    <cellStyle name="Note 2 2 4 2 2 3" xfId="3873" xr:uid="{00000000-0005-0000-0000-0000210F0000}"/>
    <cellStyle name="Note 2 2 4 2 2 3 2" xfId="3874" xr:uid="{00000000-0005-0000-0000-0000220F0000}"/>
    <cellStyle name="Note 2 2 4 2 2 4" xfId="3875" xr:uid="{00000000-0005-0000-0000-0000230F0000}"/>
    <cellStyle name="Note 2 2 4 2 3" xfId="3876" xr:uid="{00000000-0005-0000-0000-0000240F0000}"/>
    <cellStyle name="Note 2 2 4 2 3 2" xfId="3877" xr:uid="{00000000-0005-0000-0000-0000250F0000}"/>
    <cellStyle name="Note 2 2 4 2 3 2 2" xfId="3878" xr:uid="{00000000-0005-0000-0000-0000260F0000}"/>
    <cellStyle name="Note 2 2 4 2 3 3" xfId="3879" xr:uid="{00000000-0005-0000-0000-0000270F0000}"/>
    <cellStyle name="Note 2 2 4 2 3 4" xfId="3880" xr:uid="{00000000-0005-0000-0000-0000280F0000}"/>
    <cellStyle name="Note 2 2 4 2 4" xfId="3881" xr:uid="{00000000-0005-0000-0000-0000290F0000}"/>
    <cellStyle name="Note 2 2 4 2 4 2" xfId="3882" xr:uid="{00000000-0005-0000-0000-00002A0F0000}"/>
    <cellStyle name="Note 2 2 4 2 4 2 2" xfId="3883" xr:uid="{00000000-0005-0000-0000-00002B0F0000}"/>
    <cellStyle name="Note 2 2 4 2 4 3" xfId="3884" xr:uid="{00000000-0005-0000-0000-00002C0F0000}"/>
    <cellStyle name="Note 2 2 4 2 5" xfId="3885" xr:uid="{00000000-0005-0000-0000-00002D0F0000}"/>
    <cellStyle name="Note 2 2 4 2 5 2" xfId="3886" xr:uid="{00000000-0005-0000-0000-00002E0F0000}"/>
    <cellStyle name="Note 2 2 4 2 6" xfId="3887" xr:uid="{00000000-0005-0000-0000-00002F0F0000}"/>
    <cellStyle name="Note 2 2 4 3" xfId="3888" xr:uid="{00000000-0005-0000-0000-0000300F0000}"/>
    <cellStyle name="Note 2 2 4 3 2" xfId="3889" xr:uid="{00000000-0005-0000-0000-0000310F0000}"/>
    <cellStyle name="Note 2 2 4 3 2 2" xfId="3890" xr:uid="{00000000-0005-0000-0000-0000320F0000}"/>
    <cellStyle name="Note 2 2 4 3 2 2 2" xfId="3891" xr:uid="{00000000-0005-0000-0000-0000330F0000}"/>
    <cellStyle name="Note 2 2 4 3 2 2 2 2" xfId="3892" xr:uid="{00000000-0005-0000-0000-0000340F0000}"/>
    <cellStyle name="Note 2 2 4 3 2 2 3" xfId="3893" xr:uid="{00000000-0005-0000-0000-0000350F0000}"/>
    <cellStyle name="Note 2 2 4 3 2 3" xfId="3894" xr:uid="{00000000-0005-0000-0000-0000360F0000}"/>
    <cellStyle name="Note 2 2 4 3 2 3 2" xfId="3895" xr:uid="{00000000-0005-0000-0000-0000370F0000}"/>
    <cellStyle name="Note 2 2 4 3 2 4" xfId="3896" xr:uid="{00000000-0005-0000-0000-0000380F0000}"/>
    <cellStyle name="Note 2 2 4 3 3" xfId="3897" xr:uid="{00000000-0005-0000-0000-0000390F0000}"/>
    <cellStyle name="Note 2 2 4 3 3 2" xfId="3898" xr:uid="{00000000-0005-0000-0000-00003A0F0000}"/>
    <cellStyle name="Note 2 2 4 3 3 2 2" xfId="3899" xr:uid="{00000000-0005-0000-0000-00003B0F0000}"/>
    <cellStyle name="Note 2 2 4 3 3 3" xfId="3900" xr:uid="{00000000-0005-0000-0000-00003C0F0000}"/>
    <cellStyle name="Note 2 2 4 3 3 4" xfId="3901" xr:uid="{00000000-0005-0000-0000-00003D0F0000}"/>
    <cellStyle name="Note 2 2 4 3 4" xfId="3902" xr:uid="{00000000-0005-0000-0000-00003E0F0000}"/>
    <cellStyle name="Note 2 2 4 3 4 2" xfId="3903" xr:uid="{00000000-0005-0000-0000-00003F0F0000}"/>
    <cellStyle name="Note 2 2 4 3 4 2 2" xfId="3904" xr:uid="{00000000-0005-0000-0000-0000400F0000}"/>
    <cellStyle name="Note 2 2 4 3 4 3" xfId="3905" xr:uid="{00000000-0005-0000-0000-0000410F0000}"/>
    <cellStyle name="Note 2 2 4 3 5" xfId="3906" xr:uid="{00000000-0005-0000-0000-0000420F0000}"/>
    <cellStyle name="Note 2 2 4 3 5 2" xfId="3907" xr:uid="{00000000-0005-0000-0000-0000430F0000}"/>
    <cellStyle name="Note 2 2 4 3 6" xfId="3908" xr:uid="{00000000-0005-0000-0000-0000440F0000}"/>
    <cellStyle name="Note 2 2 4 4" xfId="3909" xr:uid="{00000000-0005-0000-0000-0000450F0000}"/>
    <cellStyle name="Note 2 2 4 4 2" xfId="3910" xr:uid="{00000000-0005-0000-0000-0000460F0000}"/>
    <cellStyle name="Note 2 2 4 4 2 2" xfId="3911" xr:uid="{00000000-0005-0000-0000-0000470F0000}"/>
    <cellStyle name="Note 2 2 4 4 2 2 2" xfId="3912" xr:uid="{00000000-0005-0000-0000-0000480F0000}"/>
    <cellStyle name="Note 2 2 4 4 2 3" xfId="3913" xr:uid="{00000000-0005-0000-0000-0000490F0000}"/>
    <cellStyle name="Note 2 2 4 4 3" xfId="3914" xr:uid="{00000000-0005-0000-0000-00004A0F0000}"/>
    <cellStyle name="Note 2 2 4 4 3 2" xfId="3915" xr:uid="{00000000-0005-0000-0000-00004B0F0000}"/>
    <cellStyle name="Note 2 2 4 4 4" xfId="3916" xr:uid="{00000000-0005-0000-0000-00004C0F0000}"/>
    <cellStyle name="Note 2 2 4 5" xfId="3917" xr:uid="{00000000-0005-0000-0000-00004D0F0000}"/>
    <cellStyle name="Note 2 2 4 5 2" xfId="3918" xr:uid="{00000000-0005-0000-0000-00004E0F0000}"/>
    <cellStyle name="Note 2 2 4 5 2 2" xfId="3919" xr:uid="{00000000-0005-0000-0000-00004F0F0000}"/>
    <cellStyle name="Note 2 2 4 5 3" xfId="3920" xr:uid="{00000000-0005-0000-0000-0000500F0000}"/>
    <cellStyle name="Note 2 2 4 5 4" xfId="3921" xr:uid="{00000000-0005-0000-0000-0000510F0000}"/>
    <cellStyle name="Note 2 2 4 6" xfId="3922" xr:uid="{00000000-0005-0000-0000-0000520F0000}"/>
    <cellStyle name="Note 2 2 4 6 2" xfId="3923" xr:uid="{00000000-0005-0000-0000-0000530F0000}"/>
    <cellStyle name="Note 2 2 4 6 2 2" xfId="3924" xr:uid="{00000000-0005-0000-0000-0000540F0000}"/>
    <cellStyle name="Note 2 2 4 6 3" xfId="3925" xr:uid="{00000000-0005-0000-0000-0000550F0000}"/>
    <cellStyle name="Note 2 2 4 7" xfId="3926" xr:uid="{00000000-0005-0000-0000-0000560F0000}"/>
    <cellStyle name="Note 2 2 5" xfId="3927" xr:uid="{00000000-0005-0000-0000-0000570F0000}"/>
    <cellStyle name="Note 2 2 5 2" xfId="3928" xr:uid="{00000000-0005-0000-0000-0000580F0000}"/>
    <cellStyle name="Note 2 2 5 2 2" xfId="3929" xr:uid="{00000000-0005-0000-0000-0000590F0000}"/>
    <cellStyle name="Note 2 2 5 2 2 2" xfId="3930" xr:uid="{00000000-0005-0000-0000-00005A0F0000}"/>
    <cellStyle name="Note 2 2 5 2 2 2 2" xfId="3931" xr:uid="{00000000-0005-0000-0000-00005B0F0000}"/>
    <cellStyle name="Note 2 2 5 2 2 3" xfId="3932" xr:uid="{00000000-0005-0000-0000-00005C0F0000}"/>
    <cellStyle name="Note 2 2 5 2 3" xfId="3933" xr:uid="{00000000-0005-0000-0000-00005D0F0000}"/>
    <cellStyle name="Note 2 2 5 2 3 2" xfId="3934" xr:uid="{00000000-0005-0000-0000-00005E0F0000}"/>
    <cellStyle name="Note 2 2 5 2 4" xfId="3935" xr:uid="{00000000-0005-0000-0000-00005F0F0000}"/>
    <cellStyle name="Note 2 2 5 3" xfId="3936" xr:uid="{00000000-0005-0000-0000-0000600F0000}"/>
    <cellStyle name="Note 2 2 5 3 2" xfId="3937" xr:uid="{00000000-0005-0000-0000-0000610F0000}"/>
    <cellStyle name="Note 2 2 5 3 2 2" xfId="3938" xr:uid="{00000000-0005-0000-0000-0000620F0000}"/>
    <cellStyle name="Note 2 2 5 3 3" xfId="3939" xr:uid="{00000000-0005-0000-0000-0000630F0000}"/>
    <cellStyle name="Note 2 2 5 3 4" xfId="3940" xr:uid="{00000000-0005-0000-0000-0000640F0000}"/>
    <cellStyle name="Note 2 2 5 4" xfId="3941" xr:uid="{00000000-0005-0000-0000-0000650F0000}"/>
    <cellStyle name="Note 2 2 5 4 2" xfId="3942" xr:uid="{00000000-0005-0000-0000-0000660F0000}"/>
    <cellStyle name="Note 2 2 5 4 2 2" xfId="3943" xr:uid="{00000000-0005-0000-0000-0000670F0000}"/>
    <cellStyle name="Note 2 2 5 4 3" xfId="3944" xr:uid="{00000000-0005-0000-0000-0000680F0000}"/>
    <cellStyle name="Note 2 2 5 5" xfId="3945" xr:uid="{00000000-0005-0000-0000-0000690F0000}"/>
    <cellStyle name="Note 2 3" xfId="3946" xr:uid="{00000000-0005-0000-0000-00006A0F0000}"/>
    <cellStyle name="Note 2 3 2" xfId="3947" xr:uid="{00000000-0005-0000-0000-00006B0F0000}"/>
    <cellStyle name="Note 2 3 2 2" xfId="3948" xr:uid="{00000000-0005-0000-0000-00006C0F0000}"/>
    <cellStyle name="Note 2 3 2 2 2" xfId="3949" xr:uid="{00000000-0005-0000-0000-00006D0F0000}"/>
    <cellStyle name="Note 2 3 2 2 2 2" xfId="3950" xr:uid="{00000000-0005-0000-0000-00006E0F0000}"/>
    <cellStyle name="Note 2 3 2 2 2 2 2" xfId="3951" xr:uid="{00000000-0005-0000-0000-00006F0F0000}"/>
    <cellStyle name="Note 2 3 2 2 2 2 2 2" xfId="3952" xr:uid="{00000000-0005-0000-0000-0000700F0000}"/>
    <cellStyle name="Note 2 3 2 2 2 2 3" xfId="3953" xr:uid="{00000000-0005-0000-0000-0000710F0000}"/>
    <cellStyle name="Note 2 3 2 2 2 3" xfId="3954" xr:uid="{00000000-0005-0000-0000-0000720F0000}"/>
    <cellStyle name="Note 2 3 2 2 2 3 2" xfId="3955" xr:uid="{00000000-0005-0000-0000-0000730F0000}"/>
    <cellStyle name="Note 2 3 2 2 2 4" xfId="3956" xr:uid="{00000000-0005-0000-0000-0000740F0000}"/>
    <cellStyle name="Note 2 3 2 2 3" xfId="3957" xr:uid="{00000000-0005-0000-0000-0000750F0000}"/>
    <cellStyle name="Note 2 3 2 2 3 2" xfId="3958" xr:uid="{00000000-0005-0000-0000-0000760F0000}"/>
    <cellStyle name="Note 2 3 2 2 3 2 2" xfId="3959" xr:uid="{00000000-0005-0000-0000-0000770F0000}"/>
    <cellStyle name="Note 2 3 2 2 3 3" xfId="3960" xr:uid="{00000000-0005-0000-0000-0000780F0000}"/>
    <cellStyle name="Note 2 3 2 2 3 4" xfId="3961" xr:uid="{00000000-0005-0000-0000-0000790F0000}"/>
    <cellStyle name="Note 2 3 2 2 4" xfId="3962" xr:uid="{00000000-0005-0000-0000-00007A0F0000}"/>
    <cellStyle name="Note 2 3 2 2 4 2" xfId="3963" xr:uid="{00000000-0005-0000-0000-00007B0F0000}"/>
    <cellStyle name="Note 2 3 2 2 4 2 2" xfId="3964" xr:uid="{00000000-0005-0000-0000-00007C0F0000}"/>
    <cellStyle name="Note 2 3 2 2 4 3" xfId="3965" xr:uid="{00000000-0005-0000-0000-00007D0F0000}"/>
    <cellStyle name="Note 2 3 2 2 5" xfId="3966" xr:uid="{00000000-0005-0000-0000-00007E0F0000}"/>
    <cellStyle name="Note 2 3 2 3" xfId="3967" xr:uid="{00000000-0005-0000-0000-00007F0F0000}"/>
    <cellStyle name="Note 2 3 2 3 2" xfId="3968" xr:uid="{00000000-0005-0000-0000-0000800F0000}"/>
    <cellStyle name="Note 2 3 2 3 2 2" xfId="3969" xr:uid="{00000000-0005-0000-0000-0000810F0000}"/>
    <cellStyle name="Note 2 3 2 3 2 2 2" xfId="3970" xr:uid="{00000000-0005-0000-0000-0000820F0000}"/>
    <cellStyle name="Note 2 3 2 3 2 2 2 2" xfId="3971" xr:uid="{00000000-0005-0000-0000-0000830F0000}"/>
    <cellStyle name="Note 2 3 2 3 2 2 3" xfId="3972" xr:uid="{00000000-0005-0000-0000-0000840F0000}"/>
    <cellStyle name="Note 2 3 2 3 2 3" xfId="3973" xr:uid="{00000000-0005-0000-0000-0000850F0000}"/>
    <cellStyle name="Note 2 3 2 3 2 3 2" xfId="3974" xr:uid="{00000000-0005-0000-0000-0000860F0000}"/>
    <cellStyle name="Note 2 3 2 3 2 4" xfId="3975" xr:uid="{00000000-0005-0000-0000-0000870F0000}"/>
    <cellStyle name="Note 2 3 2 3 3" xfId="3976" xr:uid="{00000000-0005-0000-0000-0000880F0000}"/>
    <cellStyle name="Note 2 3 2 3 3 2" xfId="3977" xr:uid="{00000000-0005-0000-0000-0000890F0000}"/>
    <cellStyle name="Note 2 3 2 3 3 2 2" xfId="3978" xr:uid="{00000000-0005-0000-0000-00008A0F0000}"/>
    <cellStyle name="Note 2 3 2 3 3 3" xfId="3979" xr:uid="{00000000-0005-0000-0000-00008B0F0000}"/>
    <cellStyle name="Note 2 3 2 3 3 4" xfId="3980" xr:uid="{00000000-0005-0000-0000-00008C0F0000}"/>
    <cellStyle name="Note 2 3 2 3 4" xfId="3981" xr:uid="{00000000-0005-0000-0000-00008D0F0000}"/>
    <cellStyle name="Note 2 3 2 3 4 2" xfId="3982" xr:uid="{00000000-0005-0000-0000-00008E0F0000}"/>
    <cellStyle name="Note 2 3 2 3 4 2 2" xfId="3983" xr:uid="{00000000-0005-0000-0000-00008F0F0000}"/>
    <cellStyle name="Note 2 3 2 3 4 3" xfId="3984" xr:uid="{00000000-0005-0000-0000-0000900F0000}"/>
    <cellStyle name="Note 2 3 2 3 5" xfId="3985" xr:uid="{00000000-0005-0000-0000-0000910F0000}"/>
    <cellStyle name="Note 2 3 2 3 5 2" xfId="3986" xr:uid="{00000000-0005-0000-0000-0000920F0000}"/>
    <cellStyle name="Note 2 3 2 3 6" xfId="3987" xr:uid="{00000000-0005-0000-0000-0000930F0000}"/>
    <cellStyle name="Note 2 3 2 4" xfId="3988" xr:uid="{00000000-0005-0000-0000-0000940F0000}"/>
    <cellStyle name="Note 2 3 2 4 2" xfId="3989" xr:uid="{00000000-0005-0000-0000-0000950F0000}"/>
    <cellStyle name="Note 2 3 2 4 2 2" xfId="3990" xr:uid="{00000000-0005-0000-0000-0000960F0000}"/>
    <cellStyle name="Note 2 3 2 4 2 2 2" xfId="3991" xr:uid="{00000000-0005-0000-0000-0000970F0000}"/>
    <cellStyle name="Note 2 3 2 4 2 2 2 2" xfId="3992" xr:uid="{00000000-0005-0000-0000-0000980F0000}"/>
    <cellStyle name="Note 2 3 2 4 2 2 3" xfId="3993" xr:uid="{00000000-0005-0000-0000-0000990F0000}"/>
    <cellStyle name="Note 2 3 2 4 2 3" xfId="3994" xr:uid="{00000000-0005-0000-0000-00009A0F0000}"/>
    <cellStyle name="Note 2 3 2 4 2 3 2" xfId="3995" xr:uid="{00000000-0005-0000-0000-00009B0F0000}"/>
    <cellStyle name="Note 2 3 2 4 2 4" xfId="3996" xr:uid="{00000000-0005-0000-0000-00009C0F0000}"/>
    <cellStyle name="Note 2 3 2 4 3" xfId="3997" xr:uid="{00000000-0005-0000-0000-00009D0F0000}"/>
    <cellStyle name="Note 2 3 2 4 3 2" xfId="3998" xr:uid="{00000000-0005-0000-0000-00009E0F0000}"/>
    <cellStyle name="Note 2 3 2 4 3 2 2" xfId="3999" xr:uid="{00000000-0005-0000-0000-00009F0F0000}"/>
    <cellStyle name="Note 2 3 2 4 3 3" xfId="4000" xr:uid="{00000000-0005-0000-0000-0000A00F0000}"/>
    <cellStyle name="Note 2 3 2 4 3 4" xfId="4001" xr:uid="{00000000-0005-0000-0000-0000A10F0000}"/>
    <cellStyle name="Note 2 3 2 4 4" xfId="4002" xr:uid="{00000000-0005-0000-0000-0000A20F0000}"/>
    <cellStyle name="Note 2 3 2 4 4 2" xfId="4003" xr:uid="{00000000-0005-0000-0000-0000A30F0000}"/>
    <cellStyle name="Note 2 3 2 4 4 2 2" xfId="4004" xr:uid="{00000000-0005-0000-0000-0000A40F0000}"/>
    <cellStyle name="Note 2 3 2 4 4 3" xfId="4005" xr:uid="{00000000-0005-0000-0000-0000A50F0000}"/>
    <cellStyle name="Note 2 3 2 4 5" xfId="4006" xr:uid="{00000000-0005-0000-0000-0000A60F0000}"/>
    <cellStyle name="Note 2 3 2 4 5 2" xfId="4007" xr:uid="{00000000-0005-0000-0000-0000A70F0000}"/>
    <cellStyle name="Note 2 3 2 4 6" xfId="4008" xr:uid="{00000000-0005-0000-0000-0000A80F0000}"/>
    <cellStyle name="Note 2 3 2 5" xfId="4009" xr:uid="{00000000-0005-0000-0000-0000A90F0000}"/>
    <cellStyle name="Note 2 3 2 5 2" xfId="4010" xr:uid="{00000000-0005-0000-0000-0000AA0F0000}"/>
    <cellStyle name="Note 2 3 3" xfId="4011" xr:uid="{00000000-0005-0000-0000-0000AB0F0000}"/>
    <cellStyle name="Note 2 3 3 2" xfId="4012" xr:uid="{00000000-0005-0000-0000-0000AC0F0000}"/>
    <cellStyle name="Note 2 3 3 2 2" xfId="4013" xr:uid="{00000000-0005-0000-0000-0000AD0F0000}"/>
    <cellStyle name="Note 2 3 3 2 2 2" xfId="4014" xr:uid="{00000000-0005-0000-0000-0000AE0F0000}"/>
    <cellStyle name="Note 2 3 3 2 2 2 2" xfId="4015" xr:uid="{00000000-0005-0000-0000-0000AF0F0000}"/>
    <cellStyle name="Note 2 3 3 2 2 3" xfId="4016" xr:uid="{00000000-0005-0000-0000-0000B00F0000}"/>
    <cellStyle name="Note 2 3 3 2 3" xfId="4017" xr:uid="{00000000-0005-0000-0000-0000B10F0000}"/>
    <cellStyle name="Note 2 3 3 2 3 2" xfId="4018" xr:uid="{00000000-0005-0000-0000-0000B20F0000}"/>
    <cellStyle name="Note 2 3 3 2 4" xfId="4019" xr:uid="{00000000-0005-0000-0000-0000B30F0000}"/>
    <cellStyle name="Note 2 3 3 3" xfId="4020" xr:uid="{00000000-0005-0000-0000-0000B40F0000}"/>
    <cellStyle name="Note 2 3 3 3 2" xfId="4021" xr:uid="{00000000-0005-0000-0000-0000B50F0000}"/>
    <cellStyle name="Note 2 3 3 3 2 2" xfId="4022" xr:uid="{00000000-0005-0000-0000-0000B60F0000}"/>
    <cellStyle name="Note 2 3 3 3 3" xfId="4023" xr:uid="{00000000-0005-0000-0000-0000B70F0000}"/>
    <cellStyle name="Note 2 3 3 3 4" xfId="4024" xr:uid="{00000000-0005-0000-0000-0000B80F0000}"/>
    <cellStyle name="Note 2 3 3 4" xfId="4025" xr:uid="{00000000-0005-0000-0000-0000B90F0000}"/>
    <cellStyle name="Note 2 3 3 4 2" xfId="4026" xr:uid="{00000000-0005-0000-0000-0000BA0F0000}"/>
    <cellStyle name="Note 2 3 3 4 2 2" xfId="4027" xr:uid="{00000000-0005-0000-0000-0000BB0F0000}"/>
    <cellStyle name="Note 2 3 3 4 3" xfId="4028" xr:uid="{00000000-0005-0000-0000-0000BC0F0000}"/>
    <cellStyle name="Note 2 3 3 5" xfId="4029" xr:uid="{00000000-0005-0000-0000-0000BD0F0000}"/>
    <cellStyle name="Note 2 3 4" xfId="4030" xr:uid="{00000000-0005-0000-0000-0000BE0F0000}"/>
    <cellStyle name="Note 2 3 4 2" xfId="4031" xr:uid="{00000000-0005-0000-0000-0000BF0F0000}"/>
    <cellStyle name="Note 2 3 4 2 2" xfId="4032" xr:uid="{00000000-0005-0000-0000-0000C00F0000}"/>
    <cellStyle name="Note 2 3 4 2 2 2" xfId="4033" xr:uid="{00000000-0005-0000-0000-0000C10F0000}"/>
    <cellStyle name="Note 2 3 4 2 2 2 2" xfId="4034" xr:uid="{00000000-0005-0000-0000-0000C20F0000}"/>
    <cellStyle name="Note 2 3 4 2 2 3" xfId="4035" xr:uid="{00000000-0005-0000-0000-0000C30F0000}"/>
    <cellStyle name="Note 2 3 4 2 3" xfId="4036" xr:uid="{00000000-0005-0000-0000-0000C40F0000}"/>
    <cellStyle name="Note 2 3 4 2 3 2" xfId="4037" xr:uid="{00000000-0005-0000-0000-0000C50F0000}"/>
    <cellStyle name="Note 2 3 4 2 4" xfId="4038" xr:uid="{00000000-0005-0000-0000-0000C60F0000}"/>
    <cellStyle name="Note 2 3 4 3" xfId="4039" xr:uid="{00000000-0005-0000-0000-0000C70F0000}"/>
    <cellStyle name="Note 2 3 4 3 2" xfId="4040" xr:uid="{00000000-0005-0000-0000-0000C80F0000}"/>
    <cellStyle name="Note 2 3 4 3 2 2" xfId="4041" xr:uid="{00000000-0005-0000-0000-0000C90F0000}"/>
    <cellStyle name="Note 2 3 4 3 3" xfId="4042" xr:uid="{00000000-0005-0000-0000-0000CA0F0000}"/>
    <cellStyle name="Note 2 3 4 3 4" xfId="4043" xr:uid="{00000000-0005-0000-0000-0000CB0F0000}"/>
    <cellStyle name="Note 2 3 4 4" xfId="4044" xr:uid="{00000000-0005-0000-0000-0000CC0F0000}"/>
    <cellStyle name="Note 2 3 4 4 2" xfId="4045" xr:uid="{00000000-0005-0000-0000-0000CD0F0000}"/>
    <cellStyle name="Note 2 3 4 4 2 2" xfId="4046" xr:uid="{00000000-0005-0000-0000-0000CE0F0000}"/>
    <cellStyle name="Note 2 3 4 4 3" xfId="4047" xr:uid="{00000000-0005-0000-0000-0000CF0F0000}"/>
    <cellStyle name="Note 2 3 4 5" xfId="4048" xr:uid="{00000000-0005-0000-0000-0000D00F0000}"/>
    <cellStyle name="Note 2 3 4 5 2" xfId="4049" xr:uid="{00000000-0005-0000-0000-0000D10F0000}"/>
    <cellStyle name="Note 2 3 4 6" xfId="4050" xr:uid="{00000000-0005-0000-0000-0000D20F0000}"/>
    <cellStyle name="Note 2 3 5" xfId="4051" xr:uid="{00000000-0005-0000-0000-0000D30F0000}"/>
    <cellStyle name="Note 2 3 5 2" xfId="4052" xr:uid="{00000000-0005-0000-0000-0000D40F0000}"/>
    <cellStyle name="Note 2 3 5 2 2" xfId="4053" xr:uid="{00000000-0005-0000-0000-0000D50F0000}"/>
    <cellStyle name="Note 2 3 5 2 2 2" xfId="4054" xr:uid="{00000000-0005-0000-0000-0000D60F0000}"/>
    <cellStyle name="Note 2 3 5 2 2 2 2" xfId="4055" xr:uid="{00000000-0005-0000-0000-0000D70F0000}"/>
    <cellStyle name="Note 2 3 5 2 2 3" xfId="4056" xr:uid="{00000000-0005-0000-0000-0000D80F0000}"/>
    <cellStyle name="Note 2 3 5 2 3" xfId="4057" xr:uid="{00000000-0005-0000-0000-0000D90F0000}"/>
    <cellStyle name="Note 2 3 5 2 3 2" xfId="4058" xr:uid="{00000000-0005-0000-0000-0000DA0F0000}"/>
    <cellStyle name="Note 2 3 5 2 4" xfId="4059" xr:uid="{00000000-0005-0000-0000-0000DB0F0000}"/>
    <cellStyle name="Note 2 3 5 3" xfId="4060" xr:uid="{00000000-0005-0000-0000-0000DC0F0000}"/>
    <cellStyle name="Note 2 3 5 3 2" xfId="4061" xr:uid="{00000000-0005-0000-0000-0000DD0F0000}"/>
    <cellStyle name="Note 2 3 5 3 2 2" xfId="4062" xr:uid="{00000000-0005-0000-0000-0000DE0F0000}"/>
    <cellStyle name="Note 2 3 5 3 3" xfId="4063" xr:uid="{00000000-0005-0000-0000-0000DF0F0000}"/>
    <cellStyle name="Note 2 3 5 3 4" xfId="4064" xr:uid="{00000000-0005-0000-0000-0000E00F0000}"/>
    <cellStyle name="Note 2 3 5 4" xfId="4065" xr:uid="{00000000-0005-0000-0000-0000E10F0000}"/>
    <cellStyle name="Note 2 3 5 4 2" xfId="4066" xr:uid="{00000000-0005-0000-0000-0000E20F0000}"/>
    <cellStyle name="Note 2 3 5 4 2 2" xfId="4067" xr:uid="{00000000-0005-0000-0000-0000E30F0000}"/>
    <cellStyle name="Note 2 3 5 4 3" xfId="4068" xr:uid="{00000000-0005-0000-0000-0000E40F0000}"/>
    <cellStyle name="Note 2 3 5 5" xfId="4069" xr:uid="{00000000-0005-0000-0000-0000E50F0000}"/>
    <cellStyle name="Note 2 3 5 5 2" xfId="4070" xr:uid="{00000000-0005-0000-0000-0000E60F0000}"/>
    <cellStyle name="Note 2 3 5 6" xfId="4071" xr:uid="{00000000-0005-0000-0000-0000E70F0000}"/>
    <cellStyle name="Note 2 4" xfId="4072" xr:uid="{00000000-0005-0000-0000-0000E80F0000}"/>
    <cellStyle name="Note 2 4 2" xfId="4073" xr:uid="{00000000-0005-0000-0000-0000E90F0000}"/>
    <cellStyle name="Note 2 4 2 2" xfId="4074" xr:uid="{00000000-0005-0000-0000-0000EA0F0000}"/>
    <cellStyle name="Note 2 4 2 2 2" xfId="4075" xr:uid="{00000000-0005-0000-0000-0000EB0F0000}"/>
    <cellStyle name="Note 2 4 2 2 2 2" xfId="4076" xr:uid="{00000000-0005-0000-0000-0000EC0F0000}"/>
    <cellStyle name="Note 2 4 2 2 2 2 2" xfId="4077" xr:uid="{00000000-0005-0000-0000-0000ED0F0000}"/>
    <cellStyle name="Note 2 4 2 2 2 3" xfId="4078" xr:uid="{00000000-0005-0000-0000-0000EE0F0000}"/>
    <cellStyle name="Note 2 4 2 2 3" xfId="4079" xr:uid="{00000000-0005-0000-0000-0000EF0F0000}"/>
    <cellStyle name="Note 2 4 2 2 3 2" xfId="4080" xr:uid="{00000000-0005-0000-0000-0000F00F0000}"/>
    <cellStyle name="Note 2 4 2 2 4" xfId="4081" xr:uid="{00000000-0005-0000-0000-0000F10F0000}"/>
    <cellStyle name="Note 2 4 2 3" xfId="4082" xr:uid="{00000000-0005-0000-0000-0000F20F0000}"/>
    <cellStyle name="Note 2 4 2 3 2" xfId="4083" xr:uid="{00000000-0005-0000-0000-0000F30F0000}"/>
    <cellStyle name="Note 2 4 2 3 2 2" xfId="4084" xr:uid="{00000000-0005-0000-0000-0000F40F0000}"/>
    <cellStyle name="Note 2 4 2 3 3" xfId="4085" xr:uid="{00000000-0005-0000-0000-0000F50F0000}"/>
    <cellStyle name="Note 2 4 2 3 4" xfId="4086" xr:uid="{00000000-0005-0000-0000-0000F60F0000}"/>
    <cellStyle name="Note 2 4 2 4" xfId="4087" xr:uid="{00000000-0005-0000-0000-0000F70F0000}"/>
    <cellStyle name="Note 2 4 2 4 2" xfId="4088" xr:uid="{00000000-0005-0000-0000-0000F80F0000}"/>
    <cellStyle name="Note 2 4 2 4 2 2" xfId="4089" xr:uid="{00000000-0005-0000-0000-0000F90F0000}"/>
    <cellStyle name="Note 2 4 2 4 3" xfId="4090" xr:uid="{00000000-0005-0000-0000-0000FA0F0000}"/>
    <cellStyle name="Note 2 4 2 5" xfId="4091" xr:uid="{00000000-0005-0000-0000-0000FB0F0000}"/>
    <cellStyle name="Note 2 4 3" xfId="4092" xr:uid="{00000000-0005-0000-0000-0000FC0F0000}"/>
    <cellStyle name="Note 2 4 3 2" xfId="4093" xr:uid="{00000000-0005-0000-0000-0000FD0F0000}"/>
    <cellStyle name="Note 2 4 3 2 2" xfId="4094" xr:uid="{00000000-0005-0000-0000-0000FE0F0000}"/>
    <cellStyle name="Note 2 4 3 2 2 2" xfId="4095" xr:uid="{00000000-0005-0000-0000-0000FF0F0000}"/>
    <cellStyle name="Note 2 4 3 2 2 2 2" xfId="4096" xr:uid="{00000000-0005-0000-0000-000000100000}"/>
    <cellStyle name="Note 2 4 3 2 2 3" xfId="4097" xr:uid="{00000000-0005-0000-0000-000001100000}"/>
    <cellStyle name="Note 2 4 3 2 3" xfId="4098" xr:uid="{00000000-0005-0000-0000-000002100000}"/>
    <cellStyle name="Note 2 4 3 2 3 2" xfId="4099" xr:uid="{00000000-0005-0000-0000-000003100000}"/>
    <cellStyle name="Note 2 4 3 2 4" xfId="4100" xr:uid="{00000000-0005-0000-0000-000004100000}"/>
    <cellStyle name="Note 2 4 3 3" xfId="4101" xr:uid="{00000000-0005-0000-0000-000005100000}"/>
    <cellStyle name="Note 2 4 3 3 2" xfId="4102" xr:uid="{00000000-0005-0000-0000-000006100000}"/>
    <cellStyle name="Note 2 4 3 3 2 2" xfId="4103" xr:uid="{00000000-0005-0000-0000-000007100000}"/>
    <cellStyle name="Note 2 4 3 3 3" xfId="4104" xr:uid="{00000000-0005-0000-0000-000008100000}"/>
    <cellStyle name="Note 2 4 3 3 4" xfId="4105" xr:uid="{00000000-0005-0000-0000-000009100000}"/>
    <cellStyle name="Note 2 4 3 4" xfId="4106" xr:uid="{00000000-0005-0000-0000-00000A100000}"/>
    <cellStyle name="Note 2 4 3 4 2" xfId="4107" xr:uid="{00000000-0005-0000-0000-00000B100000}"/>
    <cellStyle name="Note 2 4 3 4 2 2" xfId="4108" xr:uid="{00000000-0005-0000-0000-00000C100000}"/>
    <cellStyle name="Note 2 4 3 4 3" xfId="4109" xr:uid="{00000000-0005-0000-0000-00000D100000}"/>
    <cellStyle name="Note 2 4 3 5" xfId="4110" xr:uid="{00000000-0005-0000-0000-00000E100000}"/>
    <cellStyle name="Note 2 4 3 5 2" xfId="4111" xr:uid="{00000000-0005-0000-0000-00000F100000}"/>
    <cellStyle name="Note 2 4 3 6" xfId="4112" xr:uid="{00000000-0005-0000-0000-000010100000}"/>
    <cellStyle name="Note 2 4 4" xfId="4113" xr:uid="{00000000-0005-0000-0000-000011100000}"/>
    <cellStyle name="Note 2 4 4 2" xfId="4114" xr:uid="{00000000-0005-0000-0000-000012100000}"/>
    <cellStyle name="Note 2 4 4 2 2" xfId="4115" xr:uid="{00000000-0005-0000-0000-000013100000}"/>
    <cellStyle name="Note 2 4 4 2 2 2" xfId="4116" xr:uid="{00000000-0005-0000-0000-000014100000}"/>
    <cellStyle name="Note 2 4 4 2 2 2 2" xfId="4117" xr:uid="{00000000-0005-0000-0000-000015100000}"/>
    <cellStyle name="Note 2 4 4 2 2 3" xfId="4118" xr:uid="{00000000-0005-0000-0000-000016100000}"/>
    <cellStyle name="Note 2 4 4 2 3" xfId="4119" xr:uid="{00000000-0005-0000-0000-000017100000}"/>
    <cellStyle name="Note 2 4 4 2 3 2" xfId="4120" xr:uid="{00000000-0005-0000-0000-000018100000}"/>
    <cellStyle name="Note 2 4 4 2 4" xfId="4121" xr:uid="{00000000-0005-0000-0000-000019100000}"/>
    <cellStyle name="Note 2 4 4 3" xfId="4122" xr:uid="{00000000-0005-0000-0000-00001A100000}"/>
    <cellStyle name="Note 2 4 4 3 2" xfId="4123" xr:uid="{00000000-0005-0000-0000-00001B100000}"/>
    <cellStyle name="Note 2 4 4 3 2 2" xfId="4124" xr:uid="{00000000-0005-0000-0000-00001C100000}"/>
    <cellStyle name="Note 2 4 4 3 3" xfId="4125" xr:uid="{00000000-0005-0000-0000-00001D100000}"/>
    <cellStyle name="Note 2 4 4 3 4" xfId="4126" xr:uid="{00000000-0005-0000-0000-00001E100000}"/>
    <cellStyle name="Note 2 4 4 4" xfId="4127" xr:uid="{00000000-0005-0000-0000-00001F100000}"/>
    <cellStyle name="Note 2 4 4 4 2" xfId="4128" xr:uid="{00000000-0005-0000-0000-000020100000}"/>
    <cellStyle name="Note 2 4 4 4 2 2" xfId="4129" xr:uid="{00000000-0005-0000-0000-000021100000}"/>
    <cellStyle name="Note 2 4 4 4 3" xfId="4130" xr:uid="{00000000-0005-0000-0000-000022100000}"/>
    <cellStyle name="Note 2 4 4 5" xfId="4131" xr:uid="{00000000-0005-0000-0000-000023100000}"/>
    <cellStyle name="Note 2 4 4 5 2" xfId="4132" xr:uid="{00000000-0005-0000-0000-000024100000}"/>
    <cellStyle name="Note 2 4 4 6" xfId="4133" xr:uid="{00000000-0005-0000-0000-000025100000}"/>
    <cellStyle name="Note 2 4 5" xfId="4134" xr:uid="{00000000-0005-0000-0000-000026100000}"/>
    <cellStyle name="Note 2 4 5 2" xfId="4135" xr:uid="{00000000-0005-0000-0000-000027100000}"/>
    <cellStyle name="Note 2 5" xfId="4136" xr:uid="{00000000-0005-0000-0000-000028100000}"/>
    <cellStyle name="Note 2 5 2" xfId="4137" xr:uid="{00000000-0005-0000-0000-000029100000}"/>
    <cellStyle name="Note 2 5 2 2" xfId="4138" xr:uid="{00000000-0005-0000-0000-00002A100000}"/>
    <cellStyle name="Note 2 5 2 2 2" xfId="4139" xr:uid="{00000000-0005-0000-0000-00002B100000}"/>
    <cellStyle name="Note 2 5 2 2 2 2" xfId="4140" xr:uid="{00000000-0005-0000-0000-00002C100000}"/>
    <cellStyle name="Note 2 5 2 2 2 2 2" xfId="4141" xr:uid="{00000000-0005-0000-0000-00002D100000}"/>
    <cellStyle name="Note 2 5 2 2 2 3" xfId="4142" xr:uid="{00000000-0005-0000-0000-00002E100000}"/>
    <cellStyle name="Note 2 5 2 2 3" xfId="4143" xr:uid="{00000000-0005-0000-0000-00002F100000}"/>
    <cellStyle name="Note 2 5 2 2 3 2" xfId="4144" xr:uid="{00000000-0005-0000-0000-000030100000}"/>
    <cellStyle name="Note 2 5 2 2 4" xfId="4145" xr:uid="{00000000-0005-0000-0000-000031100000}"/>
    <cellStyle name="Note 2 5 2 3" xfId="4146" xr:uid="{00000000-0005-0000-0000-000032100000}"/>
    <cellStyle name="Note 2 5 2 3 2" xfId="4147" xr:uid="{00000000-0005-0000-0000-000033100000}"/>
    <cellStyle name="Note 2 5 2 3 2 2" xfId="4148" xr:uid="{00000000-0005-0000-0000-000034100000}"/>
    <cellStyle name="Note 2 5 2 3 3" xfId="4149" xr:uid="{00000000-0005-0000-0000-000035100000}"/>
    <cellStyle name="Note 2 5 2 3 4" xfId="4150" xr:uid="{00000000-0005-0000-0000-000036100000}"/>
    <cellStyle name="Note 2 5 2 4" xfId="4151" xr:uid="{00000000-0005-0000-0000-000037100000}"/>
    <cellStyle name="Note 2 5 2 4 2" xfId="4152" xr:uid="{00000000-0005-0000-0000-000038100000}"/>
    <cellStyle name="Note 2 5 2 4 2 2" xfId="4153" xr:uid="{00000000-0005-0000-0000-000039100000}"/>
    <cellStyle name="Note 2 5 2 4 3" xfId="4154" xr:uid="{00000000-0005-0000-0000-00003A100000}"/>
    <cellStyle name="Note 2 5 2 5" xfId="4155" xr:uid="{00000000-0005-0000-0000-00003B100000}"/>
    <cellStyle name="Note 2 5 2 5 2" xfId="4156" xr:uid="{00000000-0005-0000-0000-00003C100000}"/>
    <cellStyle name="Note 2 5 2 6" xfId="4157" xr:uid="{00000000-0005-0000-0000-00003D100000}"/>
    <cellStyle name="Note 2 5 3" xfId="4158" xr:uid="{00000000-0005-0000-0000-00003E100000}"/>
    <cellStyle name="Note 2 5 3 2" xfId="4159" xr:uid="{00000000-0005-0000-0000-00003F100000}"/>
    <cellStyle name="Note 2 5 3 2 2" xfId="4160" xr:uid="{00000000-0005-0000-0000-000040100000}"/>
    <cellStyle name="Note 2 5 3 2 2 2" xfId="4161" xr:uid="{00000000-0005-0000-0000-000041100000}"/>
    <cellStyle name="Note 2 5 3 2 2 2 2" xfId="4162" xr:uid="{00000000-0005-0000-0000-000042100000}"/>
    <cellStyle name="Note 2 5 3 2 2 3" xfId="4163" xr:uid="{00000000-0005-0000-0000-000043100000}"/>
    <cellStyle name="Note 2 5 3 2 3" xfId="4164" xr:uid="{00000000-0005-0000-0000-000044100000}"/>
    <cellStyle name="Note 2 5 3 2 3 2" xfId="4165" xr:uid="{00000000-0005-0000-0000-000045100000}"/>
    <cellStyle name="Note 2 5 3 2 4" xfId="4166" xr:uid="{00000000-0005-0000-0000-000046100000}"/>
    <cellStyle name="Note 2 5 3 3" xfId="4167" xr:uid="{00000000-0005-0000-0000-000047100000}"/>
    <cellStyle name="Note 2 5 3 3 2" xfId="4168" xr:uid="{00000000-0005-0000-0000-000048100000}"/>
    <cellStyle name="Note 2 5 3 3 2 2" xfId="4169" xr:uid="{00000000-0005-0000-0000-000049100000}"/>
    <cellStyle name="Note 2 5 3 3 3" xfId="4170" xr:uid="{00000000-0005-0000-0000-00004A100000}"/>
    <cellStyle name="Note 2 5 3 3 4" xfId="4171" xr:uid="{00000000-0005-0000-0000-00004B100000}"/>
    <cellStyle name="Note 2 5 3 4" xfId="4172" xr:uid="{00000000-0005-0000-0000-00004C100000}"/>
    <cellStyle name="Note 2 5 3 4 2" xfId="4173" xr:uid="{00000000-0005-0000-0000-00004D100000}"/>
    <cellStyle name="Note 2 5 3 4 2 2" xfId="4174" xr:uid="{00000000-0005-0000-0000-00004E100000}"/>
    <cellStyle name="Note 2 5 3 4 3" xfId="4175" xr:uid="{00000000-0005-0000-0000-00004F100000}"/>
    <cellStyle name="Note 2 5 3 5" xfId="4176" xr:uid="{00000000-0005-0000-0000-000050100000}"/>
    <cellStyle name="Note 2 5 3 5 2" xfId="4177" xr:uid="{00000000-0005-0000-0000-000051100000}"/>
    <cellStyle name="Note 2 5 3 6" xfId="4178" xr:uid="{00000000-0005-0000-0000-000052100000}"/>
    <cellStyle name="Note 2 5 4" xfId="4179" xr:uid="{00000000-0005-0000-0000-000053100000}"/>
    <cellStyle name="Note 2 5 4 2" xfId="4180" xr:uid="{00000000-0005-0000-0000-000054100000}"/>
    <cellStyle name="Note 2 5 4 2 2" xfId="4181" xr:uid="{00000000-0005-0000-0000-000055100000}"/>
    <cellStyle name="Note 2 5 4 2 2 2" xfId="4182" xr:uid="{00000000-0005-0000-0000-000056100000}"/>
    <cellStyle name="Note 2 5 4 2 3" xfId="4183" xr:uid="{00000000-0005-0000-0000-000057100000}"/>
    <cellStyle name="Note 2 5 4 3" xfId="4184" xr:uid="{00000000-0005-0000-0000-000058100000}"/>
    <cellStyle name="Note 2 5 4 3 2" xfId="4185" xr:uid="{00000000-0005-0000-0000-000059100000}"/>
    <cellStyle name="Note 2 5 4 4" xfId="4186" xr:uid="{00000000-0005-0000-0000-00005A100000}"/>
    <cellStyle name="Note 2 5 5" xfId="4187" xr:uid="{00000000-0005-0000-0000-00005B100000}"/>
    <cellStyle name="Note 2 5 5 2" xfId="4188" xr:uid="{00000000-0005-0000-0000-00005C100000}"/>
    <cellStyle name="Note 2 5 5 2 2" xfId="4189" xr:uid="{00000000-0005-0000-0000-00005D100000}"/>
    <cellStyle name="Note 2 5 5 3" xfId="4190" xr:uid="{00000000-0005-0000-0000-00005E100000}"/>
    <cellStyle name="Note 2 5 5 4" xfId="4191" xr:uid="{00000000-0005-0000-0000-00005F100000}"/>
    <cellStyle name="Note 2 5 6" xfId="4192" xr:uid="{00000000-0005-0000-0000-000060100000}"/>
    <cellStyle name="Note 2 5 6 2" xfId="4193" xr:uid="{00000000-0005-0000-0000-000061100000}"/>
    <cellStyle name="Note 2 5 6 2 2" xfId="4194" xr:uid="{00000000-0005-0000-0000-000062100000}"/>
    <cellStyle name="Note 2 5 6 3" xfId="4195" xr:uid="{00000000-0005-0000-0000-000063100000}"/>
    <cellStyle name="Note 2 5 7" xfId="4196" xr:uid="{00000000-0005-0000-0000-000064100000}"/>
    <cellStyle name="Note 2 6" xfId="4197" xr:uid="{00000000-0005-0000-0000-000065100000}"/>
    <cellStyle name="Note 2 6 2" xfId="4198" xr:uid="{00000000-0005-0000-0000-000066100000}"/>
    <cellStyle name="Note 2 6 2 2" xfId="4199" xr:uid="{00000000-0005-0000-0000-000067100000}"/>
    <cellStyle name="Note 2 6 2 2 2" xfId="4200" xr:uid="{00000000-0005-0000-0000-000068100000}"/>
    <cellStyle name="Note 2 6 2 2 2 2" xfId="4201" xr:uid="{00000000-0005-0000-0000-000069100000}"/>
    <cellStyle name="Note 2 6 2 2 3" xfId="4202" xr:uid="{00000000-0005-0000-0000-00006A100000}"/>
    <cellStyle name="Note 2 6 2 3" xfId="4203" xr:uid="{00000000-0005-0000-0000-00006B100000}"/>
    <cellStyle name="Note 2 6 2 3 2" xfId="4204" xr:uid="{00000000-0005-0000-0000-00006C100000}"/>
    <cellStyle name="Note 2 6 2 4" xfId="4205" xr:uid="{00000000-0005-0000-0000-00006D100000}"/>
    <cellStyle name="Note 2 6 3" xfId="4206" xr:uid="{00000000-0005-0000-0000-00006E100000}"/>
    <cellStyle name="Note 2 6 3 2" xfId="4207" xr:uid="{00000000-0005-0000-0000-00006F100000}"/>
    <cellStyle name="Note 2 6 3 2 2" xfId="4208" xr:uid="{00000000-0005-0000-0000-000070100000}"/>
    <cellStyle name="Note 2 6 3 3" xfId="4209" xr:uid="{00000000-0005-0000-0000-000071100000}"/>
    <cellStyle name="Note 2 6 3 4" xfId="4210" xr:uid="{00000000-0005-0000-0000-000072100000}"/>
    <cellStyle name="Note 2 6 4" xfId="4211" xr:uid="{00000000-0005-0000-0000-000073100000}"/>
    <cellStyle name="Note 2 6 4 2" xfId="4212" xr:uid="{00000000-0005-0000-0000-000074100000}"/>
    <cellStyle name="Note 2 6 4 2 2" xfId="4213" xr:uid="{00000000-0005-0000-0000-000075100000}"/>
    <cellStyle name="Note 2 6 4 3" xfId="4214" xr:uid="{00000000-0005-0000-0000-000076100000}"/>
    <cellStyle name="Note 2 6 5" xfId="4215" xr:uid="{00000000-0005-0000-0000-000077100000}"/>
    <cellStyle name="Note 3" xfId="4216" xr:uid="{00000000-0005-0000-0000-000078100000}"/>
    <cellStyle name="Note 3 2" xfId="4217" xr:uid="{00000000-0005-0000-0000-000079100000}"/>
    <cellStyle name="Note 3 2 2" xfId="4218" xr:uid="{00000000-0005-0000-0000-00007A100000}"/>
    <cellStyle name="Note 3 2 2 2" xfId="4219" xr:uid="{00000000-0005-0000-0000-00007B100000}"/>
    <cellStyle name="Note 3 2 2 2 2" xfId="4220" xr:uid="{00000000-0005-0000-0000-00007C100000}"/>
    <cellStyle name="Note 3 2 2 2 2 2" xfId="4221" xr:uid="{00000000-0005-0000-0000-00007D100000}"/>
    <cellStyle name="Note 3 2 2 2 2 2 2" xfId="4222" xr:uid="{00000000-0005-0000-0000-00007E100000}"/>
    <cellStyle name="Note 3 2 2 2 2 3" xfId="4223" xr:uid="{00000000-0005-0000-0000-00007F100000}"/>
    <cellStyle name="Note 3 2 2 2 3" xfId="4224" xr:uid="{00000000-0005-0000-0000-000080100000}"/>
    <cellStyle name="Note 3 2 2 2 3 2" xfId="4225" xr:uid="{00000000-0005-0000-0000-000081100000}"/>
    <cellStyle name="Note 3 2 2 2 4" xfId="4226" xr:uid="{00000000-0005-0000-0000-000082100000}"/>
    <cellStyle name="Note 3 2 2 3" xfId="4227" xr:uid="{00000000-0005-0000-0000-000083100000}"/>
    <cellStyle name="Note 3 2 2 3 2" xfId="4228" xr:uid="{00000000-0005-0000-0000-000084100000}"/>
    <cellStyle name="Note 3 2 2 3 2 2" xfId="4229" xr:uid="{00000000-0005-0000-0000-000085100000}"/>
    <cellStyle name="Note 3 2 2 3 3" xfId="4230" xr:uid="{00000000-0005-0000-0000-000086100000}"/>
    <cellStyle name="Note 3 2 2 3 4" xfId="4231" xr:uid="{00000000-0005-0000-0000-000087100000}"/>
    <cellStyle name="Note 3 2 2 4" xfId="4232" xr:uid="{00000000-0005-0000-0000-000088100000}"/>
    <cellStyle name="Note 3 2 2 4 2" xfId="4233" xr:uid="{00000000-0005-0000-0000-000089100000}"/>
    <cellStyle name="Note 3 2 2 4 2 2" xfId="4234" xr:uid="{00000000-0005-0000-0000-00008A100000}"/>
    <cellStyle name="Note 3 2 2 4 3" xfId="4235" xr:uid="{00000000-0005-0000-0000-00008B100000}"/>
    <cellStyle name="Note 3 2 2 5" xfId="4236" xr:uid="{00000000-0005-0000-0000-00008C100000}"/>
    <cellStyle name="Note 3 2 3" xfId="4237" xr:uid="{00000000-0005-0000-0000-00008D100000}"/>
    <cellStyle name="Note 3 2 3 2" xfId="4238" xr:uid="{00000000-0005-0000-0000-00008E100000}"/>
    <cellStyle name="Note 3 2 3 2 2" xfId="4239" xr:uid="{00000000-0005-0000-0000-00008F100000}"/>
    <cellStyle name="Note 3 2 3 2 2 2" xfId="4240" xr:uid="{00000000-0005-0000-0000-000090100000}"/>
    <cellStyle name="Note 3 2 3 2 2 2 2" xfId="4241" xr:uid="{00000000-0005-0000-0000-000091100000}"/>
    <cellStyle name="Note 3 2 3 2 2 3" xfId="4242" xr:uid="{00000000-0005-0000-0000-000092100000}"/>
    <cellStyle name="Note 3 2 3 2 3" xfId="4243" xr:uid="{00000000-0005-0000-0000-000093100000}"/>
    <cellStyle name="Note 3 2 3 2 3 2" xfId="4244" xr:uid="{00000000-0005-0000-0000-000094100000}"/>
    <cellStyle name="Note 3 2 3 2 4" xfId="4245" xr:uid="{00000000-0005-0000-0000-000095100000}"/>
    <cellStyle name="Note 3 2 3 3" xfId="4246" xr:uid="{00000000-0005-0000-0000-000096100000}"/>
    <cellStyle name="Note 3 2 3 3 2" xfId="4247" xr:uid="{00000000-0005-0000-0000-000097100000}"/>
    <cellStyle name="Note 3 2 3 3 2 2" xfId="4248" xr:uid="{00000000-0005-0000-0000-000098100000}"/>
    <cellStyle name="Note 3 2 3 3 3" xfId="4249" xr:uid="{00000000-0005-0000-0000-000099100000}"/>
    <cellStyle name="Note 3 2 3 3 4" xfId="4250" xr:uid="{00000000-0005-0000-0000-00009A100000}"/>
    <cellStyle name="Note 3 2 3 4" xfId="4251" xr:uid="{00000000-0005-0000-0000-00009B100000}"/>
    <cellStyle name="Note 3 2 3 4 2" xfId="4252" xr:uid="{00000000-0005-0000-0000-00009C100000}"/>
    <cellStyle name="Note 3 2 3 4 2 2" xfId="4253" xr:uid="{00000000-0005-0000-0000-00009D100000}"/>
    <cellStyle name="Note 3 2 3 4 3" xfId="4254" xr:uid="{00000000-0005-0000-0000-00009E100000}"/>
    <cellStyle name="Note 3 2 3 5" xfId="4255" xr:uid="{00000000-0005-0000-0000-00009F100000}"/>
    <cellStyle name="Note 3 2 3 5 2" xfId="4256" xr:uid="{00000000-0005-0000-0000-0000A0100000}"/>
    <cellStyle name="Note 3 2 3 6" xfId="4257" xr:uid="{00000000-0005-0000-0000-0000A1100000}"/>
    <cellStyle name="Note 3 2 4" xfId="4258" xr:uid="{00000000-0005-0000-0000-0000A2100000}"/>
    <cellStyle name="Note 3 2 4 2" xfId="4259" xr:uid="{00000000-0005-0000-0000-0000A3100000}"/>
    <cellStyle name="Note 3 2 4 2 2" xfId="4260" xr:uid="{00000000-0005-0000-0000-0000A4100000}"/>
    <cellStyle name="Note 3 2 4 2 2 2" xfId="4261" xr:uid="{00000000-0005-0000-0000-0000A5100000}"/>
    <cellStyle name="Note 3 2 4 2 2 2 2" xfId="4262" xr:uid="{00000000-0005-0000-0000-0000A6100000}"/>
    <cellStyle name="Note 3 2 4 2 2 3" xfId="4263" xr:uid="{00000000-0005-0000-0000-0000A7100000}"/>
    <cellStyle name="Note 3 2 4 2 3" xfId="4264" xr:uid="{00000000-0005-0000-0000-0000A8100000}"/>
    <cellStyle name="Note 3 2 4 2 3 2" xfId="4265" xr:uid="{00000000-0005-0000-0000-0000A9100000}"/>
    <cellStyle name="Note 3 2 4 2 4" xfId="4266" xr:uid="{00000000-0005-0000-0000-0000AA100000}"/>
    <cellStyle name="Note 3 2 4 3" xfId="4267" xr:uid="{00000000-0005-0000-0000-0000AB100000}"/>
    <cellStyle name="Note 3 2 4 3 2" xfId="4268" xr:uid="{00000000-0005-0000-0000-0000AC100000}"/>
    <cellStyle name="Note 3 2 4 3 2 2" xfId="4269" xr:uid="{00000000-0005-0000-0000-0000AD100000}"/>
    <cellStyle name="Note 3 2 4 3 3" xfId="4270" xr:uid="{00000000-0005-0000-0000-0000AE100000}"/>
    <cellStyle name="Note 3 2 4 3 4" xfId="4271" xr:uid="{00000000-0005-0000-0000-0000AF100000}"/>
    <cellStyle name="Note 3 2 4 4" xfId="4272" xr:uid="{00000000-0005-0000-0000-0000B0100000}"/>
    <cellStyle name="Note 3 2 4 4 2" xfId="4273" xr:uid="{00000000-0005-0000-0000-0000B1100000}"/>
    <cellStyle name="Note 3 2 4 4 2 2" xfId="4274" xr:uid="{00000000-0005-0000-0000-0000B2100000}"/>
    <cellStyle name="Note 3 2 4 4 3" xfId="4275" xr:uid="{00000000-0005-0000-0000-0000B3100000}"/>
    <cellStyle name="Note 3 2 4 5" xfId="4276" xr:uid="{00000000-0005-0000-0000-0000B4100000}"/>
    <cellStyle name="Note 3 2 4 5 2" xfId="4277" xr:uid="{00000000-0005-0000-0000-0000B5100000}"/>
    <cellStyle name="Note 3 2 4 6" xfId="4278" xr:uid="{00000000-0005-0000-0000-0000B6100000}"/>
    <cellStyle name="Note 3 2 5" xfId="4279" xr:uid="{00000000-0005-0000-0000-0000B7100000}"/>
    <cellStyle name="Note 3 2 5 2" xfId="4280" xr:uid="{00000000-0005-0000-0000-0000B8100000}"/>
    <cellStyle name="Note 3 3" xfId="4281" xr:uid="{00000000-0005-0000-0000-0000B9100000}"/>
    <cellStyle name="Note 3 3 2" xfId="4282" xr:uid="{00000000-0005-0000-0000-0000BA100000}"/>
    <cellStyle name="Note 3 3 2 2" xfId="4283" xr:uid="{00000000-0005-0000-0000-0000BB100000}"/>
    <cellStyle name="Note 3 3 2 2 2" xfId="4284" xr:uid="{00000000-0005-0000-0000-0000BC100000}"/>
    <cellStyle name="Note 3 3 2 2 2 2" xfId="4285" xr:uid="{00000000-0005-0000-0000-0000BD100000}"/>
    <cellStyle name="Note 3 3 2 2 2 2 2" xfId="4286" xr:uid="{00000000-0005-0000-0000-0000BE100000}"/>
    <cellStyle name="Note 3 3 2 2 2 3" xfId="4287" xr:uid="{00000000-0005-0000-0000-0000BF100000}"/>
    <cellStyle name="Note 3 3 2 2 3" xfId="4288" xr:uid="{00000000-0005-0000-0000-0000C0100000}"/>
    <cellStyle name="Note 3 3 2 2 3 2" xfId="4289" xr:uid="{00000000-0005-0000-0000-0000C1100000}"/>
    <cellStyle name="Note 3 3 2 2 4" xfId="4290" xr:uid="{00000000-0005-0000-0000-0000C2100000}"/>
    <cellStyle name="Note 3 3 2 3" xfId="4291" xr:uid="{00000000-0005-0000-0000-0000C3100000}"/>
    <cellStyle name="Note 3 3 2 3 2" xfId="4292" xr:uid="{00000000-0005-0000-0000-0000C4100000}"/>
    <cellStyle name="Note 3 3 2 3 2 2" xfId="4293" xr:uid="{00000000-0005-0000-0000-0000C5100000}"/>
    <cellStyle name="Note 3 3 2 3 3" xfId="4294" xr:uid="{00000000-0005-0000-0000-0000C6100000}"/>
    <cellStyle name="Note 3 3 2 3 4" xfId="4295" xr:uid="{00000000-0005-0000-0000-0000C7100000}"/>
    <cellStyle name="Note 3 3 2 4" xfId="4296" xr:uid="{00000000-0005-0000-0000-0000C8100000}"/>
    <cellStyle name="Note 3 3 2 4 2" xfId="4297" xr:uid="{00000000-0005-0000-0000-0000C9100000}"/>
    <cellStyle name="Note 3 3 2 4 2 2" xfId="4298" xr:uid="{00000000-0005-0000-0000-0000CA100000}"/>
    <cellStyle name="Note 3 3 2 4 3" xfId="4299" xr:uid="{00000000-0005-0000-0000-0000CB100000}"/>
    <cellStyle name="Note 3 3 2 5" xfId="4300" xr:uid="{00000000-0005-0000-0000-0000CC100000}"/>
    <cellStyle name="Note 3 3 2 5 2" xfId="4301" xr:uid="{00000000-0005-0000-0000-0000CD100000}"/>
    <cellStyle name="Note 3 3 2 6" xfId="4302" xr:uid="{00000000-0005-0000-0000-0000CE100000}"/>
    <cellStyle name="Note 3 3 3" xfId="4303" xr:uid="{00000000-0005-0000-0000-0000CF100000}"/>
    <cellStyle name="Note 3 3 3 2" xfId="4304" xr:uid="{00000000-0005-0000-0000-0000D0100000}"/>
    <cellStyle name="Note 3 3 3 2 2" xfId="4305" xr:uid="{00000000-0005-0000-0000-0000D1100000}"/>
    <cellStyle name="Note 3 3 3 2 2 2" xfId="4306" xr:uid="{00000000-0005-0000-0000-0000D2100000}"/>
    <cellStyle name="Note 3 3 3 2 2 2 2" xfId="4307" xr:uid="{00000000-0005-0000-0000-0000D3100000}"/>
    <cellStyle name="Note 3 3 3 2 2 3" xfId="4308" xr:uid="{00000000-0005-0000-0000-0000D4100000}"/>
    <cellStyle name="Note 3 3 3 2 3" xfId="4309" xr:uid="{00000000-0005-0000-0000-0000D5100000}"/>
    <cellStyle name="Note 3 3 3 2 3 2" xfId="4310" xr:uid="{00000000-0005-0000-0000-0000D6100000}"/>
    <cellStyle name="Note 3 3 3 2 4" xfId="4311" xr:uid="{00000000-0005-0000-0000-0000D7100000}"/>
    <cellStyle name="Note 3 3 3 3" xfId="4312" xr:uid="{00000000-0005-0000-0000-0000D8100000}"/>
    <cellStyle name="Note 3 3 3 3 2" xfId="4313" xr:uid="{00000000-0005-0000-0000-0000D9100000}"/>
    <cellStyle name="Note 3 3 3 3 2 2" xfId="4314" xr:uid="{00000000-0005-0000-0000-0000DA100000}"/>
    <cellStyle name="Note 3 3 3 3 3" xfId="4315" xr:uid="{00000000-0005-0000-0000-0000DB100000}"/>
    <cellStyle name="Note 3 3 3 3 4" xfId="4316" xr:uid="{00000000-0005-0000-0000-0000DC100000}"/>
    <cellStyle name="Note 3 3 3 4" xfId="4317" xr:uid="{00000000-0005-0000-0000-0000DD100000}"/>
    <cellStyle name="Note 3 3 3 4 2" xfId="4318" xr:uid="{00000000-0005-0000-0000-0000DE100000}"/>
    <cellStyle name="Note 3 3 3 4 2 2" xfId="4319" xr:uid="{00000000-0005-0000-0000-0000DF100000}"/>
    <cellStyle name="Note 3 3 3 4 3" xfId="4320" xr:uid="{00000000-0005-0000-0000-0000E0100000}"/>
    <cellStyle name="Note 3 3 3 5" xfId="4321" xr:uid="{00000000-0005-0000-0000-0000E1100000}"/>
    <cellStyle name="Note 3 3 3 5 2" xfId="4322" xr:uid="{00000000-0005-0000-0000-0000E2100000}"/>
    <cellStyle name="Note 3 3 3 6" xfId="4323" xr:uid="{00000000-0005-0000-0000-0000E3100000}"/>
    <cellStyle name="Note 3 3 4" xfId="4324" xr:uid="{00000000-0005-0000-0000-0000E4100000}"/>
    <cellStyle name="Note 3 3 4 2" xfId="4325" xr:uid="{00000000-0005-0000-0000-0000E5100000}"/>
    <cellStyle name="Note 3 3 4 2 2" xfId="4326" xr:uid="{00000000-0005-0000-0000-0000E6100000}"/>
    <cellStyle name="Note 3 3 4 2 2 2" xfId="4327" xr:uid="{00000000-0005-0000-0000-0000E7100000}"/>
    <cellStyle name="Note 3 3 4 2 3" xfId="4328" xr:uid="{00000000-0005-0000-0000-0000E8100000}"/>
    <cellStyle name="Note 3 3 4 3" xfId="4329" xr:uid="{00000000-0005-0000-0000-0000E9100000}"/>
    <cellStyle name="Note 3 3 4 3 2" xfId="4330" xr:uid="{00000000-0005-0000-0000-0000EA100000}"/>
    <cellStyle name="Note 3 3 4 4" xfId="4331" xr:uid="{00000000-0005-0000-0000-0000EB100000}"/>
    <cellStyle name="Note 3 3 5" xfId="4332" xr:uid="{00000000-0005-0000-0000-0000EC100000}"/>
    <cellStyle name="Note 3 3 5 2" xfId="4333" xr:uid="{00000000-0005-0000-0000-0000ED100000}"/>
    <cellStyle name="Note 3 3 5 2 2" xfId="4334" xr:uid="{00000000-0005-0000-0000-0000EE100000}"/>
    <cellStyle name="Note 3 3 5 3" xfId="4335" xr:uid="{00000000-0005-0000-0000-0000EF100000}"/>
    <cellStyle name="Note 3 3 5 4" xfId="4336" xr:uid="{00000000-0005-0000-0000-0000F0100000}"/>
    <cellStyle name="Note 3 3 6" xfId="4337" xr:uid="{00000000-0005-0000-0000-0000F1100000}"/>
    <cellStyle name="Note 3 3 6 2" xfId="4338" xr:uid="{00000000-0005-0000-0000-0000F2100000}"/>
    <cellStyle name="Note 3 3 6 2 2" xfId="4339" xr:uid="{00000000-0005-0000-0000-0000F3100000}"/>
    <cellStyle name="Note 3 3 6 3" xfId="4340" xr:uid="{00000000-0005-0000-0000-0000F4100000}"/>
    <cellStyle name="Note 3 3 7" xfId="4341" xr:uid="{00000000-0005-0000-0000-0000F5100000}"/>
    <cellStyle name="Note 3 4" xfId="4342" xr:uid="{00000000-0005-0000-0000-0000F6100000}"/>
    <cellStyle name="Note 3 4 2" xfId="4343" xr:uid="{00000000-0005-0000-0000-0000F7100000}"/>
    <cellStyle name="Note 3 4 2 2" xfId="4344" xr:uid="{00000000-0005-0000-0000-0000F8100000}"/>
    <cellStyle name="Note 3 4 2 2 2" xfId="4345" xr:uid="{00000000-0005-0000-0000-0000F9100000}"/>
    <cellStyle name="Note 3 4 2 2 2 2" xfId="4346" xr:uid="{00000000-0005-0000-0000-0000FA100000}"/>
    <cellStyle name="Note 3 4 2 2 3" xfId="4347" xr:uid="{00000000-0005-0000-0000-0000FB100000}"/>
    <cellStyle name="Note 3 4 2 3" xfId="4348" xr:uid="{00000000-0005-0000-0000-0000FC100000}"/>
    <cellStyle name="Note 3 4 2 3 2" xfId="4349" xr:uid="{00000000-0005-0000-0000-0000FD100000}"/>
    <cellStyle name="Note 3 4 2 4" xfId="4350" xr:uid="{00000000-0005-0000-0000-0000FE100000}"/>
    <cellStyle name="Note 3 4 3" xfId="4351" xr:uid="{00000000-0005-0000-0000-0000FF100000}"/>
    <cellStyle name="Note 3 4 3 2" xfId="4352" xr:uid="{00000000-0005-0000-0000-000000110000}"/>
    <cellStyle name="Note 3 4 3 2 2" xfId="4353" xr:uid="{00000000-0005-0000-0000-000001110000}"/>
    <cellStyle name="Note 3 4 3 3" xfId="4354" xr:uid="{00000000-0005-0000-0000-000002110000}"/>
    <cellStyle name="Note 3 4 3 4" xfId="4355" xr:uid="{00000000-0005-0000-0000-000003110000}"/>
    <cellStyle name="Note 3 4 4" xfId="4356" xr:uid="{00000000-0005-0000-0000-000004110000}"/>
    <cellStyle name="Note 3 4 4 2" xfId="4357" xr:uid="{00000000-0005-0000-0000-000005110000}"/>
    <cellStyle name="Note 3 4 4 2 2" xfId="4358" xr:uid="{00000000-0005-0000-0000-000006110000}"/>
    <cellStyle name="Note 3 4 4 3" xfId="4359" xr:uid="{00000000-0005-0000-0000-000007110000}"/>
    <cellStyle name="Note 3 4 5" xfId="4360" xr:uid="{00000000-0005-0000-0000-000008110000}"/>
    <cellStyle name="Note 4" xfId="4361" xr:uid="{00000000-0005-0000-0000-000009110000}"/>
    <cellStyle name="Note 4 2" xfId="4362" xr:uid="{00000000-0005-0000-0000-00000A110000}"/>
    <cellStyle name="Note 4 2 2" xfId="4363" xr:uid="{00000000-0005-0000-0000-00000B110000}"/>
    <cellStyle name="Note 4 2 2 2" xfId="4364" xr:uid="{00000000-0005-0000-0000-00000C110000}"/>
    <cellStyle name="Note 4 2 2 2 2" xfId="4365" xr:uid="{00000000-0005-0000-0000-00000D110000}"/>
    <cellStyle name="Note 4 2 2 2 2 2" xfId="4366" xr:uid="{00000000-0005-0000-0000-00000E110000}"/>
    <cellStyle name="Note 4 2 2 2 2 2 2" xfId="4367" xr:uid="{00000000-0005-0000-0000-00000F110000}"/>
    <cellStyle name="Note 4 2 2 2 2 3" xfId="4368" xr:uid="{00000000-0005-0000-0000-000010110000}"/>
    <cellStyle name="Note 4 2 2 2 3" xfId="4369" xr:uid="{00000000-0005-0000-0000-000011110000}"/>
    <cellStyle name="Note 4 2 2 2 3 2" xfId="4370" xr:uid="{00000000-0005-0000-0000-000012110000}"/>
    <cellStyle name="Note 4 2 2 2 4" xfId="4371" xr:uid="{00000000-0005-0000-0000-000013110000}"/>
    <cellStyle name="Note 4 2 2 3" xfId="4372" xr:uid="{00000000-0005-0000-0000-000014110000}"/>
    <cellStyle name="Note 4 2 2 3 2" xfId="4373" xr:uid="{00000000-0005-0000-0000-000015110000}"/>
    <cellStyle name="Note 4 2 2 3 2 2" xfId="4374" xr:uid="{00000000-0005-0000-0000-000016110000}"/>
    <cellStyle name="Note 4 2 2 3 3" xfId="4375" xr:uid="{00000000-0005-0000-0000-000017110000}"/>
    <cellStyle name="Note 4 2 2 3 4" xfId="4376" xr:uid="{00000000-0005-0000-0000-000018110000}"/>
    <cellStyle name="Note 4 2 2 4" xfId="4377" xr:uid="{00000000-0005-0000-0000-000019110000}"/>
    <cellStyle name="Note 4 2 2 4 2" xfId="4378" xr:uid="{00000000-0005-0000-0000-00001A110000}"/>
    <cellStyle name="Note 4 2 2 4 2 2" xfId="4379" xr:uid="{00000000-0005-0000-0000-00001B110000}"/>
    <cellStyle name="Note 4 2 2 4 3" xfId="4380" xr:uid="{00000000-0005-0000-0000-00001C110000}"/>
    <cellStyle name="Note 4 2 2 5" xfId="4381" xr:uid="{00000000-0005-0000-0000-00001D110000}"/>
    <cellStyle name="Note 4 2 3" xfId="4382" xr:uid="{00000000-0005-0000-0000-00001E110000}"/>
    <cellStyle name="Note 4 2 3 2" xfId="4383" xr:uid="{00000000-0005-0000-0000-00001F110000}"/>
    <cellStyle name="Note 4 2 3 2 2" xfId="4384" xr:uid="{00000000-0005-0000-0000-000020110000}"/>
    <cellStyle name="Note 4 2 3 2 2 2" xfId="4385" xr:uid="{00000000-0005-0000-0000-000021110000}"/>
    <cellStyle name="Note 4 2 3 2 2 2 2" xfId="4386" xr:uid="{00000000-0005-0000-0000-000022110000}"/>
    <cellStyle name="Note 4 2 3 2 2 3" xfId="4387" xr:uid="{00000000-0005-0000-0000-000023110000}"/>
    <cellStyle name="Note 4 2 3 2 3" xfId="4388" xr:uid="{00000000-0005-0000-0000-000024110000}"/>
    <cellStyle name="Note 4 2 3 2 3 2" xfId="4389" xr:uid="{00000000-0005-0000-0000-000025110000}"/>
    <cellStyle name="Note 4 2 3 2 4" xfId="4390" xr:uid="{00000000-0005-0000-0000-000026110000}"/>
    <cellStyle name="Note 4 2 3 3" xfId="4391" xr:uid="{00000000-0005-0000-0000-000027110000}"/>
    <cellStyle name="Note 4 2 3 3 2" xfId="4392" xr:uid="{00000000-0005-0000-0000-000028110000}"/>
    <cellStyle name="Note 4 2 3 3 2 2" xfId="4393" xr:uid="{00000000-0005-0000-0000-000029110000}"/>
    <cellStyle name="Note 4 2 3 3 3" xfId="4394" xr:uid="{00000000-0005-0000-0000-00002A110000}"/>
    <cellStyle name="Note 4 2 3 3 4" xfId="4395" xr:uid="{00000000-0005-0000-0000-00002B110000}"/>
    <cellStyle name="Note 4 2 3 4" xfId="4396" xr:uid="{00000000-0005-0000-0000-00002C110000}"/>
    <cellStyle name="Note 4 2 3 4 2" xfId="4397" xr:uid="{00000000-0005-0000-0000-00002D110000}"/>
    <cellStyle name="Note 4 2 3 4 2 2" xfId="4398" xr:uid="{00000000-0005-0000-0000-00002E110000}"/>
    <cellStyle name="Note 4 2 3 4 3" xfId="4399" xr:uid="{00000000-0005-0000-0000-00002F110000}"/>
    <cellStyle name="Note 4 2 3 5" xfId="4400" xr:uid="{00000000-0005-0000-0000-000030110000}"/>
    <cellStyle name="Note 4 2 3 5 2" xfId="4401" xr:uid="{00000000-0005-0000-0000-000031110000}"/>
    <cellStyle name="Note 4 2 3 6" xfId="4402" xr:uid="{00000000-0005-0000-0000-000032110000}"/>
    <cellStyle name="Note 4 2 4" xfId="4403" xr:uid="{00000000-0005-0000-0000-000033110000}"/>
    <cellStyle name="Note 4 2 4 2" xfId="4404" xr:uid="{00000000-0005-0000-0000-000034110000}"/>
    <cellStyle name="Note 4 2 4 2 2" xfId="4405" xr:uid="{00000000-0005-0000-0000-000035110000}"/>
    <cellStyle name="Note 4 2 4 2 2 2" xfId="4406" xr:uid="{00000000-0005-0000-0000-000036110000}"/>
    <cellStyle name="Note 4 2 4 2 2 2 2" xfId="4407" xr:uid="{00000000-0005-0000-0000-000037110000}"/>
    <cellStyle name="Note 4 2 4 2 2 3" xfId="4408" xr:uid="{00000000-0005-0000-0000-000038110000}"/>
    <cellStyle name="Note 4 2 4 2 3" xfId="4409" xr:uid="{00000000-0005-0000-0000-000039110000}"/>
    <cellStyle name="Note 4 2 4 2 3 2" xfId="4410" xr:uid="{00000000-0005-0000-0000-00003A110000}"/>
    <cellStyle name="Note 4 2 4 2 4" xfId="4411" xr:uid="{00000000-0005-0000-0000-00003B110000}"/>
    <cellStyle name="Note 4 2 4 3" xfId="4412" xr:uid="{00000000-0005-0000-0000-00003C110000}"/>
    <cellStyle name="Note 4 2 4 3 2" xfId="4413" xr:uid="{00000000-0005-0000-0000-00003D110000}"/>
    <cellStyle name="Note 4 2 4 3 2 2" xfId="4414" xr:uid="{00000000-0005-0000-0000-00003E110000}"/>
    <cellStyle name="Note 4 2 4 3 3" xfId="4415" xr:uid="{00000000-0005-0000-0000-00003F110000}"/>
    <cellStyle name="Note 4 2 4 3 4" xfId="4416" xr:uid="{00000000-0005-0000-0000-000040110000}"/>
    <cellStyle name="Note 4 2 4 4" xfId="4417" xr:uid="{00000000-0005-0000-0000-000041110000}"/>
    <cellStyle name="Note 4 2 4 4 2" xfId="4418" xr:uid="{00000000-0005-0000-0000-000042110000}"/>
    <cellStyle name="Note 4 2 4 4 2 2" xfId="4419" xr:uid="{00000000-0005-0000-0000-000043110000}"/>
    <cellStyle name="Note 4 2 4 4 3" xfId="4420" xr:uid="{00000000-0005-0000-0000-000044110000}"/>
    <cellStyle name="Note 4 2 4 5" xfId="4421" xr:uid="{00000000-0005-0000-0000-000045110000}"/>
    <cellStyle name="Note 4 2 4 5 2" xfId="4422" xr:uid="{00000000-0005-0000-0000-000046110000}"/>
    <cellStyle name="Note 4 2 4 6" xfId="4423" xr:uid="{00000000-0005-0000-0000-000047110000}"/>
    <cellStyle name="Note 4 2 5" xfId="4424" xr:uid="{00000000-0005-0000-0000-000048110000}"/>
    <cellStyle name="Note 4 2 5 2" xfId="4425" xr:uid="{00000000-0005-0000-0000-000049110000}"/>
    <cellStyle name="Note 4 3" xfId="4426" xr:uid="{00000000-0005-0000-0000-00004A110000}"/>
    <cellStyle name="Note 4 3 2" xfId="4427" xr:uid="{00000000-0005-0000-0000-00004B110000}"/>
    <cellStyle name="Note 4 3 2 2" xfId="4428" xr:uid="{00000000-0005-0000-0000-00004C110000}"/>
    <cellStyle name="Note 4 3 2 2 2" xfId="4429" xr:uid="{00000000-0005-0000-0000-00004D110000}"/>
    <cellStyle name="Note 4 3 2 2 2 2" xfId="4430" xr:uid="{00000000-0005-0000-0000-00004E110000}"/>
    <cellStyle name="Note 4 3 2 2 2 2 2" xfId="4431" xr:uid="{00000000-0005-0000-0000-00004F110000}"/>
    <cellStyle name="Note 4 3 2 2 2 3" xfId="4432" xr:uid="{00000000-0005-0000-0000-000050110000}"/>
    <cellStyle name="Note 4 3 2 2 3" xfId="4433" xr:uid="{00000000-0005-0000-0000-000051110000}"/>
    <cellStyle name="Note 4 3 2 2 3 2" xfId="4434" xr:uid="{00000000-0005-0000-0000-000052110000}"/>
    <cellStyle name="Note 4 3 2 2 4" xfId="4435" xr:uid="{00000000-0005-0000-0000-000053110000}"/>
    <cellStyle name="Note 4 3 2 3" xfId="4436" xr:uid="{00000000-0005-0000-0000-000054110000}"/>
    <cellStyle name="Note 4 3 2 3 2" xfId="4437" xr:uid="{00000000-0005-0000-0000-000055110000}"/>
    <cellStyle name="Note 4 3 2 3 2 2" xfId="4438" xr:uid="{00000000-0005-0000-0000-000056110000}"/>
    <cellStyle name="Note 4 3 2 3 3" xfId="4439" xr:uid="{00000000-0005-0000-0000-000057110000}"/>
    <cellStyle name="Note 4 3 2 3 4" xfId="4440" xr:uid="{00000000-0005-0000-0000-000058110000}"/>
    <cellStyle name="Note 4 3 2 4" xfId="4441" xr:uid="{00000000-0005-0000-0000-000059110000}"/>
    <cellStyle name="Note 4 3 2 4 2" xfId="4442" xr:uid="{00000000-0005-0000-0000-00005A110000}"/>
    <cellStyle name="Note 4 3 2 4 2 2" xfId="4443" xr:uid="{00000000-0005-0000-0000-00005B110000}"/>
    <cellStyle name="Note 4 3 2 4 3" xfId="4444" xr:uid="{00000000-0005-0000-0000-00005C110000}"/>
    <cellStyle name="Note 4 3 2 5" xfId="4445" xr:uid="{00000000-0005-0000-0000-00005D110000}"/>
    <cellStyle name="Note 4 3 2 5 2" xfId="4446" xr:uid="{00000000-0005-0000-0000-00005E110000}"/>
    <cellStyle name="Note 4 3 2 6" xfId="4447" xr:uid="{00000000-0005-0000-0000-00005F110000}"/>
    <cellStyle name="Note 4 3 3" xfId="4448" xr:uid="{00000000-0005-0000-0000-000060110000}"/>
    <cellStyle name="Note 4 3 3 2" xfId="4449" xr:uid="{00000000-0005-0000-0000-000061110000}"/>
    <cellStyle name="Note 4 3 3 2 2" xfId="4450" xr:uid="{00000000-0005-0000-0000-000062110000}"/>
    <cellStyle name="Note 4 3 3 2 2 2" xfId="4451" xr:uid="{00000000-0005-0000-0000-000063110000}"/>
    <cellStyle name="Note 4 3 3 2 2 2 2" xfId="4452" xr:uid="{00000000-0005-0000-0000-000064110000}"/>
    <cellStyle name="Note 4 3 3 2 2 3" xfId="4453" xr:uid="{00000000-0005-0000-0000-000065110000}"/>
    <cellStyle name="Note 4 3 3 2 3" xfId="4454" xr:uid="{00000000-0005-0000-0000-000066110000}"/>
    <cellStyle name="Note 4 3 3 2 3 2" xfId="4455" xr:uid="{00000000-0005-0000-0000-000067110000}"/>
    <cellStyle name="Note 4 3 3 2 4" xfId="4456" xr:uid="{00000000-0005-0000-0000-000068110000}"/>
    <cellStyle name="Note 4 3 3 3" xfId="4457" xr:uid="{00000000-0005-0000-0000-000069110000}"/>
    <cellStyle name="Note 4 3 3 3 2" xfId="4458" xr:uid="{00000000-0005-0000-0000-00006A110000}"/>
    <cellStyle name="Note 4 3 3 3 2 2" xfId="4459" xr:uid="{00000000-0005-0000-0000-00006B110000}"/>
    <cellStyle name="Note 4 3 3 3 3" xfId="4460" xr:uid="{00000000-0005-0000-0000-00006C110000}"/>
    <cellStyle name="Note 4 3 3 3 4" xfId="4461" xr:uid="{00000000-0005-0000-0000-00006D110000}"/>
    <cellStyle name="Note 4 3 3 4" xfId="4462" xr:uid="{00000000-0005-0000-0000-00006E110000}"/>
    <cellStyle name="Note 4 3 3 4 2" xfId="4463" xr:uid="{00000000-0005-0000-0000-00006F110000}"/>
    <cellStyle name="Note 4 3 3 4 2 2" xfId="4464" xr:uid="{00000000-0005-0000-0000-000070110000}"/>
    <cellStyle name="Note 4 3 3 4 3" xfId="4465" xr:uid="{00000000-0005-0000-0000-000071110000}"/>
    <cellStyle name="Note 4 3 3 5" xfId="4466" xr:uid="{00000000-0005-0000-0000-000072110000}"/>
    <cellStyle name="Note 4 3 3 5 2" xfId="4467" xr:uid="{00000000-0005-0000-0000-000073110000}"/>
    <cellStyle name="Note 4 3 3 6" xfId="4468" xr:uid="{00000000-0005-0000-0000-000074110000}"/>
    <cellStyle name="Note 4 3 4" xfId="4469" xr:uid="{00000000-0005-0000-0000-000075110000}"/>
    <cellStyle name="Note 4 3 4 2" xfId="4470" xr:uid="{00000000-0005-0000-0000-000076110000}"/>
    <cellStyle name="Note 4 3 4 2 2" xfId="4471" xr:uid="{00000000-0005-0000-0000-000077110000}"/>
    <cellStyle name="Note 4 3 4 2 2 2" xfId="4472" xr:uid="{00000000-0005-0000-0000-000078110000}"/>
    <cellStyle name="Note 4 3 4 2 3" xfId="4473" xr:uid="{00000000-0005-0000-0000-000079110000}"/>
    <cellStyle name="Note 4 3 4 3" xfId="4474" xr:uid="{00000000-0005-0000-0000-00007A110000}"/>
    <cellStyle name="Note 4 3 4 3 2" xfId="4475" xr:uid="{00000000-0005-0000-0000-00007B110000}"/>
    <cellStyle name="Note 4 3 4 4" xfId="4476" xr:uid="{00000000-0005-0000-0000-00007C110000}"/>
    <cellStyle name="Note 4 3 5" xfId="4477" xr:uid="{00000000-0005-0000-0000-00007D110000}"/>
    <cellStyle name="Note 4 3 5 2" xfId="4478" xr:uid="{00000000-0005-0000-0000-00007E110000}"/>
    <cellStyle name="Note 4 3 5 2 2" xfId="4479" xr:uid="{00000000-0005-0000-0000-00007F110000}"/>
    <cellStyle name="Note 4 3 5 3" xfId="4480" xr:uid="{00000000-0005-0000-0000-000080110000}"/>
    <cellStyle name="Note 4 3 5 4" xfId="4481" xr:uid="{00000000-0005-0000-0000-000081110000}"/>
    <cellStyle name="Note 4 3 6" xfId="4482" xr:uid="{00000000-0005-0000-0000-000082110000}"/>
    <cellStyle name="Note 4 3 6 2" xfId="4483" xr:uid="{00000000-0005-0000-0000-000083110000}"/>
    <cellStyle name="Note 4 3 6 2 2" xfId="4484" xr:uid="{00000000-0005-0000-0000-000084110000}"/>
    <cellStyle name="Note 4 3 6 3" xfId="4485" xr:uid="{00000000-0005-0000-0000-000085110000}"/>
    <cellStyle name="Note 4 3 7" xfId="4486" xr:uid="{00000000-0005-0000-0000-000086110000}"/>
    <cellStyle name="Note 4 4" xfId="4487" xr:uid="{00000000-0005-0000-0000-000087110000}"/>
    <cellStyle name="Note 4 4 2" xfId="4488" xr:uid="{00000000-0005-0000-0000-000088110000}"/>
    <cellStyle name="Note 4 4 2 2" xfId="4489" xr:uid="{00000000-0005-0000-0000-000089110000}"/>
    <cellStyle name="Note 4 4 2 2 2" xfId="4490" xr:uid="{00000000-0005-0000-0000-00008A110000}"/>
    <cellStyle name="Note 4 4 2 2 2 2" xfId="4491" xr:uid="{00000000-0005-0000-0000-00008B110000}"/>
    <cellStyle name="Note 4 4 2 2 3" xfId="4492" xr:uid="{00000000-0005-0000-0000-00008C110000}"/>
    <cellStyle name="Note 4 4 2 3" xfId="4493" xr:uid="{00000000-0005-0000-0000-00008D110000}"/>
    <cellStyle name="Note 4 4 2 3 2" xfId="4494" xr:uid="{00000000-0005-0000-0000-00008E110000}"/>
    <cellStyle name="Note 4 4 2 4" xfId="4495" xr:uid="{00000000-0005-0000-0000-00008F110000}"/>
    <cellStyle name="Note 4 4 3" xfId="4496" xr:uid="{00000000-0005-0000-0000-000090110000}"/>
    <cellStyle name="Note 4 4 3 2" xfId="4497" xr:uid="{00000000-0005-0000-0000-000091110000}"/>
    <cellStyle name="Note 4 4 3 2 2" xfId="4498" xr:uid="{00000000-0005-0000-0000-000092110000}"/>
    <cellStyle name="Note 4 4 3 3" xfId="4499" xr:uid="{00000000-0005-0000-0000-000093110000}"/>
    <cellStyle name="Note 4 4 3 4" xfId="4500" xr:uid="{00000000-0005-0000-0000-000094110000}"/>
    <cellStyle name="Note 4 4 4" xfId="4501" xr:uid="{00000000-0005-0000-0000-000095110000}"/>
    <cellStyle name="Note 4 4 4 2" xfId="4502" xr:uid="{00000000-0005-0000-0000-000096110000}"/>
    <cellStyle name="Note 4 4 4 2 2" xfId="4503" xr:uid="{00000000-0005-0000-0000-000097110000}"/>
    <cellStyle name="Note 4 4 4 3" xfId="4504" xr:uid="{00000000-0005-0000-0000-000098110000}"/>
    <cellStyle name="Note 4 4 5" xfId="4505" xr:uid="{00000000-0005-0000-0000-000099110000}"/>
    <cellStyle name="Note 5" xfId="4506" xr:uid="{00000000-0005-0000-0000-00009A110000}"/>
    <cellStyle name="Note 5 2" xfId="4507" xr:uid="{00000000-0005-0000-0000-00009B110000}"/>
    <cellStyle name="Note 5 2 2" xfId="4508" xr:uid="{00000000-0005-0000-0000-00009C110000}"/>
    <cellStyle name="Note 5 2 2 2" xfId="4509" xr:uid="{00000000-0005-0000-0000-00009D110000}"/>
    <cellStyle name="Note 5 2 2 2 2" xfId="4510" xr:uid="{00000000-0005-0000-0000-00009E110000}"/>
    <cellStyle name="Note 5 2 2 2 2 2" xfId="4511" xr:uid="{00000000-0005-0000-0000-00009F110000}"/>
    <cellStyle name="Note 5 2 2 2 3" xfId="4512" xr:uid="{00000000-0005-0000-0000-0000A0110000}"/>
    <cellStyle name="Note 5 2 2 3" xfId="4513" xr:uid="{00000000-0005-0000-0000-0000A1110000}"/>
    <cellStyle name="Note 5 2 2 3 2" xfId="4514" xr:uid="{00000000-0005-0000-0000-0000A2110000}"/>
    <cellStyle name="Note 5 2 2 4" xfId="4515" xr:uid="{00000000-0005-0000-0000-0000A3110000}"/>
    <cellStyle name="Note 5 2 3" xfId="4516" xr:uid="{00000000-0005-0000-0000-0000A4110000}"/>
    <cellStyle name="Note 5 2 3 2" xfId="4517" xr:uid="{00000000-0005-0000-0000-0000A5110000}"/>
    <cellStyle name="Note 5 2 3 2 2" xfId="4518" xr:uid="{00000000-0005-0000-0000-0000A6110000}"/>
    <cellStyle name="Note 5 2 3 3" xfId="4519" xr:uid="{00000000-0005-0000-0000-0000A7110000}"/>
    <cellStyle name="Note 5 2 3 4" xfId="4520" xr:uid="{00000000-0005-0000-0000-0000A8110000}"/>
    <cellStyle name="Note 5 2 4" xfId="4521" xr:uid="{00000000-0005-0000-0000-0000A9110000}"/>
    <cellStyle name="Note 5 2 4 2" xfId="4522" xr:uid="{00000000-0005-0000-0000-0000AA110000}"/>
    <cellStyle name="Note 5 2 4 2 2" xfId="4523" xr:uid="{00000000-0005-0000-0000-0000AB110000}"/>
    <cellStyle name="Note 5 2 4 3" xfId="4524" xr:uid="{00000000-0005-0000-0000-0000AC110000}"/>
    <cellStyle name="Note 5 2 5" xfId="4525" xr:uid="{00000000-0005-0000-0000-0000AD110000}"/>
    <cellStyle name="Note 5 3" xfId="4526" xr:uid="{00000000-0005-0000-0000-0000AE110000}"/>
    <cellStyle name="Note 5 3 2" xfId="4527" xr:uid="{00000000-0005-0000-0000-0000AF110000}"/>
    <cellStyle name="Note 5 3 2 2" xfId="4528" xr:uid="{00000000-0005-0000-0000-0000B0110000}"/>
    <cellStyle name="Note 5 3 2 2 2" xfId="4529" xr:uid="{00000000-0005-0000-0000-0000B1110000}"/>
    <cellStyle name="Note 5 3 2 2 2 2" xfId="4530" xr:uid="{00000000-0005-0000-0000-0000B2110000}"/>
    <cellStyle name="Note 5 3 2 2 3" xfId="4531" xr:uid="{00000000-0005-0000-0000-0000B3110000}"/>
    <cellStyle name="Note 5 3 2 3" xfId="4532" xr:uid="{00000000-0005-0000-0000-0000B4110000}"/>
    <cellStyle name="Note 5 3 2 3 2" xfId="4533" xr:uid="{00000000-0005-0000-0000-0000B5110000}"/>
    <cellStyle name="Note 5 3 2 4" xfId="4534" xr:uid="{00000000-0005-0000-0000-0000B6110000}"/>
    <cellStyle name="Note 5 3 3" xfId="4535" xr:uid="{00000000-0005-0000-0000-0000B7110000}"/>
    <cellStyle name="Note 5 3 3 2" xfId="4536" xr:uid="{00000000-0005-0000-0000-0000B8110000}"/>
    <cellStyle name="Note 5 3 3 2 2" xfId="4537" xr:uid="{00000000-0005-0000-0000-0000B9110000}"/>
    <cellStyle name="Note 5 3 3 3" xfId="4538" xr:uid="{00000000-0005-0000-0000-0000BA110000}"/>
    <cellStyle name="Note 5 3 3 4" xfId="4539" xr:uid="{00000000-0005-0000-0000-0000BB110000}"/>
    <cellStyle name="Note 5 3 4" xfId="4540" xr:uid="{00000000-0005-0000-0000-0000BC110000}"/>
    <cellStyle name="Note 5 3 4 2" xfId="4541" xr:uid="{00000000-0005-0000-0000-0000BD110000}"/>
    <cellStyle name="Note 5 3 4 2 2" xfId="4542" xr:uid="{00000000-0005-0000-0000-0000BE110000}"/>
    <cellStyle name="Note 5 3 4 3" xfId="4543" xr:uid="{00000000-0005-0000-0000-0000BF110000}"/>
    <cellStyle name="Note 5 3 5" xfId="4544" xr:uid="{00000000-0005-0000-0000-0000C0110000}"/>
    <cellStyle name="Note 5 3 5 2" xfId="4545" xr:uid="{00000000-0005-0000-0000-0000C1110000}"/>
    <cellStyle name="Note 5 3 6" xfId="4546" xr:uid="{00000000-0005-0000-0000-0000C2110000}"/>
    <cellStyle name="Note 5 4" xfId="4547" xr:uid="{00000000-0005-0000-0000-0000C3110000}"/>
    <cellStyle name="Note 5 4 2" xfId="4548" xr:uid="{00000000-0005-0000-0000-0000C4110000}"/>
    <cellStyle name="Note 5 4 2 2" xfId="4549" xr:uid="{00000000-0005-0000-0000-0000C5110000}"/>
    <cellStyle name="Note 5 4 2 2 2" xfId="4550" xr:uid="{00000000-0005-0000-0000-0000C6110000}"/>
    <cellStyle name="Note 5 4 2 2 2 2" xfId="4551" xr:uid="{00000000-0005-0000-0000-0000C7110000}"/>
    <cellStyle name="Note 5 4 2 2 3" xfId="4552" xr:uid="{00000000-0005-0000-0000-0000C8110000}"/>
    <cellStyle name="Note 5 4 2 3" xfId="4553" xr:uid="{00000000-0005-0000-0000-0000C9110000}"/>
    <cellStyle name="Note 5 4 2 3 2" xfId="4554" xr:uid="{00000000-0005-0000-0000-0000CA110000}"/>
    <cellStyle name="Note 5 4 2 4" xfId="4555" xr:uid="{00000000-0005-0000-0000-0000CB110000}"/>
    <cellStyle name="Note 5 4 3" xfId="4556" xr:uid="{00000000-0005-0000-0000-0000CC110000}"/>
    <cellStyle name="Note 5 4 3 2" xfId="4557" xr:uid="{00000000-0005-0000-0000-0000CD110000}"/>
    <cellStyle name="Note 5 4 3 2 2" xfId="4558" xr:uid="{00000000-0005-0000-0000-0000CE110000}"/>
    <cellStyle name="Note 5 4 3 3" xfId="4559" xr:uid="{00000000-0005-0000-0000-0000CF110000}"/>
    <cellStyle name="Note 5 4 3 4" xfId="4560" xr:uid="{00000000-0005-0000-0000-0000D0110000}"/>
    <cellStyle name="Note 5 4 4" xfId="4561" xr:uid="{00000000-0005-0000-0000-0000D1110000}"/>
    <cellStyle name="Note 5 4 4 2" xfId="4562" xr:uid="{00000000-0005-0000-0000-0000D2110000}"/>
    <cellStyle name="Note 5 4 4 2 2" xfId="4563" xr:uid="{00000000-0005-0000-0000-0000D3110000}"/>
    <cellStyle name="Note 5 4 4 3" xfId="4564" xr:uid="{00000000-0005-0000-0000-0000D4110000}"/>
    <cellStyle name="Note 5 4 5" xfId="4565" xr:uid="{00000000-0005-0000-0000-0000D5110000}"/>
    <cellStyle name="Note 5 4 5 2" xfId="4566" xr:uid="{00000000-0005-0000-0000-0000D6110000}"/>
    <cellStyle name="Note 5 4 6" xfId="4567" xr:uid="{00000000-0005-0000-0000-0000D7110000}"/>
    <cellStyle name="Note 5 5" xfId="4568" xr:uid="{00000000-0005-0000-0000-0000D8110000}"/>
    <cellStyle name="Note 5 5 2" xfId="4569" xr:uid="{00000000-0005-0000-0000-0000D9110000}"/>
    <cellStyle name="Note 6" xfId="4570" xr:uid="{00000000-0005-0000-0000-0000DA110000}"/>
    <cellStyle name="Note 6 2" xfId="4571" xr:uid="{00000000-0005-0000-0000-0000DB110000}"/>
    <cellStyle name="Note 6 2 2" xfId="4572" xr:uid="{00000000-0005-0000-0000-0000DC110000}"/>
    <cellStyle name="Note 6 2 2 2" xfId="4573" xr:uid="{00000000-0005-0000-0000-0000DD110000}"/>
    <cellStyle name="Note 6 2 2 2 2" xfId="4574" xr:uid="{00000000-0005-0000-0000-0000DE110000}"/>
    <cellStyle name="Note 6 2 2 2 2 2" xfId="4575" xr:uid="{00000000-0005-0000-0000-0000DF110000}"/>
    <cellStyle name="Note 6 2 2 2 3" xfId="4576" xr:uid="{00000000-0005-0000-0000-0000E0110000}"/>
    <cellStyle name="Note 6 2 2 3" xfId="4577" xr:uid="{00000000-0005-0000-0000-0000E1110000}"/>
    <cellStyle name="Note 6 2 2 3 2" xfId="4578" xr:uid="{00000000-0005-0000-0000-0000E2110000}"/>
    <cellStyle name="Note 6 2 2 4" xfId="4579" xr:uid="{00000000-0005-0000-0000-0000E3110000}"/>
    <cellStyle name="Note 6 2 3" xfId="4580" xr:uid="{00000000-0005-0000-0000-0000E4110000}"/>
    <cellStyle name="Note 6 2 3 2" xfId="4581" xr:uid="{00000000-0005-0000-0000-0000E5110000}"/>
    <cellStyle name="Note 6 2 3 2 2" xfId="4582" xr:uid="{00000000-0005-0000-0000-0000E6110000}"/>
    <cellStyle name="Note 6 2 3 3" xfId="4583" xr:uid="{00000000-0005-0000-0000-0000E7110000}"/>
    <cellStyle name="Note 6 2 3 4" xfId="4584" xr:uid="{00000000-0005-0000-0000-0000E8110000}"/>
    <cellStyle name="Note 6 2 4" xfId="4585" xr:uid="{00000000-0005-0000-0000-0000E9110000}"/>
    <cellStyle name="Note 6 2 4 2" xfId="4586" xr:uid="{00000000-0005-0000-0000-0000EA110000}"/>
    <cellStyle name="Note 6 2 4 2 2" xfId="4587" xr:uid="{00000000-0005-0000-0000-0000EB110000}"/>
    <cellStyle name="Note 6 2 4 3" xfId="4588" xr:uid="{00000000-0005-0000-0000-0000EC110000}"/>
    <cellStyle name="Note 6 2 5" xfId="4589" xr:uid="{00000000-0005-0000-0000-0000ED110000}"/>
    <cellStyle name="Note 6 2 5 2" xfId="4590" xr:uid="{00000000-0005-0000-0000-0000EE110000}"/>
    <cellStyle name="Note 6 2 6" xfId="4591" xr:uid="{00000000-0005-0000-0000-0000EF110000}"/>
    <cellStyle name="Note 6 3" xfId="4592" xr:uid="{00000000-0005-0000-0000-0000F0110000}"/>
    <cellStyle name="Note 6 3 2" xfId="4593" xr:uid="{00000000-0005-0000-0000-0000F1110000}"/>
    <cellStyle name="Note 6 3 2 2" xfId="4594" xr:uid="{00000000-0005-0000-0000-0000F2110000}"/>
    <cellStyle name="Note 6 3 2 2 2" xfId="4595" xr:uid="{00000000-0005-0000-0000-0000F3110000}"/>
    <cellStyle name="Note 6 3 2 2 2 2" xfId="4596" xr:uid="{00000000-0005-0000-0000-0000F4110000}"/>
    <cellStyle name="Note 6 3 2 2 3" xfId="4597" xr:uid="{00000000-0005-0000-0000-0000F5110000}"/>
    <cellStyle name="Note 6 3 2 3" xfId="4598" xr:uid="{00000000-0005-0000-0000-0000F6110000}"/>
    <cellStyle name="Note 6 3 2 3 2" xfId="4599" xr:uid="{00000000-0005-0000-0000-0000F7110000}"/>
    <cellStyle name="Note 6 3 2 4" xfId="4600" xr:uid="{00000000-0005-0000-0000-0000F8110000}"/>
    <cellStyle name="Note 6 3 3" xfId="4601" xr:uid="{00000000-0005-0000-0000-0000F9110000}"/>
    <cellStyle name="Note 6 3 3 2" xfId="4602" xr:uid="{00000000-0005-0000-0000-0000FA110000}"/>
    <cellStyle name="Note 6 3 3 2 2" xfId="4603" xr:uid="{00000000-0005-0000-0000-0000FB110000}"/>
    <cellStyle name="Note 6 3 3 3" xfId="4604" xr:uid="{00000000-0005-0000-0000-0000FC110000}"/>
    <cellStyle name="Note 6 3 3 4" xfId="4605" xr:uid="{00000000-0005-0000-0000-0000FD110000}"/>
    <cellStyle name="Note 6 3 4" xfId="4606" xr:uid="{00000000-0005-0000-0000-0000FE110000}"/>
    <cellStyle name="Note 6 3 4 2" xfId="4607" xr:uid="{00000000-0005-0000-0000-0000FF110000}"/>
    <cellStyle name="Note 6 3 4 2 2" xfId="4608" xr:uid="{00000000-0005-0000-0000-000000120000}"/>
    <cellStyle name="Note 6 3 4 3" xfId="4609" xr:uid="{00000000-0005-0000-0000-000001120000}"/>
    <cellStyle name="Note 6 3 5" xfId="4610" xr:uid="{00000000-0005-0000-0000-000002120000}"/>
    <cellStyle name="Note 6 3 5 2" xfId="4611" xr:uid="{00000000-0005-0000-0000-000003120000}"/>
    <cellStyle name="Note 6 3 6" xfId="4612" xr:uid="{00000000-0005-0000-0000-000004120000}"/>
    <cellStyle name="Note 6 4" xfId="4613" xr:uid="{00000000-0005-0000-0000-000005120000}"/>
    <cellStyle name="Note 6 4 2" xfId="4614" xr:uid="{00000000-0005-0000-0000-000006120000}"/>
    <cellStyle name="Note 6 4 2 2" xfId="4615" xr:uid="{00000000-0005-0000-0000-000007120000}"/>
    <cellStyle name="Note 6 4 2 2 2" xfId="4616" xr:uid="{00000000-0005-0000-0000-000008120000}"/>
    <cellStyle name="Note 6 4 2 3" xfId="4617" xr:uid="{00000000-0005-0000-0000-000009120000}"/>
    <cellStyle name="Note 6 4 3" xfId="4618" xr:uid="{00000000-0005-0000-0000-00000A120000}"/>
    <cellStyle name="Note 6 4 3 2" xfId="4619" xr:uid="{00000000-0005-0000-0000-00000B120000}"/>
    <cellStyle name="Note 6 4 4" xfId="4620" xr:uid="{00000000-0005-0000-0000-00000C120000}"/>
    <cellStyle name="Note 6 5" xfId="4621" xr:uid="{00000000-0005-0000-0000-00000D120000}"/>
    <cellStyle name="Note 6 5 2" xfId="4622" xr:uid="{00000000-0005-0000-0000-00000E120000}"/>
    <cellStyle name="Note 6 5 2 2" xfId="4623" xr:uid="{00000000-0005-0000-0000-00000F120000}"/>
    <cellStyle name="Note 6 5 3" xfId="4624" xr:uid="{00000000-0005-0000-0000-000010120000}"/>
    <cellStyle name="Note 6 5 4" xfId="4625" xr:uid="{00000000-0005-0000-0000-000011120000}"/>
    <cellStyle name="Note 6 6" xfId="4626" xr:uid="{00000000-0005-0000-0000-000012120000}"/>
    <cellStyle name="Note 6 6 2" xfId="4627" xr:uid="{00000000-0005-0000-0000-000013120000}"/>
    <cellStyle name="Note 6 6 2 2" xfId="4628" xr:uid="{00000000-0005-0000-0000-000014120000}"/>
    <cellStyle name="Note 6 6 3" xfId="4629" xr:uid="{00000000-0005-0000-0000-000015120000}"/>
    <cellStyle name="Note 6 7" xfId="4630" xr:uid="{00000000-0005-0000-0000-000016120000}"/>
    <cellStyle name="Notes" xfId="4631" xr:uid="{00000000-0005-0000-0000-000017120000}"/>
    <cellStyle name="Output 2" xfId="4632" xr:uid="{00000000-0005-0000-0000-000018120000}"/>
    <cellStyle name="Output 2 2" xfId="4633" xr:uid="{00000000-0005-0000-0000-000019120000}"/>
    <cellStyle name="Output 2 2 2" xfId="4634" xr:uid="{00000000-0005-0000-0000-00001A120000}"/>
    <cellStyle name="Output 2 2 2 2" xfId="4635" xr:uid="{00000000-0005-0000-0000-00001B120000}"/>
    <cellStyle name="Output 2 2 2 2 2" xfId="4636" xr:uid="{00000000-0005-0000-0000-00001C120000}"/>
    <cellStyle name="Output 2 2 2 2 2 2" xfId="4637" xr:uid="{00000000-0005-0000-0000-00001D120000}"/>
    <cellStyle name="Output 2 2 2 2 2 2 2" xfId="4638" xr:uid="{00000000-0005-0000-0000-00001E120000}"/>
    <cellStyle name="Output 2 2 2 2 2 2 2 2" xfId="4639" xr:uid="{00000000-0005-0000-0000-00001F120000}"/>
    <cellStyle name="Output 2 2 2 2 2 2 2 2 2" xfId="4640" xr:uid="{00000000-0005-0000-0000-000020120000}"/>
    <cellStyle name="Output 2 2 2 2 2 2 2 3" xfId="4641" xr:uid="{00000000-0005-0000-0000-000021120000}"/>
    <cellStyle name="Output 2 2 2 2 2 2 3" xfId="4642" xr:uid="{00000000-0005-0000-0000-000022120000}"/>
    <cellStyle name="Output 2 2 2 2 2 2 3 2" xfId="4643" xr:uid="{00000000-0005-0000-0000-000023120000}"/>
    <cellStyle name="Output 2 2 2 2 2 2 4" xfId="4644" xr:uid="{00000000-0005-0000-0000-000024120000}"/>
    <cellStyle name="Output 2 2 2 2 2 3" xfId="4645" xr:uid="{00000000-0005-0000-0000-000025120000}"/>
    <cellStyle name="Output 2 2 2 2 2 3 2" xfId="4646" xr:uid="{00000000-0005-0000-0000-000026120000}"/>
    <cellStyle name="Output 2 2 2 2 2 3 2 2" xfId="4647" xr:uid="{00000000-0005-0000-0000-000027120000}"/>
    <cellStyle name="Output 2 2 2 2 2 3 3" xfId="4648" xr:uid="{00000000-0005-0000-0000-000028120000}"/>
    <cellStyle name="Output 2 2 2 2 2 3 4" xfId="4649" xr:uid="{00000000-0005-0000-0000-000029120000}"/>
    <cellStyle name="Output 2 2 2 2 2 4" xfId="4650" xr:uid="{00000000-0005-0000-0000-00002A120000}"/>
    <cellStyle name="Output 2 2 2 2 2 4 2" xfId="4651" xr:uid="{00000000-0005-0000-0000-00002B120000}"/>
    <cellStyle name="Output 2 2 2 2 2 4 2 2" xfId="4652" xr:uid="{00000000-0005-0000-0000-00002C120000}"/>
    <cellStyle name="Output 2 2 2 2 2 4 3" xfId="4653" xr:uid="{00000000-0005-0000-0000-00002D120000}"/>
    <cellStyle name="Output 2 2 2 2 2 5" xfId="4654" xr:uid="{00000000-0005-0000-0000-00002E120000}"/>
    <cellStyle name="Output 2 2 2 2 2 5 2" xfId="4655" xr:uid="{00000000-0005-0000-0000-00002F120000}"/>
    <cellStyle name="Output 2 2 2 2 2 6" xfId="4656" xr:uid="{00000000-0005-0000-0000-000030120000}"/>
    <cellStyle name="Output 2 2 2 2 3" xfId="4657" xr:uid="{00000000-0005-0000-0000-000031120000}"/>
    <cellStyle name="Output 2 2 2 2 3 2" xfId="4658" xr:uid="{00000000-0005-0000-0000-000032120000}"/>
    <cellStyle name="Output 2 2 2 2 3 2 2" xfId="4659" xr:uid="{00000000-0005-0000-0000-000033120000}"/>
    <cellStyle name="Output 2 2 2 2 3 2 2 2" xfId="4660" xr:uid="{00000000-0005-0000-0000-000034120000}"/>
    <cellStyle name="Output 2 2 2 2 3 2 2 2 2" xfId="4661" xr:uid="{00000000-0005-0000-0000-000035120000}"/>
    <cellStyle name="Output 2 2 2 2 3 2 2 3" xfId="4662" xr:uid="{00000000-0005-0000-0000-000036120000}"/>
    <cellStyle name="Output 2 2 2 2 3 2 3" xfId="4663" xr:uid="{00000000-0005-0000-0000-000037120000}"/>
    <cellStyle name="Output 2 2 2 2 3 2 3 2" xfId="4664" xr:uid="{00000000-0005-0000-0000-000038120000}"/>
    <cellStyle name="Output 2 2 2 2 3 2 4" xfId="4665" xr:uid="{00000000-0005-0000-0000-000039120000}"/>
    <cellStyle name="Output 2 2 2 2 3 3" xfId="4666" xr:uid="{00000000-0005-0000-0000-00003A120000}"/>
    <cellStyle name="Output 2 2 2 2 3 3 2" xfId="4667" xr:uid="{00000000-0005-0000-0000-00003B120000}"/>
    <cellStyle name="Output 2 2 2 2 3 3 2 2" xfId="4668" xr:uid="{00000000-0005-0000-0000-00003C120000}"/>
    <cellStyle name="Output 2 2 2 2 3 3 3" xfId="4669" xr:uid="{00000000-0005-0000-0000-00003D120000}"/>
    <cellStyle name="Output 2 2 2 2 3 3 4" xfId="4670" xr:uid="{00000000-0005-0000-0000-00003E120000}"/>
    <cellStyle name="Output 2 2 2 2 3 4" xfId="4671" xr:uid="{00000000-0005-0000-0000-00003F120000}"/>
    <cellStyle name="Output 2 2 2 2 3 4 2" xfId="4672" xr:uid="{00000000-0005-0000-0000-000040120000}"/>
    <cellStyle name="Output 2 2 2 2 3 4 2 2" xfId="4673" xr:uid="{00000000-0005-0000-0000-000041120000}"/>
    <cellStyle name="Output 2 2 2 2 3 4 3" xfId="4674" xr:uid="{00000000-0005-0000-0000-000042120000}"/>
    <cellStyle name="Output 2 2 2 2 3 5" xfId="4675" xr:uid="{00000000-0005-0000-0000-000043120000}"/>
    <cellStyle name="Output 2 2 2 2 3 5 2" xfId="4676" xr:uid="{00000000-0005-0000-0000-000044120000}"/>
    <cellStyle name="Output 2 2 2 2 3 6" xfId="4677" xr:uid="{00000000-0005-0000-0000-000045120000}"/>
    <cellStyle name="Output 2 2 2 2 4" xfId="4678" xr:uid="{00000000-0005-0000-0000-000046120000}"/>
    <cellStyle name="Output 2 2 2 2 4 2" xfId="4679" xr:uid="{00000000-0005-0000-0000-000047120000}"/>
    <cellStyle name="Output 2 2 2 3" xfId="4680" xr:uid="{00000000-0005-0000-0000-000048120000}"/>
    <cellStyle name="Output 2 2 2 3 2" xfId="4681" xr:uid="{00000000-0005-0000-0000-000049120000}"/>
    <cellStyle name="Output 2 2 2 3 2 2" xfId="4682" xr:uid="{00000000-0005-0000-0000-00004A120000}"/>
    <cellStyle name="Output 2 2 2 3 2 2 2" xfId="4683" xr:uid="{00000000-0005-0000-0000-00004B120000}"/>
    <cellStyle name="Output 2 2 2 3 2 2 2 2" xfId="4684" xr:uid="{00000000-0005-0000-0000-00004C120000}"/>
    <cellStyle name="Output 2 2 2 3 2 2 3" xfId="4685" xr:uid="{00000000-0005-0000-0000-00004D120000}"/>
    <cellStyle name="Output 2 2 2 3 2 3" xfId="4686" xr:uid="{00000000-0005-0000-0000-00004E120000}"/>
    <cellStyle name="Output 2 2 2 3 2 3 2" xfId="4687" xr:uid="{00000000-0005-0000-0000-00004F120000}"/>
    <cellStyle name="Output 2 2 2 3 2 4" xfId="4688" xr:uid="{00000000-0005-0000-0000-000050120000}"/>
    <cellStyle name="Output 2 2 2 3 3" xfId="4689" xr:uid="{00000000-0005-0000-0000-000051120000}"/>
    <cellStyle name="Output 2 2 2 3 3 2" xfId="4690" xr:uid="{00000000-0005-0000-0000-000052120000}"/>
    <cellStyle name="Output 2 2 2 3 3 2 2" xfId="4691" xr:uid="{00000000-0005-0000-0000-000053120000}"/>
    <cellStyle name="Output 2 2 2 3 3 3" xfId="4692" xr:uid="{00000000-0005-0000-0000-000054120000}"/>
    <cellStyle name="Output 2 2 2 3 3 4" xfId="4693" xr:uid="{00000000-0005-0000-0000-000055120000}"/>
    <cellStyle name="Output 2 2 2 3 4" xfId="4694" xr:uid="{00000000-0005-0000-0000-000056120000}"/>
    <cellStyle name="Output 2 2 2 3 4 2" xfId="4695" xr:uid="{00000000-0005-0000-0000-000057120000}"/>
    <cellStyle name="Output 2 2 2 3 4 2 2" xfId="4696" xr:uid="{00000000-0005-0000-0000-000058120000}"/>
    <cellStyle name="Output 2 2 2 3 4 3" xfId="4697" xr:uid="{00000000-0005-0000-0000-000059120000}"/>
    <cellStyle name="Output 2 2 2 3 5" xfId="4698" xr:uid="{00000000-0005-0000-0000-00005A120000}"/>
    <cellStyle name="Output 2 2 2 3 5 2" xfId="4699" xr:uid="{00000000-0005-0000-0000-00005B120000}"/>
    <cellStyle name="Output 2 2 2 3 6" xfId="4700" xr:uid="{00000000-0005-0000-0000-00005C120000}"/>
    <cellStyle name="Output 2 2 2 4" xfId="4701" xr:uid="{00000000-0005-0000-0000-00005D120000}"/>
    <cellStyle name="Output 2 2 2 4 2" xfId="4702" xr:uid="{00000000-0005-0000-0000-00005E120000}"/>
    <cellStyle name="Output 2 2 2 4 2 2" xfId="4703" xr:uid="{00000000-0005-0000-0000-00005F120000}"/>
    <cellStyle name="Output 2 2 2 4 2 2 2" xfId="4704" xr:uid="{00000000-0005-0000-0000-000060120000}"/>
    <cellStyle name="Output 2 2 2 4 2 2 2 2" xfId="4705" xr:uid="{00000000-0005-0000-0000-000061120000}"/>
    <cellStyle name="Output 2 2 2 4 2 2 3" xfId="4706" xr:uid="{00000000-0005-0000-0000-000062120000}"/>
    <cellStyle name="Output 2 2 2 4 2 3" xfId="4707" xr:uid="{00000000-0005-0000-0000-000063120000}"/>
    <cellStyle name="Output 2 2 2 4 2 3 2" xfId="4708" xr:uid="{00000000-0005-0000-0000-000064120000}"/>
    <cellStyle name="Output 2 2 2 4 2 4" xfId="4709" xr:uid="{00000000-0005-0000-0000-000065120000}"/>
    <cellStyle name="Output 2 2 2 4 3" xfId="4710" xr:uid="{00000000-0005-0000-0000-000066120000}"/>
    <cellStyle name="Output 2 2 2 4 3 2" xfId="4711" xr:uid="{00000000-0005-0000-0000-000067120000}"/>
    <cellStyle name="Output 2 2 2 4 3 2 2" xfId="4712" xr:uid="{00000000-0005-0000-0000-000068120000}"/>
    <cellStyle name="Output 2 2 2 4 3 3" xfId="4713" xr:uid="{00000000-0005-0000-0000-000069120000}"/>
    <cellStyle name="Output 2 2 2 4 3 4" xfId="4714" xr:uid="{00000000-0005-0000-0000-00006A120000}"/>
    <cellStyle name="Output 2 2 2 4 4" xfId="4715" xr:uid="{00000000-0005-0000-0000-00006B120000}"/>
    <cellStyle name="Output 2 2 2 4 4 2" xfId="4716" xr:uid="{00000000-0005-0000-0000-00006C120000}"/>
    <cellStyle name="Output 2 2 2 4 4 2 2" xfId="4717" xr:uid="{00000000-0005-0000-0000-00006D120000}"/>
    <cellStyle name="Output 2 2 2 4 4 3" xfId="4718" xr:uid="{00000000-0005-0000-0000-00006E120000}"/>
    <cellStyle name="Output 2 2 2 4 5" xfId="4719" xr:uid="{00000000-0005-0000-0000-00006F120000}"/>
    <cellStyle name="Output 2 2 2 4 5 2" xfId="4720" xr:uid="{00000000-0005-0000-0000-000070120000}"/>
    <cellStyle name="Output 2 2 2 4 6" xfId="4721" xr:uid="{00000000-0005-0000-0000-000071120000}"/>
    <cellStyle name="Output 2 2 2 5" xfId="4722" xr:uid="{00000000-0005-0000-0000-000072120000}"/>
    <cellStyle name="Output 2 2 2 5 2" xfId="4723" xr:uid="{00000000-0005-0000-0000-000073120000}"/>
    <cellStyle name="Output 2 2 3" xfId="4724" xr:uid="{00000000-0005-0000-0000-000074120000}"/>
    <cellStyle name="Output 2 2 3 2" xfId="4725" xr:uid="{00000000-0005-0000-0000-000075120000}"/>
    <cellStyle name="Output 2 2 3 2 2" xfId="4726" xr:uid="{00000000-0005-0000-0000-000076120000}"/>
    <cellStyle name="Output 2 2 3 2 2 2" xfId="4727" xr:uid="{00000000-0005-0000-0000-000077120000}"/>
    <cellStyle name="Output 2 2 3 2 2 2 2" xfId="4728" xr:uid="{00000000-0005-0000-0000-000078120000}"/>
    <cellStyle name="Output 2 2 3 2 2 2 2 2" xfId="4729" xr:uid="{00000000-0005-0000-0000-000079120000}"/>
    <cellStyle name="Output 2 2 3 2 2 2 3" xfId="4730" xr:uid="{00000000-0005-0000-0000-00007A120000}"/>
    <cellStyle name="Output 2 2 3 2 2 3" xfId="4731" xr:uid="{00000000-0005-0000-0000-00007B120000}"/>
    <cellStyle name="Output 2 2 3 2 2 3 2" xfId="4732" xr:uid="{00000000-0005-0000-0000-00007C120000}"/>
    <cellStyle name="Output 2 2 3 2 2 4" xfId="4733" xr:uid="{00000000-0005-0000-0000-00007D120000}"/>
    <cellStyle name="Output 2 2 3 2 3" xfId="4734" xr:uid="{00000000-0005-0000-0000-00007E120000}"/>
    <cellStyle name="Output 2 2 3 2 3 2" xfId="4735" xr:uid="{00000000-0005-0000-0000-00007F120000}"/>
    <cellStyle name="Output 2 2 3 2 3 2 2" xfId="4736" xr:uid="{00000000-0005-0000-0000-000080120000}"/>
    <cellStyle name="Output 2 2 3 2 3 3" xfId="4737" xr:uid="{00000000-0005-0000-0000-000081120000}"/>
    <cellStyle name="Output 2 2 3 2 3 4" xfId="4738" xr:uid="{00000000-0005-0000-0000-000082120000}"/>
    <cellStyle name="Output 2 2 3 2 4" xfId="4739" xr:uid="{00000000-0005-0000-0000-000083120000}"/>
    <cellStyle name="Output 2 2 3 2 4 2" xfId="4740" xr:uid="{00000000-0005-0000-0000-000084120000}"/>
    <cellStyle name="Output 2 2 3 2 4 2 2" xfId="4741" xr:uid="{00000000-0005-0000-0000-000085120000}"/>
    <cellStyle name="Output 2 2 3 2 4 3" xfId="4742" xr:uid="{00000000-0005-0000-0000-000086120000}"/>
    <cellStyle name="Output 2 2 3 2 5" xfId="4743" xr:uid="{00000000-0005-0000-0000-000087120000}"/>
    <cellStyle name="Output 2 2 3 2 5 2" xfId="4744" xr:uid="{00000000-0005-0000-0000-000088120000}"/>
    <cellStyle name="Output 2 2 3 2 6" xfId="4745" xr:uid="{00000000-0005-0000-0000-000089120000}"/>
    <cellStyle name="Output 2 2 3 3" xfId="4746" xr:uid="{00000000-0005-0000-0000-00008A120000}"/>
    <cellStyle name="Output 2 2 3 3 2" xfId="4747" xr:uid="{00000000-0005-0000-0000-00008B120000}"/>
    <cellStyle name="Output 2 2 3 3 2 2" xfId="4748" xr:uid="{00000000-0005-0000-0000-00008C120000}"/>
    <cellStyle name="Output 2 2 3 3 2 2 2" xfId="4749" xr:uid="{00000000-0005-0000-0000-00008D120000}"/>
    <cellStyle name="Output 2 2 3 3 2 2 2 2" xfId="4750" xr:uid="{00000000-0005-0000-0000-00008E120000}"/>
    <cellStyle name="Output 2 2 3 3 2 2 3" xfId="4751" xr:uid="{00000000-0005-0000-0000-00008F120000}"/>
    <cellStyle name="Output 2 2 3 3 2 3" xfId="4752" xr:uid="{00000000-0005-0000-0000-000090120000}"/>
    <cellStyle name="Output 2 2 3 3 2 3 2" xfId="4753" xr:uid="{00000000-0005-0000-0000-000091120000}"/>
    <cellStyle name="Output 2 2 3 3 2 4" xfId="4754" xr:uid="{00000000-0005-0000-0000-000092120000}"/>
    <cellStyle name="Output 2 2 3 3 3" xfId="4755" xr:uid="{00000000-0005-0000-0000-000093120000}"/>
    <cellStyle name="Output 2 2 3 3 3 2" xfId="4756" xr:uid="{00000000-0005-0000-0000-000094120000}"/>
    <cellStyle name="Output 2 2 3 3 3 2 2" xfId="4757" xr:uid="{00000000-0005-0000-0000-000095120000}"/>
    <cellStyle name="Output 2 2 3 3 3 3" xfId="4758" xr:uid="{00000000-0005-0000-0000-000096120000}"/>
    <cellStyle name="Output 2 2 3 3 3 4" xfId="4759" xr:uid="{00000000-0005-0000-0000-000097120000}"/>
    <cellStyle name="Output 2 2 3 3 4" xfId="4760" xr:uid="{00000000-0005-0000-0000-000098120000}"/>
    <cellStyle name="Output 2 2 3 3 4 2" xfId="4761" xr:uid="{00000000-0005-0000-0000-000099120000}"/>
    <cellStyle name="Output 2 2 3 3 4 2 2" xfId="4762" xr:uid="{00000000-0005-0000-0000-00009A120000}"/>
    <cellStyle name="Output 2 2 3 3 4 3" xfId="4763" xr:uid="{00000000-0005-0000-0000-00009B120000}"/>
    <cellStyle name="Output 2 2 3 3 5" xfId="4764" xr:uid="{00000000-0005-0000-0000-00009C120000}"/>
    <cellStyle name="Output 2 2 3 3 5 2" xfId="4765" xr:uid="{00000000-0005-0000-0000-00009D120000}"/>
    <cellStyle name="Output 2 2 3 3 6" xfId="4766" xr:uid="{00000000-0005-0000-0000-00009E120000}"/>
    <cellStyle name="Output 2 2 3 4" xfId="4767" xr:uid="{00000000-0005-0000-0000-00009F120000}"/>
    <cellStyle name="Output 2 2 3 4 2" xfId="4768" xr:uid="{00000000-0005-0000-0000-0000A0120000}"/>
    <cellStyle name="Output 2 2 4" xfId="4769" xr:uid="{00000000-0005-0000-0000-0000A1120000}"/>
    <cellStyle name="Output 2 2 4 2" xfId="4770" xr:uid="{00000000-0005-0000-0000-0000A2120000}"/>
    <cellStyle name="Output 2 2 4 2 2" xfId="4771" xr:uid="{00000000-0005-0000-0000-0000A3120000}"/>
    <cellStyle name="Output 2 2 4 2 2 2" xfId="4772" xr:uid="{00000000-0005-0000-0000-0000A4120000}"/>
    <cellStyle name="Output 2 2 4 2 2 2 2" xfId="4773" xr:uid="{00000000-0005-0000-0000-0000A5120000}"/>
    <cellStyle name="Output 2 2 4 2 2 2 2 2" xfId="4774" xr:uid="{00000000-0005-0000-0000-0000A6120000}"/>
    <cellStyle name="Output 2 2 4 2 2 2 3" xfId="4775" xr:uid="{00000000-0005-0000-0000-0000A7120000}"/>
    <cellStyle name="Output 2 2 4 2 2 3" xfId="4776" xr:uid="{00000000-0005-0000-0000-0000A8120000}"/>
    <cellStyle name="Output 2 2 4 2 2 3 2" xfId="4777" xr:uid="{00000000-0005-0000-0000-0000A9120000}"/>
    <cellStyle name="Output 2 2 4 2 2 4" xfId="4778" xr:uid="{00000000-0005-0000-0000-0000AA120000}"/>
    <cellStyle name="Output 2 2 4 2 3" xfId="4779" xr:uid="{00000000-0005-0000-0000-0000AB120000}"/>
    <cellStyle name="Output 2 2 4 2 3 2" xfId="4780" xr:uid="{00000000-0005-0000-0000-0000AC120000}"/>
    <cellStyle name="Output 2 2 4 2 3 2 2" xfId="4781" xr:uid="{00000000-0005-0000-0000-0000AD120000}"/>
    <cellStyle name="Output 2 2 4 2 3 3" xfId="4782" xr:uid="{00000000-0005-0000-0000-0000AE120000}"/>
    <cellStyle name="Output 2 2 4 2 3 4" xfId="4783" xr:uid="{00000000-0005-0000-0000-0000AF120000}"/>
    <cellStyle name="Output 2 2 4 2 4" xfId="4784" xr:uid="{00000000-0005-0000-0000-0000B0120000}"/>
    <cellStyle name="Output 2 2 4 2 4 2" xfId="4785" xr:uid="{00000000-0005-0000-0000-0000B1120000}"/>
    <cellStyle name="Output 2 2 4 2 4 2 2" xfId="4786" xr:uid="{00000000-0005-0000-0000-0000B2120000}"/>
    <cellStyle name="Output 2 2 4 2 4 3" xfId="4787" xr:uid="{00000000-0005-0000-0000-0000B3120000}"/>
    <cellStyle name="Output 2 2 4 2 5" xfId="4788" xr:uid="{00000000-0005-0000-0000-0000B4120000}"/>
    <cellStyle name="Output 2 2 4 2 5 2" xfId="4789" xr:uid="{00000000-0005-0000-0000-0000B5120000}"/>
    <cellStyle name="Output 2 2 4 2 6" xfId="4790" xr:uid="{00000000-0005-0000-0000-0000B6120000}"/>
    <cellStyle name="Output 2 2 4 3" xfId="4791" xr:uid="{00000000-0005-0000-0000-0000B7120000}"/>
    <cellStyle name="Output 2 2 4 3 2" xfId="4792" xr:uid="{00000000-0005-0000-0000-0000B8120000}"/>
    <cellStyle name="Output 2 2 4 3 2 2" xfId="4793" xr:uid="{00000000-0005-0000-0000-0000B9120000}"/>
    <cellStyle name="Output 2 2 4 3 3" xfId="4794" xr:uid="{00000000-0005-0000-0000-0000BA120000}"/>
    <cellStyle name="Output 2 2 4 4" xfId="4795" xr:uid="{00000000-0005-0000-0000-0000BB120000}"/>
    <cellStyle name="Output 2 2 4 4 2" xfId="4796" xr:uid="{00000000-0005-0000-0000-0000BC120000}"/>
    <cellStyle name="Output 2 2 4 4 2 2" xfId="4797" xr:uid="{00000000-0005-0000-0000-0000BD120000}"/>
    <cellStyle name="Output 2 2 4 4 2 2 2" xfId="4798" xr:uid="{00000000-0005-0000-0000-0000BE120000}"/>
    <cellStyle name="Output 2 2 4 4 2 2 2 2" xfId="4799" xr:uid="{00000000-0005-0000-0000-0000BF120000}"/>
    <cellStyle name="Output 2 2 4 4 2 2 3" xfId="4800" xr:uid="{00000000-0005-0000-0000-0000C0120000}"/>
    <cellStyle name="Output 2 2 4 4 2 3" xfId="4801" xr:uid="{00000000-0005-0000-0000-0000C1120000}"/>
    <cellStyle name="Output 2 2 4 4 2 3 2" xfId="4802" xr:uid="{00000000-0005-0000-0000-0000C2120000}"/>
    <cellStyle name="Output 2 2 4 4 2 4" xfId="4803" xr:uid="{00000000-0005-0000-0000-0000C3120000}"/>
    <cellStyle name="Output 2 2 4 4 3" xfId="4804" xr:uid="{00000000-0005-0000-0000-0000C4120000}"/>
    <cellStyle name="Output 2 2 4 4 3 2" xfId="4805" xr:uid="{00000000-0005-0000-0000-0000C5120000}"/>
    <cellStyle name="Output 2 2 4 4 3 2 2" xfId="4806" xr:uid="{00000000-0005-0000-0000-0000C6120000}"/>
    <cellStyle name="Output 2 2 4 4 3 3" xfId="4807" xr:uid="{00000000-0005-0000-0000-0000C7120000}"/>
    <cellStyle name="Output 2 2 4 4 3 4" xfId="4808" xr:uid="{00000000-0005-0000-0000-0000C8120000}"/>
    <cellStyle name="Output 2 2 4 4 4" xfId="4809" xr:uid="{00000000-0005-0000-0000-0000C9120000}"/>
    <cellStyle name="Output 2 2 4 4 4 2" xfId="4810" xr:uid="{00000000-0005-0000-0000-0000CA120000}"/>
    <cellStyle name="Output 2 2 4 4 4 2 2" xfId="4811" xr:uid="{00000000-0005-0000-0000-0000CB120000}"/>
    <cellStyle name="Output 2 2 4 4 4 3" xfId="4812" xr:uid="{00000000-0005-0000-0000-0000CC120000}"/>
    <cellStyle name="Output 2 2 4 4 5" xfId="4813" xr:uid="{00000000-0005-0000-0000-0000CD120000}"/>
    <cellStyle name="Output 2 2 4 4 5 2" xfId="4814" xr:uid="{00000000-0005-0000-0000-0000CE120000}"/>
    <cellStyle name="Output 2 2 4 4 6" xfId="4815" xr:uid="{00000000-0005-0000-0000-0000CF120000}"/>
    <cellStyle name="Output 2 2 4 5" xfId="4816" xr:uid="{00000000-0005-0000-0000-0000D0120000}"/>
    <cellStyle name="Output 2 2 4 5 2" xfId="4817" xr:uid="{00000000-0005-0000-0000-0000D1120000}"/>
    <cellStyle name="Output 2 2 4 5 2 2" xfId="4818" xr:uid="{00000000-0005-0000-0000-0000D2120000}"/>
    <cellStyle name="Output 2 2 4 5 2 2 2" xfId="4819" xr:uid="{00000000-0005-0000-0000-0000D3120000}"/>
    <cellStyle name="Output 2 2 4 5 2 3" xfId="4820" xr:uid="{00000000-0005-0000-0000-0000D4120000}"/>
    <cellStyle name="Output 2 2 4 5 3" xfId="4821" xr:uid="{00000000-0005-0000-0000-0000D5120000}"/>
    <cellStyle name="Output 2 2 4 5 3 2" xfId="4822" xr:uid="{00000000-0005-0000-0000-0000D6120000}"/>
    <cellStyle name="Output 2 2 4 5 4" xfId="4823" xr:uid="{00000000-0005-0000-0000-0000D7120000}"/>
    <cellStyle name="Output 2 2 4 6" xfId="4824" xr:uid="{00000000-0005-0000-0000-0000D8120000}"/>
    <cellStyle name="Output 2 2 4 6 2" xfId="4825" xr:uid="{00000000-0005-0000-0000-0000D9120000}"/>
    <cellStyle name="Output 2 2 4 6 2 2" xfId="4826" xr:uid="{00000000-0005-0000-0000-0000DA120000}"/>
    <cellStyle name="Output 2 2 4 6 3" xfId="4827" xr:uid="{00000000-0005-0000-0000-0000DB120000}"/>
    <cellStyle name="Output 2 2 4 6 4" xfId="4828" xr:uid="{00000000-0005-0000-0000-0000DC120000}"/>
    <cellStyle name="Output 2 2 4 7" xfId="4829" xr:uid="{00000000-0005-0000-0000-0000DD120000}"/>
    <cellStyle name="Output 2 2 4 7 2" xfId="4830" xr:uid="{00000000-0005-0000-0000-0000DE120000}"/>
    <cellStyle name="Output 2 2 4 7 2 2" xfId="4831" xr:uid="{00000000-0005-0000-0000-0000DF120000}"/>
    <cellStyle name="Output 2 2 4 7 3" xfId="4832" xr:uid="{00000000-0005-0000-0000-0000E0120000}"/>
    <cellStyle name="Output 2 2 4 8" xfId="4833" xr:uid="{00000000-0005-0000-0000-0000E1120000}"/>
    <cellStyle name="Output 2 2 4 8 2" xfId="4834" xr:uid="{00000000-0005-0000-0000-0000E2120000}"/>
    <cellStyle name="Output 2 2 4 9" xfId="4835" xr:uid="{00000000-0005-0000-0000-0000E3120000}"/>
    <cellStyle name="Output 2 2 5" xfId="4836" xr:uid="{00000000-0005-0000-0000-0000E4120000}"/>
    <cellStyle name="Output 2 2 5 2" xfId="4837" xr:uid="{00000000-0005-0000-0000-0000E5120000}"/>
    <cellStyle name="Output 2 2 5 2 2" xfId="4838" xr:uid="{00000000-0005-0000-0000-0000E6120000}"/>
    <cellStyle name="Output 2 2 5 2 2 2" xfId="4839" xr:uid="{00000000-0005-0000-0000-0000E7120000}"/>
    <cellStyle name="Output 2 2 5 2 2 2 2" xfId="4840" xr:uid="{00000000-0005-0000-0000-0000E8120000}"/>
    <cellStyle name="Output 2 2 5 2 2 3" xfId="4841" xr:uid="{00000000-0005-0000-0000-0000E9120000}"/>
    <cellStyle name="Output 2 2 5 2 3" xfId="4842" xr:uid="{00000000-0005-0000-0000-0000EA120000}"/>
    <cellStyle name="Output 2 2 5 2 3 2" xfId="4843" xr:uid="{00000000-0005-0000-0000-0000EB120000}"/>
    <cellStyle name="Output 2 2 5 2 4" xfId="4844" xr:uid="{00000000-0005-0000-0000-0000EC120000}"/>
    <cellStyle name="Output 2 2 5 3" xfId="4845" xr:uid="{00000000-0005-0000-0000-0000ED120000}"/>
    <cellStyle name="Output 2 2 5 3 2" xfId="4846" xr:uid="{00000000-0005-0000-0000-0000EE120000}"/>
    <cellStyle name="Output 2 2 5 3 2 2" xfId="4847" xr:uid="{00000000-0005-0000-0000-0000EF120000}"/>
    <cellStyle name="Output 2 2 5 3 3" xfId="4848" xr:uid="{00000000-0005-0000-0000-0000F0120000}"/>
    <cellStyle name="Output 2 2 5 3 4" xfId="4849" xr:uid="{00000000-0005-0000-0000-0000F1120000}"/>
    <cellStyle name="Output 2 2 5 4" xfId="4850" xr:uid="{00000000-0005-0000-0000-0000F2120000}"/>
    <cellStyle name="Output 2 2 5 4 2" xfId="4851" xr:uid="{00000000-0005-0000-0000-0000F3120000}"/>
    <cellStyle name="Output 2 2 5 4 2 2" xfId="4852" xr:uid="{00000000-0005-0000-0000-0000F4120000}"/>
    <cellStyle name="Output 2 2 5 4 3" xfId="4853" xr:uid="{00000000-0005-0000-0000-0000F5120000}"/>
    <cellStyle name="Output 2 2 5 5" xfId="4854" xr:uid="{00000000-0005-0000-0000-0000F6120000}"/>
    <cellStyle name="Output 2 2 5 5 2" xfId="4855" xr:uid="{00000000-0005-0000-0000-0000F7120000}"/>
    <cellStyle name="Output 2 2 5 6" xfId="4856" xr:uid="{00000000-0005-0000-0000-0000F8120000}"/>
    <cellStyle name="Output 2 3" xfId="4857" xr:uid="{00000000-0005-0000-0000-0000F9120000}"/>
    <cellStyle name="Output 2 3 2" xfId="4858" xr:uid="{00000000-0005-0000-0000-0000FA120000}"/>
    <cellStyle name="Output 2 3 2 2" xfId="4859" xr:uid="{00000000-0005-0000-0000-0000FB120000}"/>
    <cellStyle name="Output 2 3 2 2 2" xfId="4860" xr:uid="{00000000-0005-0000-0000-0000FC120000}"/>
    <cellStyle name="Output 2 3 2 2 2 2" xfId="4861" xr:uid="{00000000-0005-0000-0000-0000FD120000}"/>
    <cellStyle name="Output 2 3 2 2 2 2 2" xfId="4862" xr:uid="{00000000-0005-0000-0000-0000FE120000}"/>
    <cellStyle name="Output 2 3 2 2 2 2 2 2" xfId="4863" xr:uid="{00000000-0005-0000-0000-0000FF120000}"/>
    <cellStyle name="Output 2 3 2 2 2 2 3" xfId="4864" xr:uid="{00000000-0005-0000-0000-000000130000}"/>
    <cellStyle name="Output 2 3 2 2 2 3" xfId="4865" xr:uid="{00000000-0005-0000-0000-000001130000}"/>
    <cellStyle name="Output 2 3 2 2 2 3 2" xfId="4866" xr:uid="{00000000-0005-0000-0000-000002130000}"/>
    <cellStyle name="Output 2 3 2 2 2 4" xfId="4867" xr:uid="{00000000-0005-0000-0000-000003130000}"/>
    <cellStyle name="Output 2 3 2 2 3" xfId="4868" xr:uid="{00000000-0005-0000-0000-000004130000}"/>
    <cellStyle name="Output 2 3 2 2 3 2" xfId="4869" xr:uid="{00000000-0005-0000-0000-000005130000}"/>
    <cellStyle name="Output 2 3 2 2 3 2 2" xfId="4870" xr:uid="{00000000-0005-0000-0000-000006130000}"/>
    <cellStyle name="Output 2 3 2 2 3 3" xfId="4871" xr:uid="{00000000-0005-0000-0000-000007130000}"/>
    <cellStyle name="Output 2 3 2 2 3 4" xfId="4872" xr:uid="{00000000-0005-0000-0000-000008130000}"/>
    <cellStyle name="Output 2 3 2 2 4" xfId="4873" xr:uid="{00000000-0005-0000-0000-000009130000}"/>
    <cellStyle name="Output 2 3 2 2 4 2" xfId="4874" xr:uid="{00000000-0005-0000-0000-00000A130000}"/>
    <cellStyle name="Output 2 3 2 2 4 2 2" xfId="4875" xr:uid="{00000000-0005-0000-0000-00000B130000}"/>
    <cellStyle name="Output 2 3 2 2 4 3" xfId="4876" xr:uid="{00000000-0005-0000-0000-00000C130000}"/>
    <cellStyle name="Output 2 3 2 2 5" xfId="4877" xr:uid="{00000000-0005-0000-0000-00000D130000}"/>
    <cellStyle name="Output 2 3 2 2 5 2" xfId="4878" xr:uid="{00000000-0005-0000-0000-00000E130000}"/>
    <cellStyle name="Output 2 3 2 2 6" xfId="4879" xr:uid="{00000000-0005-0000-0000-00000F130000}"/>
    <cellStyle name="Output 2 3 2 3" xfId="4880" xr:uid="{00000000-0005-0000-0000-000010130000}"/>
    <cellStyle name="Output 2 3 2 3 2" xfId="4881" xr:uid="{00000000-0005-0000-0000-000011130000}"/>
    <cellStyle name="Output 2 3 2 3 2 2" xfId="4882" xr:uid="{00000000-0005-0000-0000-000012130000}"/>
    <cellStyle name="Output 2 3 2 3 2 2 2" xfId="4883" xr:uid="{00000000-0005-0000-0000-000013130000}"/>
    <cellStyle name="Output 2 3 2 3 2 2 2 2" xfId="4884" xr:uid="{00000000-0005-0000-0000-000014130000}"/>
    <cellStyle name="Output 2 3 2 3 2 2 3" xfId="4885" xr:uid="{00000000-0005-0000-0000-000015130000}"/>
    <cellStyle name="Output 2 3 2 3 2 3" xfId="4886" xr:uid="{00000000-0005-0000-0000-000016130000}"/>
    <cellStyle name="Output 2 3 2 3 2 3 2" xfId="4887" xr:uid="{00000000-0005-0000-0000-000017130000}"/>
    <cellStyle name="Output 2 3 2 3 2 4" xfId="4888" xr:uid="{00000000-0005-0000-0000-000018130000}"/>
    <cellStyle name="Output 2 3 2 3 3" xfId="4889" xr:uid="{00000000-0005-0000-0000-000019130000}"/>
    <cellStyle name="Output 2 3 2 3 3 2" xfId="4890" xr:uid="{00000000-0005-0000-0000-00001A130000}"/>
    <cellStyle name="Output 2 3 2 3 3 2 2" xfId="4891" xr:uid="{00000000-0005-0000-0000-00001B130000}"/>
    <cellStyle name="Output 2 3 2 3 3 3" xfId="4892" xr:uid="{00000000-0005-0000-0000-00001C130000}"/>
    <cellStyle name="Output 2 3 2 3 3 4" xfId="4893" xr:uid="{00000000-0005-0000-0000-00001D130000}"/>
    <cellStyle name="Output 2 3 2 3 4" xfId="4894" xr:uid="{00000000-0005-0000-0000-00001E130000}"/>
    <cellStyle name="Output 2 3 2 3 4 2" xfId="4895" xr:uid="{00000000-0005-0000-0000-00001F130000}"/>
    <cellStyle name="Output 2 3 2 3 4 2 2" xfId="4896" xr:uid="{00000000-0005-0000-0000-000020130000}"/>
    <cellStyle name="Output 2 3 2 3 4 3" xfId="4897" xr:uid="{00000000-0005-0000-0000-000021130000}"/>
    <cellStyle name="Output 2 3 2 3 5" xfId="4898" xr:uid="{00000000-0005-0000-0000-000022130000}"/>
    <cellStyle name="Output 2 3 2 3 5 2" xfId="4899" xr:uid="{00000000-0005-0000-0000-000023130000}"/>
    <cellStyle name="Output 2 3 2 3 6" xfId="4900" xr:uid="{00000000-0005-0000-0000-000024130000}"/>
    <cellStyle name="Output 2 3 2 4" xfId="4901" xr:uid="{00000000-0005-0000-0000-000025130000}"/>
    <cellStyle name="Output 2 3 2 4 2" xfId="4902" xr:uid="{00000000-0005-0000-0000-000026130000}"/>
    <cellStyle name="Output 2 3 3" xfId="4903" xr:uid="{00000000-0005-0000-0000-000027130000}"/>
    <cellStyle name="Output 2 3 3 2" xfId="4904" xr:uid="{00000000-0005-0000-0000-000028130000}"/>
    <cellStyle name="Output 2 3 3 2 2" xfId="4905" xr:uid="{00000000-0005-0000-0000-000029130000}"/>
    <cellStyle name="Output 2 3 3 2 2 2" xfId="4906" xr:uid="{00000000-0005-0000-0000-00002A130000}"/>
    <cellStyle name="Output 2 3 3 2 2 2 2" xfId="4907" xr:uid="{00000000-0005-0000-0000-00002B130000}"/>
    <cellStyle name="Output 2 3 3 2 2 3" xfId="4908" xr:uid="{00000000-0005-0000-0000-00002C130000}"/>
    <cellStyle name="Output 2 3 3 2 3" xfId="4909" xr:uid="{00000000-0005-0000-0000-00002D130000}"/>
    <cellStyle name="Output 2 3 3 2 3 2" xfId="4910" xr:uid="{00000000-0005-0000-0000-00002E130000}"/>
    <cellStyle name="Output 2 3 3 2 4" xfId="4911" xr:uid="{00000000-0005-0000-0000-00002F130000}"/>
    <cellStyle name="Output 2 3 3 3" xfId="4912" xr:uid="{00000000-0005-0000-0000-000030130000}"/>
    <cellStyle name="Output 2 3 3 3 2" xfId="4913" xr:uid="{00000000-0005-0000-0000-000031130000}"/>
    <cellStyle name="Output 2 3 3 3 2 2" xfId="4914" xr:uid="{00000000-0005-0000-0000-000032130000}"/>
    <cellStyle name="Output 2 3 3 3 3" xfId="4915" xr:uid="{00000000-0005-0000-0000-000033130000}"/>
    <cellStyle name="Output 2 3 3 3 4" xfId="4916" xr:uid="{00000000-0005-0000-0000-000034130000}"/>
    <cellStyle name="Output 2 3 3 4" xfId="4917" xr:uid="{00000000-0005-0000-0000-000035130000}"/>
    <cellStyle name="Output 2 3 3 4 2" xfId="4918" xr:uid="{00000000-0005-0000-0000-000036130000}"/>
    <cellStyle name="Output 2 3 3 4 2 2" xfId="4919" xr:uid="{00000000-0005-0000-0000-000037130000}"/>
    <cellStyle name="Output 2 3 3 4 3" xfId="4920" xr:uid="{00000000-0005-0000-0000-000038130000}"/>
    <cellStyle name="Output 2 3 3 5" xfId="4921" xr:uid="{00000000-0005-0000-0000-000039130000}"/>
    <cellStyle name="Output 2 3 3 5 2" xfId="4922" xr:uid="{00000000-0005-0000-0000-00003A130000}"/>
    <cellStyle name="Output 2 3 3 6" xfId="4923" xr:uid="{00000000-0005-0000-0000-00003B130000}"/>
    <cellStyle name="Output 2 3 4" xfId="4924" xr:uid="{00000000-0005-0000-0000-00003C130000}"/>
    <cellStyle name="Output 2 3 4 2" xfId="4925" xr:uid="{00000000-0005-0000-0000-00003D130000}"/>
    <cellStyle name="Output 2 3 4 2 2" xfId="4926" xr:uid="{00000000-0005-0000-0000-00003E130000}"/>
    <cellStyle name="Output 2 3 4 2 2 2" xfId="4927" xr:uid="{00000000-0005-0000-0000-00003F130000}"/>
    <cellStyle name="Output 2 3 4 2 2 2 2" xfId="4928" xr:uid="{00000000-0005-0000-0000-000040130000}"/>
    <cellStyle name="Output 2 3 4 2 2 3" xfId="4929" xr:uid="{00000000-0005-0000-0000-000041130000}"/>
    <cellStyle name="Output 2 3 4 2 3" xfId="4930" xr:uid="{00000000-0005-0000-0000-000042130000}"/>
    <cellStyle name="Output 2 3 4 2 3 2" xfId="4931" xr:uid="{00000000-0005-0000-0000-000043130000}"/>
    <cellStyle name="Output 2 3 4 2 4" xfId="4932" xr:uid="{00000000-0005-0000-0000-000044130000}"/>
    <cellStyle name="Output 2 3 4 3" xfId="4933" xr:uid="{00000000-0005-0000-0000-000045130000}"/>
    <cellStyle name="Output 2 3 4 3 2" xfId="4934" xr:uid="{00000000-0005-0000-0000-000046130000}"/>
    <cellStyle name="Output 2 3 4 3 2 2" xfId="4935" xr:uid="{00000000-0005-0000-0000-000047130000}"/>
    <cellStyle name="Output 2 3 4 3 3" xfId="4936" xr:uid="{00000000-0005-0000-0000-000048130000}"/>
    <cellStyle name="Output 2 3 4 3 4" xfId="4937" xr:uid="{00000000-0005-0000-0000-000049130000}"/>
    <cellStyle name="Output 2 3 4 4" xfId="4938" xr:uid="{00000000-0005-0000-0000-00004A130000}"/>
    <cellStyle name="Output 2 3 4 4 2" xfId="4939" xr:uid="{00000000-0005-0000-0000-00004B130000}"/>
    <cellStyle name="Output 2 3 4 4 2 2" xfId="4940" xr:uid="{00000000-0005-0000-0000-00004C130000}"/>
    <cellStyle name="Output 2 3 4 4 3" xfId="4941" xr:uid="{00000000-0005-0000-0000-00004D130000}"/>
    <cellStyle name="Output 2 3 4 5" xfId="4942" xr:uid="{00000000-0005-0000-0000-00004E130000}"/>
    <cellStyle name="Output 2 3 4 5 2" xfId="4943" xr:uid="{00000000-0005-0000-0000-00004F130000}"/>
    <cellStyle name="Output 2 3 4 6" xfId="4944" xr:uid="{00000000-0005-0000-0000-000050130000}"/>
    <cellStyle name="Output 2 3 5" xfId="4945" xr:uid="{00000000-0005-0000-0000-000051130000}"/>
    <cellStyle name="Output 2 3 5 2" xfId="4946" xr:uid="{00000000-0005-0000-0000-000052130000}"/>
    <cellStyle name="Output 2 4" xfId="4947" xr:uid="{00000000-0005-0000-0000-000053130000}"/>
    <cellStyle name="Output 2 4 2" xfId="4948" xr:uid="{00000000-0005-0000-0000-000054130000}"/>
    <cellStyle name="Output 2 4 2 2" xfId="4949" xr:uid="{00000000-0005-0000-0000-000055130000}"/>
    <cellStyle name="Output 2 4 2 2 2" xfId="4950" xr:uid="{00000000-0005-0000-0000-000056130000}"/>
    <cellStyle name="Output 2 4 2 2 2 2" xfId="4951" xr:uid="{00000000-0005-0000-0000-000057130000}"/>
    <cellStyle name="Output 2 4 2 2 2 2 2" xfId="4952" xr:uid="{00000000-0005-0000-0000-000058130000}"/>
    <cellStyle name="Output 2 4 2 2 2 3" xfId="4953" xr:uid="{00000000-0005-0000-0000-000059130000}"/>
    <cellStyle name="Output 2 4 2 2 3" xfId="4954" xr:uid="{00000000-0005-0000-0000-00005A130000}"/>
    <cellStyle name="Output 2 4 2 2 3 2" xfId="4955" xr:uid="{00000000-0005-0000-0000-00005B130000}"/>
    <cellStyle name="Output 2 4 2 2 4" xfId="4956" xr:uid="{00000000-0005-0000-0000-00005C130000}"/>
    <cellStyle name="Output 2 4 2 3" xfId="4957" xr:uid="{00000000-0005-0000-0000-00005D130000}"/>
    <cellStyle name="Output 2 4 2 3 2" xfId="4958" xr:uid="{00000000-0005-0000-0000-00005E130000}"/>
    <cellStyle name="Output 2 4 2 3 2 2" xfId="4959" xr:uid="{00000000-0005-0000-0000-00005F130000}"/>
    <cellStyle name="Output 2 4 2 3 3" xfId="4960" xr:uid="{00000000-0005-0000-0000-000060130000}"/>
    <cellStyle name="Output 2 4 2 3 4" xfId="4961" xr:uid="{00000000-0005-0000-0000-000061130000}"/>
    <cellStyle name="Output 2 4 2 4" xfId="4962" xr:uid="{00000000-0005-0000-0000-000062130000}"/>
    <cellStyle name="Output 2 4 2 4 2" xfId="4963" xr:uid="{00000000-0005-0000-0000-000063130000}"/>
    <cellStyle name="Output 2 4 2 4 2 2" xfId="4964" xr:uid="{00000000-0005-0000-0000-000064130000}"/>
    <cellStyle name="Output 2 4 2 4 3" xfId="4965" xr:uid="{00000000-0005-0000-0000-000065130000}"/>
    <cellStyle name="Output 2 4 2 5" xfId="4966" xr:uid="{00000000-0005-0000-0000-000066130000}"/>
    <cellStyle name="Output 2 4 2 5 2" xfId="4967" xr:uid="{00000000-0005-0000-0000-000067130000}"/>
    <cellStyle name="Output 2 4 2 6" xfId="4968" xr:uid="{00000000-0005-0000-0000-000068130000}"/>
    <cellStyle name="Output 2 4 3" xfId="4969" xr:uid="{00000000-0005-0000-0000-000069130000}"/>
    <cellStyle name="Output 2 4 3 2" xfId="4970" xr:uid="{00000000-0005-0000-0000-00006A130000}"/>
    <cellStyle name="Output 2 4 3 2 2" xfId="4971" xr:uid="{00000000-0005-0000-0000-00006B130000}"/>
    <cellStyle name="Output 2 4 3 2 2 2" xfId="4972" xr:uid="{00000000-0005-0000-0000-00006C130000}"/>
    <cellStyle name="Output 2 4 3 2 2 2 2" xfId="4973" xr:uid="{00000000-0005-0000-0000-00006D130000}"/>
    <cellStyle name="Output 2 4 3 2 2 3" xfId="4974" xr:uid="{00000000-0005-0000-0000-00006E130000}"/>
    <cellStyle name="Output 2 4 3 2 3" xfId="4975" xr:uid="{00000000-0005-0000-0000-00006F130000}"/>
    <cellStyle name="Output 2 4 3 2 3 2" xfId="4976" xr:uid="{00000000-0005-0000-0000-000070130000}"/>
    <cellStyle name="Output 2 4 3 2 4" xfId="4977" xr:uid="{00000000-0005-0000-0000-000071130000}"/>
    <cellStyle name="Output 2 4 3 3" xfId="4978" xr:uid="{00000000-0005-0000-0000-000072130000}"/>
    <cellStyle name="Output 2 4 3 3 2" xfId="4979" xr:uid="{00000000-0005-0000-0000-000073130000}"/>
    <cellStyle name="Output 2 4 3 3 2 2" xfId="4980" xr:uid="{00000000-0005-0000-0000-000074130000}"/>
    <cellStyle name="Output 2 4 3 3 3" xfId="4981" xr:uid="{00000000-0005-0000-0000-000075130000}"/>
    <cellStyle name="Output 2 4 3 3 4" xfId="4982" xr:uid="{00000000-0005-0000-0000-000076130000}"/>
    <cellStyle name="Output 2 4 3 4" xfId="4983" xr:uid="{00000000-0005-0000-0000-000077130000}"/>
    <cellStyle name="Output 2 4 3 4 2" xfId="4984" xr:uid="{00000000-0005-0000-0000-000078130000}"/>
    <cellStyle name="Output 2 4 3 4 2 2" xfId="4985" xr:uid="{00000000-0005-0000-0000-000079130000}"/>
    <cellStyle name="Output 2 4 3 4 3" xfId="4986" xr:uid="{00000000-0005-0000-0000-00007A130000}"/>
    <cellStyle name="Output 2 4 3 5" xfId="4987" xr:uid="{00000000-0005-0000-0000-00007B130000}"/>
    <cellStyle name="Output 2 4 3 5 2" xfId="4988" xr:uid="{00000000-0005-0000-0000-00007C130000}"/>
    <cellStyle name="Output 2 4 3 6" xfId="4989" xr:uid="{00000000-0005-0000-0000-00007D130000}"/>
    <cellStyle name="Output 2 4 4" xfId="4990" xr:uid="{00000000-0005-0000-0000-00007E130000}"/>
    <cellStyle name="Output 2 4 4 2" xfId="4991" xr:uid="{00000000-0005-0000-0000-00007F130000}"/>
    <cellStyle name="Output 2 5" xfId="4992" xr:uid="{00000000-0005-0000-0000-000080130000}"/>
    <cellStyle name="Output 2 5 2" xfId="4993" xr:uid="{00000000-0005-0000-0000-000081130000}"/>
    <cellStyle name="Output 2 5 2 2" xfId="4994" xr:uid="{00000000-0005-0000-0000-000082130000}"/>
    <cellStyle name="Output 2 5 2 2 2" xfId="4995" xr:uid="{00000000-0005-0000-0000-000083130000}"/>
    <cellStyle name="Output 2 5 2 2 2 2" xfId="4996" xr:uid="{00000000-0005-0000-0000-000084130000}"/>
    <cellStyle name="Output 2 5 2 2 2 2 2" xfId="4997" xr:uid="{00000000-0005-0000-0000-000085130000}"/>
    <cellStyle name="Output 2 5 2 2 2 3" xfId="4998" xr:uid="{00000000-0005-0000-0000-000086130000}"/>
    <cellStyle name="Output 2 5 2 2 3" xfId="4999" xr:uid="{00000000-0005-0000-0000-000087130000}"/>
    <cellStyle name="Output 2 5 2 2 3 2" xfId="5000" xr:uid="{00000000-0005-0000-0000-000088130000}"/>
    <cellStyle name="Output 2 5 2 2 4" xfId="5001" xr:uid="{00000000-0005-0000-0000-000089130000}"/>
    <cellStyle name="Output 2 5 2 3" xfId="5002" xr:uid="{00000000-0005-0000-0000-00008A130000}"/>
    <cellStyle name="Output 2 5 2 3 2" xfId="5003" xr:uid="{00000000-0005-0000-0000-00008B130000}"/>
    <cellStyle name="Output 2 5 2 3 2 2" xfId="5004" xr:uid="{00000000-0005-0000-0000-00008C130000}"/>
    <cellStyle name="Output 2 5 2 3 3" xfId="5005" xr:uid="{00000000-0005-0000-0000-00008D130000}"/>
    <cellStyle name="Output 2 5 2 3 4" xfId="5006" xr:uid="{00000000-0005-0000-0000-00008E130000}"/>
    <cellStyle name="Output 2 5 2 4" xfId="5007" xr:uid="{00000000-0005-0000-0000-00008F130000}"/>
    <cellStyle name="Output 2 5 2 4 2" xfId="5008" xr:uid="{00000000-0005-0000-0000-000090130000}"/>
    <cellStyle name="Output 2 5 2 4 2 2" xfId="5009" xr:uid="{00000000-0005-0000-0000-000091130000}"/>
    <cellStyle name="Output 2 5 2 4 3" xfId="5010" xr:uid="{00000000-0005-0000-0000-000092130000}"/>
    <cellStyle name="Output 2 5 2 5" xfId="5011" xr:uid="{00000000-0005-0000-0000-000093130000}"/>
    <cellStyle name="Output 2 5 2 5 2" xfId="5012" xr:uid="{00000000-0005-0000-0000-000094130000}"/>
    <cellStyle name="Output 2 5 2 6" xfId="5013" xr:uid="{00000000-0005-0000-0000-000095130000}"/>
    <cellStyle name="Output 2 5 3" xfId="5014" xr:uid="{00000000-0005-0000-0000-000096130000}"/>
    <cellStyle name="Output 2 5 3 2" xfId="5015" xr:uid="{00000000-0005-0000-0000-000097130000}"/>
    <cellStyle name="Output 2 5 3 2 2" xfId="5016" xr:uid="{00000000-0005-0000-0000-000098130000}"/>
    <cellStyle name="Output 2 5 3 3" xfId="5017" xr:uid="{00000000-0005-0000-0000-000099130000}"/>
    <cellStyle name="Output 2 5 4" xfId="5018" xr:uid="{00000000-0005-0000-0000-00009A130000}"/>
    <cellStyle name="Output 2 5 4 2" xfId="5019" xr:uid="{00000000-0005-0000-0000-00009B130000}"/>
    <cellStyle name="Output 2 5 4 2 2" xfId="5020" xr:uid="{00000000-0005-0000-0000-00009C130000}"/>
    <cellStyle name="Output 2 5 4 2 2 2" xfId="5021" xr:uid="{00000000-0005-0000-0000-00009D130000}"/>
    <cellStyle name="Output 2 5 4 2 2 2 2" xfId="5022" xr:uid="{00000000-0005-0000-0000-00009E130000}"/>
    <cellStyle name="Output 2 5 4 2 2 3" xfId="5023" xr:uid="{00000000-0005-0000-0000-00009F130000}"/>
    <cellStyle name="Output 2 5 4 2 3" xfId="5024" xr:uid="{00000000-0005-0000-0000-0000A0130000}"/>
    <cellStyle name="Output 2 5 4 2 3 2" xfId="5025" xr:uid="{00000000-0005-0000-0000-0000A1130000}"/>
    <cellStyle name="Output 2 5 4 2 4" xfId="5026" xr:uid="{00000000-0005-0000-0000-0000A2130000}"/>
    <cellStyle name="Output 2 5 4 3" xfId="5027" xr:uid="{00000000-0005-0000-0000-0000A3130000}"/>
    <cellStyle name="Output 2 5 4 3 2" xfId="5028" xr:uid="{00000000-0005-0000-0000-0000A4130000}"/>
    <cellStyle name="Output 2 5 4 3 2 2" xfId="5029" xr:uid="{00000000-0005-0000-0000-0000A5130000}"/>
    <cellStyle name="Output 2 5 4 3 3" xfId="5030" xr:uid="{00000000-0005-0000-0000-0000A6130000}"/>
    <cellStyle name="Output 2 5 4 3 4" xfId="5031" xr:uid="{00000000-0005-0000-0000-0000A7130000}"/>
    <cellStyle name="Output 2 5 4 4" xfId="5032" xr:uid="{00000000-0005-0000-0000-0000A8130000}"/>
    <cellStyle name="Output 2 5 4 4 2" xfId="5033" xr:uid="{00000000-0005-0000-0000-0000A9130000}"/>
    <cellStyle name="Output 2 5 4 4 2 2" xfId="5034" xr:uid="{00000000-0005-0000-0000-0000AA130000}"/>
    <cellStyle name="Output 2 5 4 4 3" xfId="5035" xr:uid="{00000000-0005-0000-0000-0000AB130000}"/>
    <cellStyle name="Output 2 5 4 5" xfId="5036" xr:uid="{00000000-0005-0000-0000-0000AC130000}"/>
    <cellStyle name="Output 2 5 4 5 2" xfId="5037" xr:uid="{00000000-0005-0000-0000-0000AD130000}"/>
    <cellStyle name="Output 2 5 4 6" xfId="5038" xr:uid="{00000000-0005-0000-0000-0000AE130000}"/>
    <cellStyle name="Output 2 5 5" xfId="5039" xr:uid="{00000000-0005-0000-0000-0000AF130000}"/>
    <cellStyle name="Output 2 5 5 2" xfId="5040" xr:uid="{00000000-0005-0000-0000-0000B0130000}"/>
    <cellStyle name="Output 2 5 5 2 2" xfId="5041" xr:uid="{00000000-0005-0000-0000-0000B1130000}"/>
    <cellStyle name="Output 2 5 5 2 2 2" xfId="5042" xr:uid="{00000000-0005-0000-0000-0000B2130000}"/>
    <cellStyle name="Output 2 5 5 2 3" xfId="5043" xr:uid="{00000000-0005-0000-0000-0000B3130000}"/>
    <cellStyle name="Output 2 5 5 3" xfId="5044" xr:uid="{00000000-0005-0000-0000-0000B4130000}"/>
    <cellStyle name="Output 2 5 5 3 2" xfId="5045" xr:uid="{00000000-0005-0000-0000-0000B5130000}"/>
    <cellStyle name="Output 2 5 5 4" xfId="5046" xr:uid="{00000000-0005-0000-0000-0000B6130000}"/>
    <cellStyle name="Output 2 5 6" xfId="5047" xr:uid="{00000000-0005-0000-0000-0000B7130000}"/>
    <cellStyle name="Output 2 5 6 2" xfId="5048" xr:uid="{00000000-0005-0000-0000-0000B8130000}"/>
    <cellStyle name="Output 2 5 6 2 2" xfId="5049" xr:uid="{00000000-0005-0000-0000-0000B9130000}"/>
    <cellStyle name="Output 2 5 6 3" xfId="5050" xr:uid="{00000000-0005-0000-0000-0000BA130000}"/>
    <cellStyle name="Output 2 5 6 4" xfId="5051" xr:uid="{00000000-0005-0000-0000-0000BB130000}"/>
    <cellStyle name="Output 2 5 7" xfId="5052" xr:uid="{00000000-0005-0000-0000-0000BC130000}"/>
    <cellStyle name="Output 2 5 7 2" xfId="5053" xr:uid="{00000000-0005-0000-0000-0000BD130000}"/>
    <cellStyle name="Output 2 5 7 2 2" xfId="5054" xr:uid="{00000000-0005-0000-0000-0000BE130000}"/>
    <cellStyle name="Output 2 5 7 3" xfId="5055" xr:uid="{00000000-0005-0000-0000-0000BF130000}"/>
    <cellStyle name="Output 2 5 8" xfId="5056" xr:uid="{00000000-0005-0000-0000-0000C0130000}"/>
    <cellStyle name="Output 2 5 8 2" xfId="5057" xr:uid="{00000000-0005-0000-0000-0000C1130000}"/>
    <cellStyle name="Output 2 5 9" xfId="5058" xr:uid="{00000000-0005-0000-0000-0000C2130000}"/>
    <cellStyle name="Output 2 6" xfId="5059" xr:uid="{00000000-0005-0000-0000-0000C3130000}"/>
    <cellStyle name="Output 2 6 2" xfId="5060" xr:uid="{00000000-0005-0000-0000-0000C4130000}"/>
    <cellStyle name="Output 2 6 2 2" xfId="5061" xr:uid="{00000000-0005-0000-0000-0000C5130000}"/>
    <cellStyle name="Output 2 6 2 2 2" xfId="5062" xr:uid="{00000000-0005-0000-0000-0000C6130000}"/>
    <cellStyle name="Output 2 6 2 2 2 2" xfId="5063" xr:uid="{00000000-0005-0000-0000-0000C7130000}"/>
    <cellStyle name="Output 2 6 2 2 3" xfId="5064" xr:uid="{00000000-0005-0000-0000-0000C8130000}"/>
    <cellStyle name="Output 2 6 2 3" xfId="5065" xr:uid="{00000000-0005-0000-0000-0000C9130000}"/>
    <cellStyle name="Output 2 6 2 3 2" xfId="5066" xr:uid="{00000000-0005-0000-0000-0000CA130000}"/>
    <cellStyle name="Output 2 6 2 4" xfId="5067" xr:uid="{00000000-0005-0000-0000-0000CB130000}"/>
    <cellStyle name="Output 2 6 3" xfId="5068" xr:uid="{00000000-0005-0000-0000-0000CC130000}"/>
    <cellStyle name="Output 2 6 3 2" xfId="5069" xr:uid="{00000000-0005-0000-0000-0000CD130000}"/>
    <cellStyle name="Output 2 6 3 2 2" xfId="5070" xr:uid="{00000000-0005-0000-0000-0000CE130000}"/>
    <cellStyle name="Output 2 6 3 3" xfId="5071" xr:uid="{00000000-0005-0000-0000-0000CF130000}"/>
    <cellStyle name="Output 2 6 3 4" xfId="5072" xr:uid="{00000000-0005-0000-0000-0000D0130000}"/>
    <cellStyle name="Output 2 6 4" xfId="5073" xr:uid="{00000000-0005-0000-0000-0000D1130000}"/>
    <cellStyle name="Output 2 6 4 2" xfId="5074" xr:uid="{00000000-0005-0000-0000-0000D2130000}"/>
    <cellStyle name="Output 2 6 4 2 2" xfId="5075" xr:uid="{00000000-0005-0000-0000-0000D3130000}"/>
    <cellStyle name="Output 2 6 4 3" xfId="5076" xr:uid="{00000000-0005-0000-0000-0000D4130000}"/>
    <cellStyle name="Output 2 6 5" xfId="5077" xr:uid="{00000000-0005-0000-0000-0000D5130000}"/>
    <cellStyle name="Output 2 6 5 2" xfId="5078" xr:uid="{00000000-0005-0000-0000-0000D6130000}"/>
    <cellStyle name="Output 2 6 6" xfId="5079" xr:uid="{00000000-0005-0000-0000-0000D7130000}"/>
    <cellStyle name="Output 3" xfId="5080" xr:uid="{00000000-0005-0000-0000-0000D8130000}"/>
    <cellStyle name="Output 3 2" xfId="5081" xr:uid="{00000000-0005-0000-0000-0000D9130000}"/>
    <cellStyle name="Output 3 2 2" xfId="5082" xr:uid="{00000000-0005-0000-0000-0000DA130000}"/>
    <cellStyle name="Output 3 2 2 2" xfId="5083" xr:uid="{00000000-0005-0000-0000-0000DB130000}"/>
    <cellStyle name="Output 3 2 2 2 2" xfId="5084" xr:uid="{00000000-0005-0000-0000-0000DC130000}"/>
    <cellStyle name="Output 3 2 2 2 2 2" xfId="5085" xr:uid="{00000000-0005-0000-0000-0000DD130000}"/>
    <cellStyle name="Output 3 2 2 2 2 2 2" xfId="5086" xr:uid="{00000000-0005-0000-0000-0000DE130000}"/>
    <cellStyle name="Output 3 2 2 2 2 2 2 2" xfId="5087" xr:uid="{00000000-0005-0000-0000-0000DF130000}"/>
    <cellStyle name="Output 3 2 2 2 2 2 3" xfId="5088" xr:uid="{00000000-0005-0000-0000-0000E0130000}"/>
    <cellStyle name="Output 3 2 2 2 2 3" xfId="5089" xr:uid="{00000000-0005-0000-0000-0000E1130000}"/>
    <cellStyle name="Output 3 2 2 2 2 3 2" xfId="5090" xr:uid="{00000000-0005-0000-0000-0000E2130000}"/>
    <cellStyle name="Output 3 2 2 2 2 4" xfId="5091" xr:uid="{00000000-0005-0000-0000-0000E3130000}"/>
    <cellStyle name="Output 3 2 2 2 3" xfId="5092" xr:uid="{00000000-0005-0000-0000-0000E4130000}"/>
    <cellStyle name="Output 3 2 2 2 3 2" xfId="5093" xr:uid="{00000000-0005-0000-0000-0000E5130000}"/>
    <cellStyle name="Output 3 2 2 2 3 2 2" xfId="5094" xr:uid="{00000000-0005-0000-0000-0000E6130000}"/>
    <cellStyle name="Output 3 2 2 2 3 3" xfId="5095" xr:uid="{00000000-0005-0000-0000-0000E7130000}"/>
    <cellStyle name="Output 3 2 2 2 3 4" xfId="5096" xr:uid="{00000000-0005-0000-0000-0000E8130000}"/>
    <cellStyle name="Output 3 2 2 2 4" xfId="5097" xr:uid="{00000000-0005-0000-0000-0000E9130000}"/>
    <cellStyle name="Output 3 2 2 2 4 2" xfId="5098" xr:uid="{00000000-0005-0000-0000-0000EA130000}"/>
    <cellStyle name="Output 3 2 2 2 4 2 2" xfId="5099" xr:uid="{00000000-0005-0000-0000-0000EB130000}"/>
    <cellStyle name="Output 3 2 2 2 4 3" xfId="5100" xr:uid="{00000000-0005-0000-0000-0000EC130000}"/>
    <cellStyle name="Output 3 2 2 2 5" xfId="5101" xr:uid="{00000000-0005-0000-0000-0000ED130000}"/>
    <cellStyle name="Output 3 2 2 2 5 2" xfId="5102" xr:uid="{00000000-0005-0000-0000-0000EE130000}"/>
    <cellStyle name="Output 3 2 2 2 6" xfId="5103" xr:uid="{00000000-0005-0000-0000-0000EF130000}"/>
    <cellStyle name="Output 3 2 2 3" xfId="5104" xr:uid="{00000000-0005-0000-0000-0000F0130000}"/>
    <cellStyle name="Output 3 2 2 3 2" xfId="5105" xr:uid="{00000000-0005-0000-0000-0000F1130000}"/>
    <cellStyle name="Output 3 2 2 3 2 2" xfId="5106" xr:uid="{00000000-0005-0000-0000-0000F2130000}"/>
    <cellStyle name="Output 3 2 2 3 2 2 2" xfId="5107" xr:uid="{00000000-0005-0000-0000-0000F3130000}"/>
    <cellStyle name="Output 3 2 2 3 2 2 2 2" xfId="5108" xr:uid="{00000000-0005-0000-0000-0000F4130000}"/>
    <cellStyle name="Output 3 2 2 3 2 2 3" xfId="5109" xr:uid="{00000000-0005-0000-0000-0000F5130000}"/>
    <cellStyle name="Output 3 2 2 3 2 3" xfId="5110" xr:uid="{00000000-0005-0000-0000-0000F6130000}"/>
    <cellStyle name="Output 3 2 2 3 2 3 2" xfId="5111" xr:uid="{00000000-0005-0000-0000-0000F7130000}"/>
    <cellStyle name="Output 3 2 2 3 2 4" xfId="5112" xr:uid="{00000000-0005-0000-0000-0000F8130000}"/>
    <cellStyle name="Output 3 2 2 3 3" xfId="5113" xr:uid="{00000000-0005-0000-0000-0000F9130000}"/>
    <cellStyle name="Output 3 2 2 3 3 2" xfId="5114" xr:uid="{00000000-0005-0000-0000-0000FA130000}"/>
    <cellStyle name="Output 3 2 2 3 3 2 2" xfId="5115" xr:uid="{00000000-0005-0000-0000-0000FB130000}"/>
    <cellStyle name="Output 3 2 2 3 3 3" xfId="5116" xr:uid="{00000000-0005-0000-0000-0000FC130000}"/>
    <cellStyle name="Output 3 2 2 3 3 4" xfId="5117" xr:uid="{00000000-0005-0000-0000-0000FD130000}"/>
    <cellStyle name="Output 3 2 2 3 4" xfId="5118" xr:uid="{00000000-0005-0000-0000-0000FE130000}"/>
    <cellStyle name="Output 3 2 2 3 4 2" xfId="5119" xr:uid="{00000000-0005-0000-0000-0000FF130000}"/>
    <cellStyle name="Output 3 2 2 3 4 2 2" xfId="5120" xr:uid="{00000000-0005-0000-0000-000000140000}"/>
    <cellStyle name="Output 3 2 2 3 4 3" xfId="5121" xr:uid="{00000000-0005-0000-0000-000001140000}"/>
    <cellStyle name="Output 3 2 2 3 5" xfId="5122" xr:uid="{00000000-0005-0000-0000-000002140000}"/>
    <cellStyle name="Output 3 2 2 3 5 2" xfId="5123" xr:uid="{00000000-0005-0000-0000-000003140000}"/>
    <cellStyle name="Output 3 2 2 3 6" xfId="5124" xr:uid="{00000000-0005-0000-0000-000004140000}"/>
    <cellStyle name="Output 3 2 2 4" xfId="5125" xr:uid="{00000000-0005-0000-0000-000005140000}"/>
    <cellStyle name="Output 3 2 2 4 2" xfId="5126" xr:uid="{00000000-0005-0000-0000-000006140000}"/>
    <cellStyle name="Output 3 2 3" xfId="5127" xr:uid="{00000000-0005-0000-0000-000007140000}"/>
    <cellStyle name="Output 3 2 3 2" xfId="5128" xr:uid="{00000000-0005-0000-0000-000008140000}"/>
    <cellStyle name="Output 3 2 3 2 2" xfId="5129" xr:uid="{00000000-0005-0000-0000-000009140000}"/>
    <cellStyle name="Output 3 2 3 2 2 2" xfId="5130" xr:uid="{00000000-0005-0000-0000-00000A140000}"/>
    <cellStyle name="Output 3 2 3 2 2 2 2" xfId="5131" xr:uid="{00000000-0005-0000-0000-00000B140000}"/>
    <cellStyle name="Output 3 2 3 2 2 3" xfId="5132" xr:uid="{00000000-0005-0000-0000-00000C140000}"/>
    <cellStyle name="Output 3 2 3 2 3" xfId="5133" xr:uid="{00000000-0005-0000-0000-00000D140000}"/>
    <cellStyle name="Output 3 2 3 2 3 2" xfId="5134" xr:uid="{00000000-0005-0000-0000-00000E140000}"/>
    <cellStyle name="Output 3 2 3 2 4" xfId="5135" xr:uid="{00000000-0005-0000-0000-00000F140000}"/>
    <cellStyle name="Output 3 2 3 3" xfId="5136" xr:uid="{00000000-0005-0000-0000-000010140000}"/>
    <cellStyle name="Output 3 2 3 3 2" xfId="5137" xr:uid="{00000000-0005-0000-0000-000011140000}"/>
    <cellStyle name="Output 3 2 3 3 2 2" xfId="5138" xr:uid="{00000000-0005-0000-0000-000012140000}"/>
    <cellStyle name="Output 3 2 3 3 3" xfId="5139" xr:uid="{00000000-0005-0000-0000-000013140000}"/>
    <cellStyle name="Output 3 2 3 3 4" xfId="5140" xr:uid="{00000000-0005-0000-0000-000014140000}"/>
    <cellStyle name="Output 3 2 3 4" xfId="5141" xr:uid="{00000000-0005-0000-0000-000015140000}"/>
    <cellStyle name="Output 3 2 3 4 2" xfId="5142" xr:uid="{00000000-0005-0000-0000-000016140000}"/>
    <cellStyle name="Output 3 2 3 4 2 2" xfId="5143" xr:uid="{00000000-0005-0000-0000-000017140000}"/>
    <cellStyle name="Output 3 2 3 4 3" xfId="5144" xr:uid="{00000000-0005-0000-0000-000018140000}"/>
    <cellStyle name="Output 3 2 3 5" xfId="5145" xr:uid="{00000000-0005-0000-0000-000019140000}"/>
    <cellStyle name="Output 3 2 3 5 2" xfId="5146" xr:uid="{00000000-0005-0000-0000-00001A140000}"/>
    <cellStyle name="Output 3 2 3 6" xfId="5147" xr:uid="{00000000-0005-0000-0000-00001B140000}"/>
    <cellStyle name="Output 3 2 4" xfId="5148" xr:uid="{00000000-0005-0000-0000-00001C140000}"/>
    <cellStyle name="Output 3 2 4 2" xfId="5149" xr:uid="{00000000-0005-0000-0000-00001D140000}"/>
    <cellStyle name="Output 3 2 4 2 2" xfId="5150" xr:uid="{00000000-0005-0000-0000-00001E140000}"/>
    <cellStyle name="Output 3 2 4 2 2 2" xfId="5151" xr:uid="{00000000-0005-0000-0000-00001F140000}"/>
    <cellStyle name="Output 3 2 4 2 2 2 2" xfId="5152" xr:uid="{00000000-0005-0000-0000-000020140000}"/>
    <cellStyle name="Output 3 2 4 2 2 3" xfId="5153" xr:uid="{00000000-0005-0000-0000-000021140000}"/>
    <cellStyle name="Output 3 2 4 2 3" xfId="5154" xr:uid="{00000000-0005-0000-0000-000022140000}"/>
    <cellStyle name="Output 3 2 4 2 3 2" xfId="5155" xr:uid="{00000000-0005-0000-0000-000023140000}"/>
    <cellStyle name="Output 3 2 4 2 4" xfId="5156" xr:uid="{00000000-0005-0000-0000-000024140000}"/>
    <cellStyle name="Output 3 2 4 3" xfId="5157" xr:uid="{00000000-0005-0000-0000-000025140000}"/>
    <cellStyle name="Output 3 2 4 3 2" xfId="5158" xr:uid="{00000000-0005-0000-0000-000026140000}"/>
    <cellStyle name="Output 3 2 4 3 2 2" xfId="5159" xr:uid="{00000000-0005-0000-0000-000027140000}"/>
    <cellStyle name="Output 3 2 4 3 3" xfId="5160" xr:uid="{00000000-0005-0000-0000-000028140000}"/>
    <cellStyle name="Output 3 2 4 3 4" xfId="5161" xr:uid="{00000000-0005-0000-0000-000029140000}"/>
    <cellStyle name="Output 3 2 4 4" xfId="5162" xr:uid="{00000000-0005-0000-0000-00002A140000}"/>
    <cellStyle name="Output 3 2 4 4 2" xfId="5163" xr:uid="{00000000-0005-0000-0000-00002B140000}"/>
    <cellStyle name="Output 3 2 4 4 2 2" xfId="5164" xr:uid="{00000000-0005-0000-0000-00002C140000}"/>
    <cellStyle name="Output 3 2 4 4 3" xfId="5165" xr:uid="{00000000-0005-0000-0000-00002D140000}"/>
    <cellStyle name="Output 3 2 4 5" xfId="5166" xr:uid="{00000000-0005-0000-0000-00002E140000}"/>
    <cellStyle name="Output 3 2 4 5 2" xfId="5167" xr:uid="{00000000-0005-0000-0000-00002F140000}"/>
    <cellStyle name="Output 3 2 4 6" xfId="5168" xr:uid="{00000000-0005-0000-0000-000030140000}"/>
    <cellStyle name="Output 3 2 5" xfId="5169" xr:uid="{00000000-0005-0000-0000-000031140000}"/>
    <cellStyle name="Output 3 2 5 2" xfId="5170" xr:uid="{00000000-0005-0000-0000-000032140000}"/>
    <cellStyle name="Output 3 3" xfId="5171" xr:uid="{00000000-0005-0000-0000-000033140000}"/>
    <cellStyle name="Output 3 3 2" xfId="5172" xr:uid="{00000000-0005-0000-0000-000034140000}"/>
    <cellStyle name="Output 3 3 2 2" xfId="5173" xr:uid="{00000000-0005-0000-0000-000035140000}"/>
    <cellStyle name="Output 3 3 2 2 2" xfId="5174" xr:uid="{00000000-0005-0000-0000-000036140000}"/>
    <cellStyle name="Output 3 3 2 2 2 2" xfId="5175" xr:uid="{00000000-0005-0000-0000-000037140000}"/>
    <cellStyle name="Output 3 3 2 2 2 2 2" xfId="5176" xr:uid="{00000000-0005-0000-0000-000038140000}"/>
    <cellStyle name="Output 3 3 2 2 2 3" xfId="5177" xr:uid="{00000000-0005-0000-0000-000039140000}"/>
    <cellStyle name="Output 3 3 2 2 3" xfId="5178" xr:uid="{00000000-0005-0000-0000-00003A140000}"/>
    <cellStyle name="Output 3 3 2 2 3 2" xfId="5179" xr:uid="{00000000-0005-0000-0000-00003B140000}"/>
    <cellStyle name="Output 3 3 2 2 4" xfId="5180" xr:uid="{00000000-0005-0000-0000-00003C140000}"/>
    <cellStyle name="Output 3 3 2 3" xfId="5181" xr:uid="{00000000-0005-0000-0000-00003D140000}"/>
    <cellStyle name="Output 3 3 2 3 2" xfId="5182" xr:uid="{00000000-0005-0000-0000-00003E140000}"/>
    <cellStyle name="Output 3 3 2 3 2 2" xfId="5183" xr:uid="{00000000-0005-0000-0000-00003F140000}"/>
    <cellStyle name="Output 3 3 2 3 3" xfId="5184" xr:uid="{00000000-0005-0000-0000-000040140000}"/>
    <cellStyle name="Output 3 3 2 3 4" xfId="5185" xr:uid="{00000000-0005-0000-0000-000041140000}"/>
    <cellStyle name="Output 3 3 2 4" xfId="5186" xr:uid="{00000000-0005-0000-0000-000042140000}"/>
    <cellStyle name="Output 3 3 2 4 2" xfId="5187" xr:uid="{00000000-0005-0000-0000-000043140000}"/>
    <cellStyle name="Output 3 3 2 4 2 2" xfId="5188" xr:uid="{00000000-0005-0000-0000-000044140000}"/>
    <cellStyle name="Output 3 3 2 4 3" xfId="5189" xr:uid="{00000000-0005-0000-0000-000045140000}"/>
    <cellStyle name="Output 3 3 2 5" xfId="5190" xr:uid="{00000000-0005-0000-0000-000046140000}"/>
    <cellStyle name="Output 3 3 2 5 2" xfId="5191" xr:uid="{00000000-0005-0000-0000-000047140000}"/>
    <cellStyle name="Output 3 3 2 6" xfId="5192" xr:uid="{00000000-0005-0000-0000-000048140000}"/>
    <cellStyle name="Output 3 3 3" xfId="5193" xr:uid="{00000000-0005-0000-0000-000049140000}"/>
    <cellStyle name="Output 3 3 3 2" xfId="5194" xr:uid="{00000000-0005-0000-0000-00004A140000}"/>
    <cellStyle name="Output 3 3 3 2 2" xfId="5195" xr:uid="{00000000-0005-0000-0000-00004B140000}"/>
    <cellStyle name="Output 3 3 3 2 2 2" xfId="5196" xr:uid="{00000000-0005-0000-0000-00004C140000}"/>
    <cellStyle name="Output 3 3 3 2 2 2 2" xfId="5197" xr:uid="{00000000-0005-0000-0000-00004D140000}"/>
    <cellStyle name="Output 3 3 3 2 2 3" xfId="5198" xr:uid="{00000000-0005-0000-0000-00004E140000}"/>
    <cellStyle name="Output 3 3 3 2 3" xfId="5199" xr:uid="{00000000-0005-0000-0000-00004F140000}"/>
    <cellStyle name="Output 3 3 3 2 3 2" xfId="5200" xr:uid="{00000000-0005-0000-0000-000050140000}"/>
    <cellStyle name="Output 3 3 3 2 4" xfId="5201" xr:uid="{00000000-0005-0000-0000-000051140000}"/>
    <cellStyle name="Output 3 3 3 3" xfId="5202" xr:uid="{00000000-0005-0000-0000-000052140000}"/>
    <cellStyle name="Output 3 3 3 3 2" xfId="5203" xr:uid="{00000000-0005-0000-0000-000053140000}"/>
    <cellStyle name="Output 3 3 3 3 2 2" xfId="5204" xr:uid="{00000000-0005-0000-0000-000054140000}"/>
    <cellStyle name="Output 3 3 3 3 3" xfId="5205" xr:uid="{00000000-0005-0000-0000-000055140000}"/>
    <cellStyle name="Output 3 3 3 3 4" xfId="5206" xr:uid="{00000000-0005-0000-0000-000056140000}"/>
    <cellStyle name="Output 3 3 3 4" xfId="5207" xr:uid="{00000000-0005-0000-0000-000057140000}"/>
    <cellStyle name="Output 3 3 3 4 2" xfId="5208" xr:uid="{00000000-0005-0000-0000-000058140000}"/>
    <cellStyle name="Output 3 3 3 4 2 2" xfId="5209" xr:uid="{00000000-0005-0000-0000-000059140000}"/>
    <cellStyle name="Output 3 3 3 4 3" xfId="5210" xr:uid="{00000000-0005-0000-0000-00005A140000}"/>
    <cellStyle name="Output 3 3 3 5" xfId="5211" xr:uid="{00000000-0005-0000-0000-00005B140000}"/>
    <cellStyle name="Output 3 3 3 5 2" xfId="5212" xr:uid="{00000000-0005-0000-0000-00005C140000}"/>
    <cellStyle name="Output 3 3 3 6" xfId="5213" xr:uid="{00000000-0005-0000-0000-00005D140000}"/>
    <cellStyle name="Output 3 3 4" xfId="5214" xr:uid="{00000000-0005-0000-0000-00005E140000}"/>
    <cellStyle name="Output 3 3 4 2" xfId="5215" xr:uid="{00000000-0005-0000-0000-00005F140000}"/>
    <cellStyle name="Output 3 4" xfId="5216" xr:uid="{00000000-0005-0000-0000-000060140000}"/>
    <cellStyle name="Output 3 4 2" xfId="5217" xr:uid="{00000000-0005-0000-0000-000061140000}"/>
    <cellStyle name="Output 3 4 2 2" xfId="5218" xr:uid="{00000000-0005-0000-0000-000062140000}"/>
    <cellStyle name="Output 3 4 2 2 2" xfId="5219" xr:uid="{00000000-0005-0000-0000-000063140000}"/>
    <cellStyle name="Output 3 4 2 2 2 2" xfId="5220" xr:uid="{00000000-0005-0000-0000-000064140000}"/>
    <cellStyle name="Output 3 4 2 2 2 2 2" xfId="5221" xr:uid="{00000000-0005-0000-0000-000065140000}"/>
    <cellStyle name="Output 3 4 2 2 2 3" xfId="5222" xr:uid="{00000000-0005-0000-0000-000066140000}"/>
    <cellStyle name="Output 3 4 2 2 3" xfId="5223" xr:uid="{00000000-0005-0000-0000-000067140000}"/>
    <cellStyle name="Output 3 4 2 2 3 2" xfId="5224" xr:uid="{00000000-0005-0000-0000-000068140000}"/>
    <cellStyle name="Output 3 4 2 2 4" xfId="5225" xr:uid="{00000000-0005-0000-0000-000069140000}"/>
    <cellStyle name="Output 3 4 2 3" xfId="5226" xr:uid="{00000000-0005-0000-0000-00006A140000}"/>
    <cellStyle name="Output 3 4 2 3 2" xfId="5227" xr:uid="{00000000-0005-0000-0000-00006B140000}"/>
    <cellStyle name="Output 3 4 2 3 2 2" xfId="5228" xr:uid="{00000000-0005-0000-0000-00006C140000}"/>
    <cellStyle name="Output 3 4 2 3 3" xfId="5229" xr:uid="{00000000-0005-0000-0000-00006D140000}"/>
    <cellStyle name="Output 3 4 2 3 4" xfId="5230" xr:uid="{00000000-0005-0000-0000-00006E140000}"/>
    <cellStyle name="Output 3 4 2 4" xfId="5231" xr:uid="{00000000-0005-0000-0000-00006F140000}"/>
    <cellStyle name="Output 3 4 2 4 2" xfId="5232" xr:uid="{00000000-0005-0000-0000-000070140000}"/>
    <cellStyle name="Output 3 4 2 4 2 2" xfId="5233" xr:uid="{00000000-0005-0000-0000-000071140000}"/>
    <cellStyle name="Output 3 4 2 4 3" xfId="5234" xr:uid="{00000000-0005-0000-0000-000072140000}"/>
    <cellStyle name="Output 3 4 2 5" xfId="5235" xr:uid="{00000000-0005-0000-0000-000073140000}"/>
    <cellStyle name="Output 3 4 2 5 2" xfId="5236" xr:uid="{00000000-0005-0000-0000-000074140000}"/>
    <cellStyle name="Output 3 4 2 6" xfId="5237" xr:uid="{00000000-0005-0000-0000-000075140000}"/>
    <cellStyle name="Output 3 4 3" xfId="5238" xr:uid="{00000000-0005-0000-0000-000076140000}"/>
    <cellStyle name="Output 3 4 3 2" xfId="5239" xr:uid="{00000000-0005-0000-0000-000077140000}"/>
    <cellStyle name="Output 3 4 3 2 2" xfId="5240" xr:uid="{00000000-0005-0000-0000-000078140000}"/>
    <cellStyle name="Output 3 4 3 3" xfId="5241" xr:uid="{00000000-0005-0000-0000-000079140000}"/>
    <cellStyle name="Output 3 4 4" xfId="5242" xr:uid="{00000000-0005-0000-0000-00007A140000}"/>
    <cellStyle name="Output 3 4 4 2" xfId="5243" xr:uid="{00000000-0005-0000-0000-00007B140000}"/>
    <cellStyle name="Output 3 4 4 2 2" xfId="5244" xr:uid="{00000000-0005-0000-0000-00007C140000}"/>
    <cellStyle name="Output 3 4 4 2 2 2" xfId="5245" xr:uid="{00000000-0005-0000-0000-00007D140000}"/>
    <cellStyle name="Output 3 4 4 2 2 2 2" xfId="5246" xr:uid="{00000000-0005-0000-0000-00007E140000}"/>
    <cellStyle name="Output 3 4 4 2 2 3" xfId="5247" xr:uid="{00000000-0005-0000-0000-00007F140000}"/>
    <cellStyle name="Output 3 4 4 2 3" xfId="5248" xr:uid="{00000000-0005-0000-0000-000080140000}"/>
    <cellStyle name="Output 3 4 4 2 3 2" xfId="5249" xr:uid="{00000000-0005-0000-0000-000081140000}"/>
    <cellStyle name="Output 3 4 4 2 4" xfId="5250" xr:uid="{00000000-0005-0000-0000-000082140000}"/>
    <cellStyle name="Output 3 4 4 3" xfId="5251" xr:uid="{00000000-0005-0000-0000-000083140000}"/>
    <cellStyle name="Output 3 4 4 3 2" xfId="5252" xr:uid="{00000000-0005-0000-0000-000084140000}"/>
    <cellStyle name="Output 3 4 4 3 2 2" xfId="5253" xr:uid="{00000000-0005-0000-0000-000085140000}"/>
    <cellStyle name="Output 3 4 4 3 3" xfId="5254" xr:uid="{00000000-0005-0000-0000-000086140000}"/>
    <cellStyle name="Output 3 4 4 3 4" xfId="5255" xr:uid="{00000000-0005-0000-0000-000087140000}"/>
    <cellStyle name="Output 3 4 4 4" xfId="5256" xr:uid="{00000000-0005-0000-0000-000088140000}"/>
    <cellStyle name="Output 3 4 4 4 2" xfId="5257" xr:uid="{00000000-0005-0000-0000-000089140000}"/>
    <cellStyle name="Output 3 4 4 4 2 2" xfId="5258" xr:uid="{00000000-0005-0000-0000-00008A140000}"/>
    <cellStyle name="Output 3 4 4 4 3" xfId="5259" xr:uid="{00000000-0005-0000-0000-00008B140000}"/>
    <cellStyle name="Output 3 4 4 5" xfId="5260" xr:uid="{00000000-0005-0000-0000-00008C140000}"/>
    <cellStyle name="Output 3 4 4 5 2" xfId="5261" xr:uid="{00000000-0005-0000-0000-00008D140000}"/>
    <cellStyle name="Output 3 4 4 6" xfId="5262" xr:uid="{00000000-0005-0000-0000-00008E140000}"/>
    <cellStyle name="Output 3 4 5" xfId="5263" xr:uid="{00000000-0005-0000-0000-00008F140000}"/>
    <cellStyle name="Output 3 4 5 2" xfId="5264" xr:uid="{00000000-0005-0000-0000-000090140000}"/>
    <cellStyle name="Output 3 4 5 2 2" xfId="5265" xr:uid="{00000000-0005-0000-0000-000091140000}"/>
    <cellStyle name="Output 3 4 5 2 2 2" xfId="5266" xr:uid="{00000000-0005-0000-0000-000092140000}"/>
    <cellStyle name="Output 3 4 5 2 3" xfId="5267" xr:uid="{00000000-0005-0000-0000-000093140000}"/>
    <cellStyle name="Output 3 4 5 3" xfId="5268" xr:uid="{00000000-0005-0000-0000-000094140000}"/>
    <cellStyle name="Output 3 4 5 3 2" xfId="5269" xr:uid="{00000000-0005-0000-0000-000095140000}"/>
    <cellStyle name="Output 3 4 5 4" xfId="5270" xr:uid="{00000000-0005-0000-0000-000096140000}"/>
    <cellStyle name="Output 3 4 6" xfId="5271" xr:uid="{00000000-0005-0000-0000-000097140000}"/>
    <cellStyle name="Output 3 4 6 2" xfId="5272" xr:uid="{00000000-0005-0000-0000-000098140000}"/>
    <cellStyle name="Output 3 4 6 2 2" xfId="5273" xr:uid="{00000000-0005-0000-0000-000099140000}"/>
    <cellStyle name="Output 3 4 6 3" xfId="5274" xr:uid="{00000000-0005-0000-0000-00009A140000}"/>
    <cellStyle name="Output 3 4 6 4" xfId="5275" xr:uid="{00000000-0005-0000-0000-00009B140000}"/>
    <cellStyle name="Output 3 4 7" xfId="5276" xr:uid="{00000000-0005-0000-0000-00009C140000}"/>
    <cellStyle name="Output 3 4 7 2" xfId="5277" xr:uid="{00000000-0005-0000-0000-00009D140000}"/>
    <cellStyle name="Output 3 4 7 2 2" xfId="5278" xr:uid="{00000000-0005-0000-0000-00009E140000}"/>
    <cellStyle name="Output 3 4 7 3" xfId="5279" xr:uid="{00000000-0005-0000-0000-00009F140000}"/>
    <cellStyle name="Output 3 4 8" xfId="5280" xr:uid="{00000000-0005-0000-0000-0000A0140000}"/>
    <cellStyle name="Output 3 4 8 2" xfId="5281" xr:uid="{00000000-0005-0000-0000-0000A1140000}"/>
    <cellStyle name="Output 3 4 9" xfId="5282" xr:uid="{00000000-0005-0000-0000-0000A2140000}"/>
    <cellStyle name="Output 3 5" xfId="5283" xr:uid="{00000000-0005-0000-0000-0000A3140000}"/>
    <cellStyle name="Output 3 5 2" xfId="5284" xr:uid="{00000000-0005-0000-0000-0000A4140000}"/>
    <cellStyle name="Output 3 5 2 2" xfId="5285" xr:uid="{00000000-0005-0000-0000-0000A5140000}"/>
    <cellStyle name="Output 3 5 2 2 2" xfId="5286" xr:uid="{00000000-0005-0000-0000-0000A6140000}"/>
    <cellStyle name="Output 3 5 2 2 2 2" xfId="5287" xr:uid="{00000000-0005-0000-0000-0000A7140000}"/>
    <cellStyle name="Output 3 5 2 2 3" xfId="5288" xr:uid="{00000000-0005-0000-0000-0000A8140000}"/>
    <cellStyle name="Output 3 5 2 3" xfId="5289" xr:uid="{00000000-0005-0000-0000-0000A9140000}"/>
    <cellStyle name="Output 3 5 2 3 2" xfId="5290" xr:uid="{00000000-0005-0000-0000-0000AA140000}"/>
    <cellStyle name="Output 3 5 2 4" xfId="5291" xr:uid="{00000000-0005-0000-0000-0000AB140000}"/>
    <cellStyle name="Output 3 5 3" xfId="5292" xr:uid="{00000000-0005-0000-0000-0000AC140000}"/>
    <cellStyle name="Output 3 5 3 2" xfId="5293" xr:uid="{00000000-0005-0000-0000-0000AD140000}"/>
    <cellStyle name="Output 3 5 3 2 2" xfId="5294" xr:uid="{00000000-0005-0000-0000-0000AE140000}"/>
    <cellStyle name="Output 3 5 3 3" xfId="5295" xr:uid="{00000000-0005-0000-0000-0000AF140000}"/>
    <cellStyle name="Output 3 5 3 4" xfId="5296" xr:uid="{00000000-0005-0000-0000-0000B0140000}"/>
    <cellStyle name="Output 3 5 4" xfId="5297" xr:uid="{00000000-0005-0000-0000-0000B1140000}"/>
    <cellStyle name="Output 3 5 4 2" xfId="5298" xr:uid="{00000000-0005-0000-0000-0000B2140000}"/>
    <cellStyle name="Output 3 5 4 2 2" xfId="5299" xr:uid="{00000000-0005-0000-0000-0000B3140000}"/>
    <cellStyle name="Output 3 5 4 3" xfId="5300" xr:uid="{00000000-0005-0000-0000-0000B4140000}"/>
    <cellStyle name="Output 3 5 5" xfId="5301" xr:uid="{00000000-0005-0000-0000-0000B5140000}"/>
    <cellStyle name="Output 3 5 5 2" xfId="5302" xr:uid="{00000000-0005-0000-0000-0000B6140000}"/>
    <cellStyle name="Output 3 5 6" xfId="5303" xr:uid="{00000000-0005-0000-0000-0000B7140000}"/>
    <cellStyle name="Output 4" xfId="5304" xr:uid="{00000000-0005-0000-0000-0000B8140000}"/>
    <cellStyle name="Output 4 2" xfId="5305" xr:uid="{00000000-0005-0000-0000-0000B9140000}"/>
    <cellStyle name="Output 4 2 2" xfId="5306" xr:uid="{00000000-0005-0000-0000-0000BA140000}"/>
    <cellStyle name="Output 4 2 2 2" xfId="5307" xr:uid="{00000000-0005-0000-0000-0000BB140000}"/>
    <cellStyle name="Output 4 2 2 2 2" xfId="5308" xr:uid="{00000000-0005-0000-0000-0000BC140000}"/>
    <cellStyle name="Output 4 2 2 2 2 2" xfId="5309" xr:uid="{00000000-0005-0000-0000-0000BD140000}"/>
    <cellStyle name="Output 4 2 2 2 2 2 2" xfId="5310" xr:uid="{00000000-0005-0000-0000-0000BE140000}"/>
    <cellStyle name="Output 4 2 2 2 2 3" xfId="5311" xr:uid="{00000000-0005-0000-0000-0000BF140000}"/>
    <cellStyle name="Output 4 2 2 2 3" xfId="5312" xr:uid="{00000000-0005-0000-0000-0000C0140000}"/>
    <cellStyle name="Output 4 2 2 2 3 2" xfId="5313" xr:uid="{00000000-0005-0000-0000-0000C1140000}"/>
    <cellStyle name="Output 4 2 2 2 4" xfId="5314" xr:uid="{00000000-0005-0000-0000-0000C2140000}"/>
    <cellStyle name="Output 4 2 2 3" xfId="5315" xr:uid="{00000000-0005-0000-0000-0000C3140000}"/>
    <cellStyle name="Output 4 2 2 3 2" xfId="5316" xr:uid="{00000000-0005-0000-0000-0000C4140000}"/>
    <cellStyle name="Output 4 2 2 3 2 2" xfId="5317" xr:uid="{00000000-0005-0000-0000-0000C5140000}"/>
    <cellStyle name="Output 4 2 2 3 3" xfId="5318" xr:uid="{00000000-0005-0000-0000-0000C6140000}"/>
    <cellStyle name="Output 4 2 2 3 4" xfId="5319" xr:uid="{00000000-0005-0000-0000-0000C7140000}"/>
    <cellStyle name="Output 4 2 2 4" xfId="5320" xr:uid="{00000000-0005-0000-0000-0000C8140000}"/>
    <cellStyle name="Output 4 2 2 4 2" xfId="5321" xr:uid="{00000000-0005-0000-0000-0000C9140000}"/>
    <cellStyle name="Output 4 2 2 4 2 2" xfId="5322" xr:uid="{00000000-0005-0000-0000-0000CA140000}"/>
    <cellStyle name="Output 4 2 2 4 3" xfId="5323" xr:uid="{00000000-0005-0000-0000-0000CB140000}"/>
    <cellStyle name="Output 4 2 2 5" xfId="5324" xr:uid="{00000000-0005-0000-0000-0000CC140000}"/>
    <cellStyle name="Output 4 2 2 5 2" xfId="5325" xr:uid="{00000000-0005-0000-0000-0000CD140000}"/>
    <cellStyle name="Output 4 2 2 6" xfId="5326" xr:uid="{00000000-0005-0000-0000-0000CE140000}"/>
    <cellStyle name="Output 4 2 3" xfId="5327" xr:uid="{00000000-0005-0000-0000-0000CF140000}"/>
    <cellStyle name="Output 4 2 3 2" xfId="5328" xr:uid="{00000000-0005-0000-0000-0000D0140000}"/>
    <cellStyle name="Output 4 2 3 2 2" xfId="5329" xr:uid="{00000000-0005-0000-0000-0000D1140000}"/>
    <cellStyle name="Output 4 2 3 2 2 2" xfId="5330" xr:uid="{00000000-0005-0000-0000-0000D2140000}"/>
    <cellStyle name="Output 4 2 3 2 2 2 2" xfId="5331" xr:uid="{00000000-0005-0000-0000-0000D3140000}"/>
    <cellStyle name="Output 4 2 3 2 2 3" xfId="5332" xr:uid="{00000000-0005-0000-0000-0000D4140000}"/>
    <cellStyle name="Output 4 2 3 2 3" xfId="5333" xr:uid="{00000000-0005-0000-0000-0000D5140000}"/>
    <cellStyle name="Output 4 2 3 2 3 2" xfId="5334" xr:uid="{00000000-0005-0000-0000-0000D6140000}"/>
    <cellStyle name="Output 4 2 3 2 4" xfId="5335" xr:uid="{00000000-0005-0000-0000-0000D7140000}"/>
    <cellStyle name="Output 4 2 3 3" xfId="5336" xr:uid="{00000000-0005-0000-0000-0000D8140000}"/>
    <cellStyle name="Output 4 2 3 3 2" xfId="5337" xr:uid="{00000000-0005-0000-0000-0000D9140000}"/>
    <cellStyle name="Output 4 2 3 3 2 2" xfId="5338" xr:uid="{00000000-0005-0000-0000-0000DA140000}"/>
    <cellStyle name="Output 4 2 3 3 3" xfId="5339" xr:uid="{00000000-0005-0000-0000-0000DB140000}"/>
    <cellStyle name="Output 4 2 3 3 4" xfId="5340" xr:uid="{00000000-0005-0000-0000-0000DC140000}"/>
    <cellStyle name="Output 4 2 3 4" xfId="5341" xr:uid="{00000000-0005-0000-0000-0000DD140000}"/>
    <cellStyle name="Output 4 2 3 4 2" xfId="5342" xr:uid="{00000000-0005-0000-0000-0000DE140000}"/>
    <cellStyle name="Output 4 2 3 4 2 2" xfId="5343" xr:uid="{00000000-0005-0000-0000-0000DF140000}"/>
    <cellStyle name="Output 4 2 3 4 3" xfId="5344" xr:uid="{00000000-0005-0000-0000-0000E0140000}"/>
    <cellStyle name="Output 4 2 3 5" xfId="5345" xr:uid="{00000000-0005-0000-0000-0000E1140000}"/>
    <cellStyle name="Output 4 2 3 5 2" xfId="5346" xr:uid="{00000000-0005-0000-0000-0000E2140000}"/>
    <cellStyle name="Output 4 2 3 6" xfId="5347" xr:uid="{00000000-0005-0000-0000-0000E3140000}"/>
    <cellStyle name="Output 4 2 4" xfId="5348" xr:uid="{00000000-0005-0000-0000-0000E4140000}"/>
    <cellStyle name="Output 4 2 4 2" xfId="5349" xr:uid="{00000000-0005-0000-0000-0000E5140000}"/>
    <cellStyle name="Output 4 3" xfId="5350" xr:uid="{00000000-0005-0000-0000-0000E6140000}"/>
    <cellStyle name="Output 4 3 2" xfId="5351" xr:uid="{00000000-0005-0000-0000-0000E7140000}"/>
    <cellStyle name="Output 4 3 2 2" xfId="5352" xr:uid="{00000000-0005-0000-0000-0000E8140000}"/>
    <cellStyle name="Output 4 3 2 2 2" xfId="5353" xr:uid="{00000000-0005-0000-0000-0000E9140000}"/>
    <cellStyle name="Output 4 3 2 2 2 2" xfId="5354" xr:uid="{00000000-0005-0000-0000-0000EA140000}"/>
    <cellStyle name="Output 4 3 2 2 2 2 2" xfId="5355" xr:uid="{00000000-0005-0000-0000-0000EB140000}"/>
    <cellStyle name="Output 4 3 2 2 2 3" xfId="5356" xr:uid="{00000000-0005-0000-0000-0000EC140000}"/>
    <cellStyle name="Output 4 3 2 2 3" xfId="5357" xr:uid="{00000000-0005-0000-0000-0000ED140000}"/>
    <cellStyle name="Output 4 3 2 2 3 2" xfId="5358" xr:uid="{00000000-0005-0000-0000-0000EE140000}"/>
    <cellStyle name="Output 4 3 2 2 4" xfId="5359" xr:uid="{00000000-0005-0000-0000-0000EF140000}"/>
    <cellStyle name="Output 4 3 2 3" xfId="5360" xr:uid="{00000000-0005-0000-0000-0000F0140000}"/>
    <cellStyle name="Output 4 3 2 3 2" xfId="5361" xr:uid="{00000000-0005-0000-0000-0000F1140000}"/>
    <cellStyle name="Output 4 3 2 3 2 2" xfId="5362" xr:uid="{00000000-0005-0000-0000-0000F2140000}"/>
    <cellStyle name="Output 4 3 2 3 3" xfId="5363" xr:uid="{00000000-0005-0000-0000-0000F3140000}"/>
    <cellStyle name="Output 4 3 2 3 4" xfId="5364" xr:uid="{00000000-0005-0000-0000-0000F4140000}"/>
    <cellStyle name="Output 4 3 2 4" xfId="5365" xr:uid="{00000000-0005-0000-0000-0000F5140000}"/>
    <cellStyle name="Output 4 3 2 4 2" xfId="5366" xr:uid="{00000000-0005-0000-0000-0000F6140000}"/>
    <cellStyle name="Output 4 3 2 4 2 2" xfId="5367" xr:uid="{00000000-0005-0000-0000-0000F7140000}"/>
    <cellStyle name="Output 4 3 2 4 3" xfId="5368" xr:uid="{00000000-0005-0000-0000-0000F8140000}"/>
    <cellStyle name="Output 4 3 2 5" xfId="5369" xr:uid="{00000000-0005-0000-0000-0000F9140000}"/>
    <cellStyle name="Output 4 3 2 5 2" xfId="5370" xr:uid="{00000000-0005-0000-0000-0000FA140000}"/>
    <cellStyle name="Output 4 3 2 6" xfId="5371" xr:uid="{00000000-0005-0000-0000-0000FB140000}"/>
    <cellStyle name="Output 4 3 3" xfId="5372" xr:uid="{00000000-0005-0000-0000-0000FC140000}"/>
    <cellStyle name="Output 4 3 3 2" xfId="5373" xr:uid="{00000000-0005-0000-0000-0000FD140000}"/>
    <cellStyle name="Output 4 3 3 2 2" xfId="5374" xr:uid="{00000000-0005-0000-0000-0000FE140000}"/>
    <cellStyle name="Output 4 3 3 3" xfId="5375" xr:uid="{00000000-0005-0000-0000-0000FF140000}"/>
    <cellStyle name="Output 4 3 4" xfId="5376" xr:uid="{00000000-0005-0000-0000-000000150000}"/>
    <cellStyle name="Output 4 3 4 2" xfId="5377" xr:uid="{00000000-0005-0000-0000-000001150000}"/>
    <cellStyle name="Output 4 3 4 2 2" xfId="5378" xr:uid="{00000000-0005-0000-0000-000002150000}"/>
    <cellStyle name="Output 4 3 4 2 2 2" xfId="5379" xr:uid="{00000000-0005-0000-0000-000003150000}"/>
    <cellStyle name="Output 4 3 4 2 2 2 2" xfId="5380" xr:uid="{00000000-0005-0000-0000-000004150000}"/>
    <cellStyle name="Output 4 3 4 2 2 3" xfId="5381" xr:uid="{00000000-0005-0000-0000-000005150000}"/>
    <cellStyle name="Output 4 3 4 2 3" xfId="5382" xr:uid="{00000000-0005-0000-0000-000006150000}"/>
    <cellStyle name="Output 4 3 4 2 3 2" xfId="5383" xr:uid="{00000000-0005-0000-0000-000007150000}"/>
    <cellStyle name="Output 4 3 4 2 4" xfId="5384" xr:uid="{00000000-0005-0000-0000-000008150000}"/>
    <cellStyle name="Output 4 3 4 3" xfId="5385" xr:uid="{00000000-0005-0000-0000-000009150000}"/>
    <cellStyle name="Output 4 3 4 3 2" xfId="5386" xr:uid="{00000000-0005-0000-0000-00000A150000}"/>
    <cellStyle name="Output 4 3 4 3 2 2" xfId="5387" xr:uid="{00000000-0005-0000-0000-00000B150000}"/>
    <cellStyle name="Output 4 3 4 3 3" xfId="5388" xr:uid="{00000000-0005-0000-0000-00000C150000}"/>
    <cellStyle name="Output 4 3 4 3 4" xfId="5389" xr:uid="{00000000-0005-0000-0000-00000D150000}"/>
    <cellStyle name="Output 4 3 4 4" xfId="5390" xr:uid="{00000000-0005-0000-0000-00000E150000}"/>
    <cellStyle name="Output 4 3 4 4 2" xfId="5391" xr:uid="{00000000-0005-0000-0000-00000F150000}"/>
    <cellStyle name="Output 4 3 4 4 2 2" xfId="5392" xr:uid="{00000000-0005-0000-0000-000010150000}"/>
    <cellStyle name="Output 4 3 4 4 3" xfId="5393" xr:uid="{00000000-0005-0000-0000-000011150000}"/>
    <cellStyle name="Output 4 3 4 5" xfId="5394" xr:uid="{00000000-0005-0000-0000-000012150000}"/>
    <cellStyle name="Output 4 3 4 5 2" xfId="5395" xr:uid="{00000000-0005-0000-0000-000013150000}"/>
    <cellStyle name="Output 4 3 4 6" xfId="5396" xr:uid="{00000000-0005-0000-0000-000014150000}"/>
    <cellStyle name="Output 4 3 5" xfId="5397" xr:uid="{00000000-0005-0000-0000-000015150000}"/>
    <cellStyle name="Output 4 3 5 2" xfId="5398" xr:uid="{00000000-0005-0000-0000-000016150000}"/>
    <cellStyle name="Output 4 3 5 2 2" xfId="5399" xr:uid="{00000000-0005-0000-0000-000017150000}"/>
    <cellStyle name="Output 4 3 5 2 2 2" xfId="5400" xr:uid="{00000000-0005-0000-0000-000018150000}"/>
    <cellStyle name="Output 4 3 5 2 3" xfId="5401" xr:uid="{00000000-0005-0000-0000-000019150000}"/>
    <cellStyle name="Output 4 3 5 3" xfId="5402" xr:uid="{00000000-0005-0000-0000-00001A150000}"/>
    <cellStyle name="Output 4 3 5 3 2" xfId="5403" xr:uid="{00000000-0005-0000-0000-00001B150000}"/>
    <cellStyle name="Output 4 3 5 4" xfId="5404" xr:uid="{00000000-0005-0000-0000-00001C150000}"/>
    <cellStyle name="Output 4 3 6" xfId="5405" xr:uid="{00000000-0005-0000-0000-00001D150000}"/>
    <cellStyle name="Output 4 3 6 2" xfId="5406" xr:uid="{00000000-0005-0000-0000-00001E150000}"/>
    <cellStyle name="Output 4 3 6 2 2" xfId="5407" xr:uid="{00000000-0005-0000-0000-00001F150000}"/>
    <cellStyle name="Output 4 3 6 3" xfId="5408" xr:uid="{00000000-0005-0000-0000-000020150000}"/>
    <cellStyle name="Output 4 3 6 4" xfId="5409" xr:uid="{00000000-0005-0000-0000-000021150000}"/>
    <cellStyle name="Output 4 3 7" xfId="5410" xr:uid="{00000000-0005-0000-0000-000022150000}"/>
    <cellStyle name="Output 4 3 7 2" xfId="5411" xr:uid="{00000000-0005-0000-0000-000023150000}"/>
    <cellStyle name="Output 4 3 7 2 2" xfId="5412" xr:uid="{00000000-0005-0000-0000-000024150000}"/>
    <cellStyle name="Output 4 3 7 3" xfId="5413" xr:uid="{00000000-0005-0000-0000-000025150000}"/>
    <cellStyle name="Output 4 3 8" xfId="5414" xr:uid="{00000000-0005-0000-0000-000026150000}"/>
    <cellStyle name="Output 4 3 8 2" xfId="5415" xr:uid="{00000000-0005-0000-0000-000027150000}"/>
    <cellStyle name="Output 4 3 9" xfId="5416" xr:uid="{00000000-0005-0000-0000-000028150000}"/>
    <cellStyle name="Output 4 4" xfId="5417" xr:uid="{00000000-0005-0000-0000-000029150000}"/>
    <cellStyle name="Output 4 4 2" xfId="5418" xr:uid="{00000000-0005-0000-0000-00002A150000}"/>
    <cellStyle name="Output 4 4 2 2" xfId="5419" xr:uid="{00000000-0005-0000-0000-00002B150000}"/>
    <cellStyle name="Output 4 4 2 2 2" xfId="5420" xr:uid="{00000000-0005-0000-0000-00002C150000}"/>
    <cellStyle name="Output 4 4 2 2 2 2" xfId="5421" xr:uid="{00000000-0005-0000-0000-00002D150000}"/>
    <cellStyle name="Output 4 4 2 2 3" xfId="5422" xr:uid="{00000000-0005-0000-0000-00002E150000}"/>
    <cellStyle name="Output 4 4 2 3" xfId="5423" xr:uid="{00000000-0005-0000-0000-00002F150000}"/>
    <cellStyle name="Output 4 4 2 3 2" xfId="5424" xr:uid="{00000000-0005-0000-0000-000030150000}"/>
    <cellStyle name="Output 4 4 2 4" xfId="5425" xr:uid="{00000000-0005-0000-0000-000031150000}"/>
    <cellStyle name="Output 4 4 3" xfId="5426" xr:uid="{00000000-0005-0000-0000-000032150000}"/>
    <cellStyle name="Output 4 4 3 2" xfId="5427" xr:uid="{00000000-0005-0000-0000-000033150000}"/>
    <cellStyle name="Output 4 4 3 2 2" xfId="5428" xr:uid="{00000000-0005-0000-0000-000034150000}"/>
    <cellStyle name="Output 4 4 3 3" xfId="5429" xr:uid="{00000000-0005-0000-0000-000035150000}"/>
    <cellStyle name="Output 4 4 3 4" xfId="5430" xr:uid="{00000000-0005-0000-0000-000036150000}"/>
    <cellStyle name="Output 4 4 4" xfId="5431" xr:uid="{00000000-0005-0000-0000-000037150000}"/>
    <cellStyle name="Output 4 4 4 2" xfId="5432" xr:uid="{00000000-0005-0000-0000-000038150000}"/>
    <cellStyle name="Output 4 4 4 2 2" xfId="5433" xr:uid="{00000000-0005-0000-0000-000039150000}"/>
    <cellStyle name="Output 4 4 4 3" xfId="5434" xr:uid="{00000000-0005-0000-0000-00003A150000}"/>
    <cellStyle name="Output 4 4 5" xfId="5435" xr:uid="{00000000-0005-0000-0000-00003B150000}"/>
    <cellStyle name="Output 4 4 5 2" xfId="5436" xr:uid="{00000000-0005-0000-0000-00003C150000}"/>
    <cellStyle name="Output 4 4 6" xfId="5437" xr:uid="{00000000-0005-0000-0000-00003D150000}"/>
    <cellStyle name="Output 5" xfId="5438" xr:uid="{00000000-0005-0000-0000-00003E150000}"/>
    <cellStyle name="Output 5 2" xfId="5439" xr:uid="{00000000-0005-0000-0000-00003F150000}"/>
    <cellStyle name="Output 5 2 2" xfId="5440" xr:uid="{00000000-0005-0000-0000-000040150000}"/>
    <cellStyle name="Output 5 2 2 2" xfId="5441" xr:uid="{00000000-0005-0000-0000-000041150000}"/>
    <cellStyle name="Output 5 2 2 2 2" xfId="5442" xr:uid="{00000000-0005-0000-0000-000042150000}"/>
    <cellStyle name="Output 5 2 2 2 2 2" xfId="5443" xr:uid="{00000000-0005-0000-0000-000043150000}"/>
    <cellStyle name="Output 5 2 2 2 2 2 2" xfId="5444" xr:uid="{00000000-0005-0000-0000-000044150000}"/>
    <cellStyle name="Output 5 2 2 2 2 3" xfId="5445" xr:uid="{00000000-0005-0000-0000-000045150000}"/>
    <cellStyle name="Output 5 2 2 2 3" xfId="5446" xr:uid="{00000000-0005-0000-0000-000046150000}"/>
    <cellStyle name="Output 5 2 2 2 3 2" xfId="5447" xr:uid="{00000000-0005-0000-0000-000047150000}"/>
    <cellStyle name="Output 5 2 2 2 4" xfId="5448" xr:uid="{00000000-0005-0000-0000-000048150000}"/>
    <cellStyle name="Output 5 2 2 3" xfId="5449" xr:uid="{00000000-0005-0000-0000-000049150000}"/>
    <cellStyle name="Output 5 2 2 3 2" xfId="5450" xr:uid="{00000000-0005-0000-0000-00004A150000}"/>
    <cellStyle name="Output 5 2 2 3 2 2" xfId="5451" xr:uid="{00000000-0005-0000-0000-00004B150000}"/>
    <cellStyle name="Output 5 2 2 3 3" xfId="5452" xr:uid="{00000000-0005-0000-0000-00004C150000}"/>
    <cellStyle name="Output 5 2 2 3 4" xfId="5453" xr:uid="{00000000-0005-0000-0000-00004D150000}"/>
    <cellStyle name="Output 5 2 2 4" xfId="5454" xr:uid="{00000000-0005-0000-0000-00004E150000}"/>
    <cellStyle name="Output 5 2 2 4 2" xfId="5455" xr:uid="{00000000-0005-0000-0000-00004F150000}"/>
    <cellStyle name="Output 5 2 2 4 2 2" xfId="5456" xr:uid="{00000000-0005-0000-0000-000050150000}"/>
    <cellStyle name="Output 5 2 2 4 3" xfId="5457" xr:uid="{00000000-0005-0000-0000-000051150000}"/>
    <cellStyle name="Output 5 2 2 5" xfId="5458" xr:uid="{00000000-0005-0000-0000-000052150000}"/>
    <cellStyle name="Output 5 2 2 5 2" xfId="5459" xr:uid="{00000000-0005-0000-0000-000053150000}"/>
    <cellStyle name="Output 5 2 2 6" xfId="5460" xr:uid="{00000000-0005-0000-0000-000054150000}"/>
    <cellStyle name="Output 5 2 3" xfId="5461" xr:uid="{00000000-0005-0000-0000-000055150000}"/>
    <cellStyle name="Output 5 2 3 2" xfId="5462" xr:uid="{00000000-0005-0000-0000-000056150000}"/>
    <cellStyle name="Output 5 2 3 2 2" xfId="5463" xr:uid="{00000000-0005-0000-0000-000057150000}"/>
    <cellStyle name="Output 5 2 3 2 2 2" xfId="5464" xr:uid="{00000000-0005-0000-0000-000058150000}"/>
    <cellStyle name="Output 5 2 3 2 2 2 2" xfId="5465" xr:uid="{00000000-0005-0000-0000-000059150000}"/>
    <cellStyle name="Output 5 2 3 2 2 3" xfId="5466" xr:uid="{00000000-0005-0000-0000-00005A150000}"/>
    <cellStyle name="Output 5 2 3 2 3" xfId="5467" xr:uid="{00000000-0005-0000-0000-00005B150000}"/>
    <cellStyle name="Output 5 2 3 2 3 2" xfId="5468" xr:uid="{00000000-0005-0000-0000-00005C150000}"/>
    <cellStyle name="Output 5 2 3 2 4" xfId="5469" xr:uid="{00000000-0005-0000-0000-00005D150000}"/>
    <cellStyle name="Output 5 2 3 3" xfId="5470" xr:uid="{00000000-0005-0000-0000-00005E150000}"/>
    <cellStyle name="Output 5 2 3 3 2" xfId="5471" xr:uid="{00000000-0005-0000-0000-00005F150000}"/>
    <cellStyle name="Output 5 2 3 3 2 2" xfId="5472" xr:uid="{00000000-0005-0000-0000-000060150000}"/>
    <cellStyle name="Output 5 2 3 3 3" xfId="5473" xr:uid="{00000000-0005-0000-0000-000061150000}"/>
    <cellStyle name="Output 5 2 3 3 4" xfId="5474" xr:uid="{00000000-0005-0000-0000-000062150000}"/>
    <cellStyle name="Output 5 2 3 4" xfId="5475" xr:uid="{00000000-0005-0000-0000-000063150000}"/>
    <cellStyle name="Output 5 2 3 4 2" xfId="5476" xr:uid="{00000000-0005-0000-0000-000064150000}"/>
    <cellStyle name="Output 5 2 3 4 2 2" xfId="5477" xr:uid="{00000000-0005-0000-0000-000065150000}"/>
    <cellStyle name="Output 5 2 3 4 3" xfId="5478" xr:uid="{00000000-0005-0000-0000-000066150000}"/>
    <cellStyle name="Output 5 2 3 5" xfId="5479" xr:uid="{00000000-0005-0000-0000-000067150000}"/>
    <cellStyle name="Output 5 2 3 5 2" xfId="5480" xr:uid="{00000000-0005-0000-0000-000068150000}"/>
    <cellStyle name="Output 5 2 3 6" xfId="5481" xr:uid="{00000000-0005-0000-0000-000069150000}"/>
    <cellStyle name="Output 5 2 4" xfId="5482" xr:uid="{00000000-0005-0000-0000-00006A150000}"/>
    <cellStyle name="Output 5 2 4 2" xfId="5483" xr:uid="{00000000-0005-0000-0000-00006B150000}"/>
    <cellStyle name="Output 5 3" xfId="5484" xr:uid="{00000000-0005-0000-0000-00006C150000}"/>
    <cellStyle name="Output 5 3 2" xfId="5485" xr:uid="{00000000-0005-0000-0000-00006D150000}"/>
    <cellStyle name="Output 5 3 2 2" xfId="5486" xr:uid="{00000000-0005-0000-0000-00006E150000}"/>
    <cellStyle name="Output 5 3 2 2 2" xfId="5487" xr:uid="{00000000-0005-0000-0000-00006F150000}"/>
    <cellStyle name="Output 5 3 2 2 2 2" xfId="5488" xr:uid="{00000000-0005-0000-0000-000070150000}"/>
    <cellStyle name="Output 5 3 2 2 2 2 2" xfId="5489" xr:uid="{00000000-0005-0000-0000-000071150000}"/>
    <cellStyle name="Output 5 3 2 2 2 3" xfId="5490" xr:uid="{00000000-0005-0000-0000-000072150000}"/>
    <cellStyle name="Output 5 3 2 2 3" xfId="5491" xr:uid="{00000000-0005-0000-0000-000073150000}"/>
    <cellStyle name="Output 5 3 2 2 3 2" xfId="5492" xr:uid="{00000000-0005-0000-0000-000074150000}"/>
    <cellStyle name="Output 5 3 2 2 4" xfId="5493" xr:uid="{00000000-0005-0000-0000-000075150000}"/>
    <cellStyle name="Output 5 3 2 3" xfId="5494" xr:uid="{00000000-0005-0000-0000-000076150000}"/>
    <cellStyle name="Output 5 3 2 3 2" xfId="5495" xr:uid="{00000000-0005-0000-0000-000077150000}"/>
    <cellStyle name="Output 5 3 2 3 2 2" xfId="5496" xr:uid="{00000000-0005-0000-0000-000078150000}"/>
    <cellStyle name="Output 5 3 2 3 3" xfId="5497" xr:uid="{00000000-0005-0000-0000-000079150000}"/>
    <cellStyle name="Output 5 3 2 3 4" xfId="5498" xr:uid="{00000000-0005-0000-0000-00007A150000}"/>
    <cellStyle name="Output 5 3 2 4" xfId="5499" xr:uid="{00000000-0005-0000-0000-00007B150000}"/>
    <cellStyle name="Output 5 3 2 4 2" xfId="5500" xr:uid="{00000000-0005-0000-0000-00007C150000}"/>
    <cellStyle name="Output 5 3 2 4 2 2" xfId="5501" xr:uid="{00000000-0005-0000-0000-00007D150000}"/>
    <cellStyle name="Output 5 3 2 4 3" xfId="5502" xr:uid="{00000000-0005-0000-0000-00007E150000}"/>
    <cellStyle name="Output 5 3 2 5" xfId="5503" xr:uid="{00000000-0005-0000-0000-00007F150000}"/>
    <cellStyle name="Output 5 3 2 5 2" xfId="5504" xr:uid="{00000000-0005-0000-0000-000080150000}"/>
    <cellStyle name="Output 5 3 2 6" xfId="5505" xr:uid="{00000000-0005-0000-0000-000081150000}"/>
    <cellStyle name="Output 5 3 3" xfId="5506" xr:uid="{00000000-0005-0000-0000-000082150000}"/>
    <cellStyle name="Output 5 3 3 2" xfId="5507" xr:uid="{00000000-0005-0000-0000-000083150000}"/>
    <cellStyle name="Output 5 3 3 2 2" xfId="5508" xr:uid="{00000000-0005-0000-0000-000084150000}"/>
    <cellStyle name="Output 5 3 3 3" xfId="5509" xr:uid="{00000000-0005-0000-0000-000085150000}"/>
    <cellStyle name="Output 5 3 4" xfId="5510" xr:uid="{00000000-0005-0000-0000-000086150000}"/>
    <cellStyle name="Output 5 3 4 2" xfId="5511" xr:uid="{00000000-0005-0000-0000-000087150000}"/>
    <cellStyle name="Output 5 3 4 2 2" xfId="5512" xr:uid="{00000000-0005-0000-0000-000088150000}"/>
    <cellStyle name="Output 5 3 4 2 2 2" xfId="5513" xr:uid="{00000000-0005-0000-0000-000089150000}"/>
    <cellStyle name="Output 5 3 4 2 2 2 2" xfId="5514" xr:uid="{00000000-0005-0000-0000-00008A150000}"/>
    <cellStyle name="Output 5 3 4 2 2 3" xfId="5515" xr:uid="{00000000-0005-0000-0000-00008B150000}"/>
    <cellStyle name="Output 5 3 4 2 3" xfId="5516" xr:uid="{00000000-0005-0000-0000-00008C150000}"/>
    <cellStyle name="Output 5 3 4 2 3 2" xfId="5517" xr:uid="{00000000-0005-0000-0000-00008D150000}"/>
    <cellStyle name="Output 5 3 4 2 4" xfId="5518" xr:uid="{00000000-0005-0000-0000-00008E150000}"/>
    <cellStyle name="Output 5 3 4 3" xfId="5519" xr:uid="{00000000-0005-0000-0000-00008F150000}"/>
    <cellStyle name="Output 5 3 4 3 2" xfId="5520" xr:uid="{00000000-0005-0000-0000-000090150000}"/>
    <cellStyle name="Output 5 3 4 3 2 2" xfId="5521" xr:uid="{00000000-0005-0000-0000-000091150000}"/>
    <cellStyle name="Output 5 3 4 3 3" xfId="5522" xr:uid="{00000000-0005-0000-0000-000092150000}"/>
    <cellStyle name="Output 5 3 4 3 4" xfId="5523" xr:uid="{00000000-0005-0000-0000-000093150000}"/>
    <cellStyle name="Output 5 3 4 4" xfId="5524" xr:uid="{00000000-0005-0000-0000-000094150000}"/>
    <cellStyle name="Output 5 3 4 4 2" xfId="5525" xr:uid="{00000000-0005-0000-0000-000095150000}"/>
    <cellStyle name="Output 5 3 4 4 2 2" xfId="5526" xr:uid="{00000000-0005-0000-0000-000096150000}"/>
    <cellStyle name="Output 5 3 4 4 3" xfId="5527" xr:uid="{00000000-0005-0000-0000-000097150000}"/>
    <cellStyle name="Output 5 3 4 5" xfId="5528" xr:uid="{00000000-0005-0000-0000-000098150000}"/>
    <cellStyle name="Output 5 3 4 5 2" xfId="5529" xr:uid="{00000000-0005-0000-0000-000099150000}"/>
    <cellStyle name="Output 5 3 4 6" xfId="5530" xr:uid="{00000000-0005-0000-0000-00009A150000}"/>
    <cellStyle name="Output 5 3 5" xfId="5531" xr:uid="{00000000-0005-0000-0000-00009B150000}"/>
    <cellStyle name="Output 5 3 5 2" xfId="5532" xr:uid="{00000000-0005-0000-0000-00009C150000}"/>
    <cellStyle name="Output 5 3 5 2 2" xfId="5533" xr:uid="{00000000-0005-0000-0000-00009D150000}"/>
    <cellStyle name="Output 5 3 5 2 2 2" xfId="5534" xr:uid="{00000000-0005-0000-0000-00009E150000}"/>
    <cellStyle name="Output 5 3 5 2 3" xfId="5535" xr:uid="{00000000-0005-0000-0000-00009F150000}"/>
    <cellStyle name="Output 5 3 5 3" xfId="5536" xr:uid="{00000000-0005-0000-0000-0000A0150000}"/>
    <cellStyle name="Output 5 3 5 3 2" xfId="5537" xr:uid="{00000000-0005-0000-0000-0000A1150000}"/>
    <cellStyle name="Output 5 3 5 4" xfId="5538" xr:uid="{00000000-0005-0000-0000-0000A2150000}"/>
    <cellStyle name="Output 5 3 6" xfId="5539" xr:uid="{00000000-0005-0000-0000-0000A3150000}"/>
    <cellStyle name="Output 5 3 6 2" xfId="5540" xr:uid="{00000000-0005-0000-0000-0000A4150000}"/>
    <cellStyle name="Output 5 3 6 2 2" xfId="5541" xr:uid="{00000000-0005-0000-0000-0000A5150000}"/>
    <cellStyle name="Output 5 3 6 3" xfId="5542" xr:uid="{00000000-0005-0000-0000-0000A6150000}"/>
    <cellStyle name="Output 5 3 6 4" xfId="5543" xr:uid="{00000000-0005-0000-0000-0000A7150000}"/>
    <cellStyle name="Output 5 3 7" xfId="5544" xr:uid="{00000000-0005-0000-0000-0000A8150000}"/>
    <cellStyle name="Output 5 3 7 2" xfId="5545" xr:uid="{00000000-0005-0000-0000-0000A9150000}"/>
    <cellStyle name="Output 5 3 7 2 2" xfId="5546" xr:uid="{00000000-0005-0000-0000-0000AA150000}"/>
    <cellStyle name="Output 5 3 7 3" xfId="5547" xr:uid="{00000000-0005-0000-0000-0000AB150000}"/>
    <cellStyle name="Output 5 3 8" xfId="5548" xr:uid="{00000000-0005-0000-0000-0000AC150000}"/>
    <cellStyle name="Output 5 3 8 2" xfId="5549" xr:uid="{00000000-0005-0000-0000-0000AD150000}"/>
    <cellStyle name="Output 5 3 9" xfId="5550" xr:uid="{00000000-0005-0000-0000-0000AE150000}"/>
    <cellStyle name="Output 5 4" xfId="5551" xr:uid="{00000000-0005-0000-0000-0000AF150000}"/>
    <cellStyle name="Output 5 4 2" xfId="5552" xr:uid="{00000000-0005-0000-0000-0000B0150000}"/>
    <cellStyle name="Output 5 4 2 2" xfId="5553" xr:uid="{00000000-0005-0000-0000-0000B1150000}"/>
    <cellStyle name="Output 5 4 2 2 2" xfId="5554" xr:uid="{00000000-0005-0000-0000-0000B2150000}"/>
    <cellStyle name="Output 5 4 2 2 2 2" xfId="5555" xr:uid="{00000000-0005-0000-0000-0000B3150000}"/>
    <cellStyle name="Output 5 4 2 2 3" xfId="5556" xr:uid="{00000000-0005-0000-0000-0000B4150000}"/>
    <cellStyle name="Output 5 4 2 3" xfId="5557" xr:uid="{00000000-0005-0000-0000-0000B5150000}"/>
    <cellStyle name="Output 5 4 2 3 2" xfId="5558" xr:uid="{00000000-0005-0000-0000-0000B6150000}"/>
    <cellStyle name="Output 5 4 2 4" xfId="5559" xr:uid="{00000000-0005-0000-0000-0000B7150000}"/>
    <cellStyle name="Output 5 4 3" xfId="5560" xr:uid="{00000000-0005-0000-0000-0000B8150000}"/>
    <cellStyle name="Output 5 4 3 2" xfId="5561" xr:uid="{00000000-0005-0000-0000-0000B9150000}"/>
    <cellStyle name="Output 5 4 3 2 2" xfId="5562" xr:uid="{00000000-0005-0000-0000-0000BA150000}"/>
    <cellStyle name="Output 5 4 3 3" xfId="5563" xr:uid="{00000000-0005-0000-0000-0000BB150000}"/>
    <cellStyle name="Output 5 4 3 4" xfId="5564" xr:uid="{00000000-0005-0000-0000-0000BC150000}"/>
    <cellStyle name="Output 5 4 4" xfId="5565" xr:uid="{00000000-0005-0000-0000-0000BD150000}"/>
    <cellStyle name="Output 5 4 4 2" xfId="5566" xr:uid="{00000000-0005-0000-0000-0000BE150000}"/>
    <cellStyle name="Output 5 4 4 2 2" xfId="5567" xr:uid="{00000000-0005-0000-0000-0000BF150000}"/>
    <cellStyle name="Output 5 4 4 3" xfId="5568" xr:uid="{00000000-0005-0000-0000-0000C0150000}"/>
    <cellStyle name="Output 5 4 5" xfId="5569" xr:uid="{00000000-0005-0000-0000-0000C1150000}"/>
    <cellStyle name="Output 5 4 5 2" xfId="5570" xr:uid="{00000000-0005-0000-0000-0000C2150000}"/>
    <cellStyle name="Output 5 4 6" xfId="5571" xr:uid="{00000000-0005-0000-0000-0000C3150000}"/>
    <cellStyle name="Output 5 5" xfId="5572" xr:uid="{00000000-0005-0000-0000-0000C4150000}"/>
    <cellStyle name="Output 5 5 2" xfId="5573" xr:uid="{00000000-0005-0000-0000-0000C5150000}"/>
    <cellStyle name="Output 6" xfId="5574" xr:uid="{00000000-0005-0000-0000-0000C6150000}"/>
    <cellStyle name="Output 6 2" xfId="5575" xr:uid="{00000000-0005-0000-0000-0000C7150000}"/>
    <cellStyle name="Output 6 2 2" xfId="5576" xr:uid="{00000000-0005-0000-0000-0000C8150000}"/>
    <cellStyle name="Output 6 2 2 2" xfId="5577" xr:uid="{00000000-0005-0000-0000-0000C9150000}"/>
    <cellStyle name="Output 6 2 2 2 2" xfId="5578" xr:uid="{00000000-0005-0000-0000-0000CA150000}"/>
    <cellStyle name="Output 6 2 2 2 2 2" xfId="5579" xr:uid="{00000000-0005-0000-0000-0000CB150000}"/>
    <cellStyle name="Output 6 2 2 2 2 2 2" xfId="5580" xr:uid="{00000000-0005-0000-0000-0000CC150000}"/>
    <cellStyle name="Output 6 2 2 2 2 3" xfId="5581" xr:uid="{00000000-0005-0000-0000-0000CD150000}"/>
    <cellStyle name="Output 6 2 2 2 3" xfId="5582" xr:uid="{00000000-0005-0000-0000-0000CE150000}"/>
    <cellStyle name="Output 6 2 2 2 3 2" xfId="5583" xr:uid="{00000000-0005-0000-0000-0000CF150000}"/>
    <cellStyle name="Output 6 2 2 2 4" xfId="5584" xr:uid="{00000000-0005-0000-0000-0000D0150000}"/>
    <cellStyle name="Output 6 2 2 3" xfId="5585" xr:uid="{00000000-0005-0000-0000-0000D1150000}"/>
    <cellStyle name="Output 6 2 2 3 2" xfId="5586" xr:uid="{00000000-0005-0000-0000-0000D2150000}"/>
    <cellStyle name="Output 6 2 2 3 2 2" xfId="5587" xr:uid="{00000000-0005-0000-0000-0000D3150000}"/>
    <cellStyle name="Output 6 2 2 3 3" xfId="5588" xr:uid="{00000000-0005-0000-0000-0000D4150000}"/>
    <cellStyle name="Output 6 2 2 3 4" xfId="5589" xr:uid="{00000000-0005-0000-0000-0000D5150000}"/>
    <cellStyle name="Output 6 2 2 4" xfId="5590" xr:uid="{00000000-0005-0000-0000-0000D6150000}"/>
    <cellStyle name="Output 6 2 2 4 2" xfId="5591" xr:uid="{00000000-0005-0000-0000-0000D7150000}"/>
    <cellStyle name="Output 6 2 2 4 2 2" xfId="5592" xr:uid="{00000000-0005-0000-0000-0000D8150000}"/>
    <cellStyle name="Output 6 2 2 4 3" xfId="5593" xr:uid="{00000000-0005-0000-0000-0000D9150000}"/>
    <cellStyle name="Output 6 2 2 5" xfId="5594" xr:uid="{00000000-0005-0000-0000-0000DA150000}"/>
    <cellStyle name="Output 6 2 2 5 2" xfId="5595" xr:uid="{00000000-0005-0000-0000-0000DB150000}"/>
    <cellStyle name="Output 6 2 2 6" xfId="5596" xr:uid="{00000000-0005-0000-0000-0000DC150000}"/>
    <cellStyle name="Output 6 2 3" xfId="5597" xr:uid="{00000000-0005-0000-0000-0000DD150000}"/>
    <cellStyle name="Output 6 2 3 2" xfId="5598" xr:uid="{00000000-0005-0000-0000-0000DE150000}"/>
    <cellStyle name="Output 6 2 3 2 2" xfId="5599" xr:uid="{00000000-0005-0000-0000-0000DF150000}"/>
    <cellStyle name="Output 6 2 3 3" xfId="5600" xr:uid="{00000000-0005-0000-0000-0000E0150000}"/>
    <cellStyle name="Output 6 2 4" xfId="5601" xr:uid="{00000000-0005-0000-0000-0000E1150000}"/>
    <cellStyle name="Output 6 2 4 2" xfId="5602" xr:uid="{00000000-0005-0000-0000-0000E2150000}"/>
    <cellStyle name="Output 6 2 4 2 2" xfId="5603" xr:uid="{00000000-0005-0000-0000-0000E3150000}"/>
    <cellStyle name="Output 6 2 4 2 2 2" xfId="5604" xr:uid="{00000000-0005-0000-0000-0000E4150000}"/>
    <cellStyle name="Output 6 2 4 2 2 2 2" xfId="5605" xr:uid="{00000000-0005-0000-0000-0000E5150000}"/>
    <cellStyle name="Output 6 2 4 2 2 3" xfId="5606" xr:uid="{00000000-0005-0000-0000-0000E6150000}"/>
    <cellStyle name="Output 6 2 4 2 3" xfId="5607" xr:uid="{00000000-0005-0000-0000-0000E7150000}"/>
    <cellStyle name="Output 6 2 4 2 3 2" xfId="5608" xr:uid="{00000000-0005-0000-0000-0000E8150000}"/>
    <cellStyle name="Output 6 2 4 2 4" xfId="5609" xr:uid="{00000000-0005-0000-0000-0000E9150000}"/>
    <cellStyle name="Output 6 2 4 3" xfId="5610" xr:uid="{00000000-0005-0000-0000-0000EA150000}"/>
    <cellStyle name="Output 6 2 4 3 2" xfId="5611" xr:uid="{00000000-0005-0000-0000-0000EB150000}"/>
    <cellStyle name="Output 6 2 4 3 2 2" xfId="5612" xr:uid="{00000000-0005-0000-0000-0000EC150000}"/>
    <cellStyle name="Output 6 2 4 3 3" xfId="5613" xr:uid="{00000000-0005-0000-0000-0000ED150000}"/>
    <cellStyle name="Output 6 2 4 3 4" xfId="5614" xr:uid="{00000000-0005-0000-0000-0000EE150000}"/>
    <cellStyle name="Output 6 2 4 4" xfId="5615" xr:uid="{00000000-0005-0000-0000-0000EF150000}"/>
    <cellStyle name="Output 6 2 4 4 2" xfId="5616" xr:uid="{00000000-0005-0000-0000-0000F0150000}"/>
    <cellStyle name="Output 6 2 4 4 2 2" xfId="5617" xr:uid="{00000000-0005-0000-0000-0000F1150000}"/>
    <cellStyle name="Output 6 2 4 4 3" xfId="5618" xr:uid="{00000000-0005-0000-0000-0000F2150000}"/>
    <cellStyle name="Output 6 2 4 5" xfId="5619" xr:uid="{00000000-0005-0000-0000-0000F3150000}"/>
    <cellStyle name="Output 6 2 4 5 2" xfId="5620" xr:uid="{00000000-0005-0000-0000-0000F4150000}"/>
    <cellStyle name="Output 6 2 4 6" xfId="5621" xr:uid="{00000000-0005-0000-0000-0000F5150000}"/>
    <cellStyle name="Output 6 2 5" xfId="5622" xr:uid="{00000000-0005-0000-0000-0000F6150000}"/>
    <cellStyle name="Output 6 2 5 2" xfId="5623" xr:uid="{00000000-0005-0000-0000-0000F7150000}"/>
    <cellStyle name="Output 6 2 5 2 2" xfId="5624" xr:uid="{00000000-0005-0000-0000-0000F8150000}"/>
    <cellStyle name="Output 6 2 5 2 2 2" xfId="5625" xr:uid="{00000000-0005-0000-0000-0000F9150000}"/>
    <cellStyle name="Output 6 2 5 2 3" xfId="5626" xr:uid="{00000000-0005-0000-0000-0000FA150000}"/>
    <cellStyle name="Output 6 2 5 3" xfId="5627" xr:uid="{00000000-0005-0000-0000-0000FB150000}"/>
    <cellStyle name="Output 6 2 5 3 2" xfId="5628" xr:uid="{00000000-0005-0000-0000-0000FC150000}"/>
    <cellStyle name="Output 6 2 5 4" xfId="5629" xr:uid="{00000000-0005-0000-0000-0000FD150000}"/>
    <cellStyle name="Output 6 2 6" xfId="5630" xr:uid="{00000000-0005-0000-0000-0000FE150000}"/>
    <cellStyle name="Output 6 2 6 2" xfId="5631" xr:uid="{00000000-0005-0000-0000-0000FF150000}"/>
    <cellStyle name="Output 6 2 6 2 2" xfId="5632" xr:uid="{00000000-0005-0000-0000-000000160000}"/>
    <cellStyle name="Output 6 2 6 3" xfId="5633" xr:uid="{00000000-0005-0000-0000-000001160000}"/>
    <cellStyle name="Output 6 2 6 4" xfId="5634" xr:uid="{00000000-0005-0000-0000-000002160000}"/>
    <cellStyle name="Output 6 2 7" xfId="5635" xr:uid="{00000000-0005-0000-0000-000003160000}"/>
    <cellStyle name="Output 6 2 7 2" xfId="5636" xr:uid="{00000000-0005-0000-0000-000004160000}"/>
    <cellStyle name="Output 6 2 7 2 2" xfId="5637" xr:uid="{00000000-0005-0000-0000-000005160000}"/>
    <cellStyle name="Output 6 2 7 3" xfId="5638" xr:uid="{00000000-0005-0000-0000-000006160000}"/>
    <cellStyle name="Output 6 2 8" xfId="5639" xr:uid="{00000000-0005-0000-0000-000007160000}"/>
    <cellStyle name="Output 6 2 8 2" xfId="5640" xr:uid="{00000000-0005-0000-0000-000008160000}"/>
    <cellStyle name="Output 6 2 9" xfId="5641" xr:uid="{00000000-0005-0000-0000-000009160000}"/>
    <cellStyle name="Output 6 3" xfId="5642" xr:uid="{00000000-0005-0000-0000-00000A160000}"/>
    <cellStyle name="Output 6 3 2" xfId="5643" xr:uid="{00000000-0005-0000-0000-00000B160000}"/>
    <cellStyle name="Output 6 3 2 2" xfId="5644" xr:uid="{00000000-0005-0000-0000-00000C160000}"/>
    <cellStyle name="Output 6 3 2 2 2" xfId="5645" xr:uid="{00000000-0005-0000-0000-00000D160000}"/>
    <cellStyle name="Output 6 3 2 2 2 2" xfId="5646" xr:uid="{00000000-0005-0000-0000-00000E160000}"/>
    <cellStyle name="Output 6 3 2 2 3" xfId="5647" xr:uid="{00000000-0005-0000-0000-00000F160000}"/>
    <cellStyle name="Output 6 3 2 3" xfId="5648" xr:uid="{00000000-0005-0000-0000-000010160000}"/>
    <cellStyle name="Output 6 3 2 3 2" xfId="5649" xr:uid="{00000000-0005-0000-0000-000011160000}"/>
    <cellStyle name="Output 6 3 2 4" xfId="5650" xr:uid="{00000000-0005-0000-0000-000012160000}"/>
    <cellStyle name="Output 6 3 3" xfId="5651" xr:uid="{00000000-0005-0000-0000-000013160000}"/>
    <cellStyle name="Output 6 3 3 2" xfId="5652" xr:uid="{00000000-0005-0000-0000-000014160000}"/>
    <cellStyle name="Output 6 3 3 2 2" xfId="5653" xr:uid="{00000000-0005-0000-0000-000015160000}"/>
    <cellStyle name="Output 6 3 3 3" xfId="5654" xr:uid="{00000000-0005-0000-0000-000016160000}"/>
    <cellStyle name="Output 6 3 3 4" xfId="5655" xr:uid="{00000000-0005-0000-0000-000017160000}"/>
    <cellStyle name="Output 6 3 4" xfId="5656" xr:uid="{00000000-0005-0000-0000-000018160000}"/>
    <cellStyle name="Output 6 3 4 2" xfId="5657" xr:uid="{00000000-0005-0000-0000-000019160000}"/>
    <cellStyle name="Output 6 3 4 2 2" xfId="5658" xr:uid="{00000000-0005-0000-0000-00001A160000}"/>
    <cellStyle name="Output 6 3 4 3" xfId="5659" xr:uid="{00000000-0005-0000-0000-00001B160000}"/>
    <cellStyle name="Output 6 3 5" xfId="5660" xr:uid="{00000000-0005-0000-0000-00001C160000}"/>
    <cellStyle name="Output 6 3 5 2" xfId="5661" xr:uid="{00000000-0005-0000-0000-00001D160000}"/>
    <cellStyle name="Output 6 3 6" xfId="5662" xr:uid="{00000000-0005-0000-0000-00001E160000}"/>
    <cellStyle name="Output 6 4" xfId="5663" xr:uid="{00000000-0005-0000-0000-00001F160000}"/>
    <cellStyle name="Output 6 4 2" xfId="5664" xr:uid="{00000000-0005-0000-0000-000020160000}"/>
    <cellStyle name="Output 7" xfId="5665" xr:uid="{00000000-0005-0000-0000-000021160000}"/>
    <cellStyle name="Output 7 2" xfId="5666" xr:uid="{00000000-0005-0000-0000-000022160000}"/>
    <cellStyle name="Output 7 2 2" xfId="5667" xr:uid="{00000000-0005-0000-0000-000023160000}"/>
    <cellStyle name="Output 7 2 2 2" xfId="5668" xr:uid="{00000000-0005-0000-0000-000024160000}"/>
    <cellStyle name="Output 7 2 2 2 2" xfId="5669" xr:uid="{00000000-0005-0000-0000-000025160000}"/>
    <cellStyle name="Output 7 2 2 2 2 2" xfId="5670" xr:uid="{00000000-0005-0000-0000-000026160000}"/>
    <cellStyle name="Output 7 2 2 2 3" xfId="5671" xr:uid="{00000000-0005-0000-0000-000027160000}"/>
    <cellStyle name="Output 7 2 2 3" xfId="5672" xr:uid="{00000000-0005-0000-0000-000028160000}"/>
    <cellStyle name="Output 7 2 2 3 2" xfId="5673" xr:uid="{00000000-0005-0000-0000-000029160000}"/>
    <cellStyle name="Output 7 2 2 4" xfId="5674" xr:uid="{00000000-0005-0000-0000-00002A160000}"/>
    <cellStyle name="Output 7 2 3" xfId="5675" xr:uid="{00000000-0005-0000-0000-00002B160000}"/>
    <cellStyle name="Output 7 2 3 2" xfId="5676" xr:uid="{00000000-0005-0000-0000-00002C160000}"/>
    <cellStyle name="Output 7 2 3 2 2" xfId="5677" xr:uid="{00000000-0005-0000-0000-00002D160000}"/>
    <cellStyle name="Output 7 2 3 3" xfId="5678" xr:uid="{00000000-0005-0000-0000-00002E160000}"/>
    <cellStyle name="Output 7 2 3 4" xfId="5679" xr:uid="{00000000-0005-0000-0000-00002F160000}"/>
    <cellStyle name="Output 7 2 4" xfId="5680" xr:uid="{00000000-0005-0000-0000-000030160000}"/>
    <cellStyle name="Output 7 2 4 2" xfId="5681" xr:uid="{00000000-0005-0000-0000-000031160000}"/>
    <cellStyle name="Output 7 2 4 2 2" xfId="5682" xr:uid="{00000000-0005-0000-0000-000032160000}"/>
    <cellStyle name="Output 7 2 4 3" xfId="5683" xr:uid="{00000000-0005-0000-0000-000033160000}"/>
    <cellStyle name="Output 7 2 5" xfId="5684" xr:uid="{00000000-0005-0000-0000-000034160000}"/>
    <cellStyle name="Output 7 2 5 2" xfId="5685" xr:uid="{00000000-0005-0000-0000-000035160000}"/>
    <cellStyle name="Output 7 2 6" xfId="5686" xr:uid="{00000000-0005-0000-0000-000036160000}"/>
    <cellStyle name="Output 7 3" xfId="5687" xr:uid="{00000000-0005-0000-0000-000037160000}"/>
    <cellStyle name="Output 7 3 2" xfId="5688" xr:uid="{00000000-0005-0000-0000-000038160000}"/>
    <cellStyle name="Output 7 3 2 2" xfId="5689" xr:uid="{00000000-0005-0000-0000-000039160000}"/>
    <cellStyle name="Output 7 3 3" xfId="5690" xr:uid="{00000000-0005-0000-0000-00003A160000}"/>
    <cellStyle name="Output 7 4" xfId="5691" xr:uid="{00000000-0005-0000-0000-00003B160000}"/>
    <cellStyle name="Output 7 4 2" xfId="5692" xr:uid="{00000000-0005-0000-0000-00003C160000}"/>
    <cellStyle name="Output 7 4 2 2" xfId="5693" xr:uid="{00000000-0005-0000-0000-00003D160000}"/>
    <cellStyle name="Output 7 4 2 2 2" xfId="5694" xr:uid="{00000000-0005-0000-0000-00003E160000}"/>
    <cellStyle name="Output 7 4 2 2 2 2" xfId="5695" xr:uid="{00000000-0005-0000-0000-00003F160000}"/>
    <cellStyle name="Output 7 4 2 2 3" xfId="5696" xr:uid="{00000000-0005-0000-0000-000040160000}"/>
    <cellStyle name="Output 7 4 2 3" xfId="5697" xr:uid="{00000000-0005-0000-0000-000041160000}"/>
    <cellStyle name="Output 7 4 2 3 2" xfId="5698" xr:uid="{00000000-0005-0000-0000-000042160000}"/>
    <cellStyle name="Output 7 4 2 4" xfId="5699" xr:uid="{00000000-0005-0000-0000-000043160000}"/>
    <cellStyle name="Output 7 4 3" xfId="5700" xr:uid="{00000000-0005-0000-0000-000044160000}"/>
    <cellStyle name="Output 7 4 3 2" xfId="5701" xr:uid="{00000000-0005-0000-0000-000045160000}"/>
    <cellStyle name="Output 7 4 3 2 2" xfId="5702" xr:uid="{00000000-0005-0000-0000-000046160000}"/>
    <cellStyle name="Output 7 4 3 3" xfId="5703" xr:uid="{00000000-0005-0000-0000-000047160000}"/>
    <cellStyle name="Output 7 4 3 4" xfId="5704" xr:uid="{00000000-0005-0000-0000-000048160000}"/>
    <cellStyle name="Output 7 4 4" xfId="5705" xr:uid="{00000000-0005-0000-0000-000049160000}"/>
    <cellStyle name="Output 7 4 4 2" xfId="5706" xr:uid="{00000000-0005-0000-0000-00004A160000}"/>
    <cellStyle name="Output 7 4 4 2 2" xfId="5707" xr:uid="{00000000-0005-0000-0000-00004B160000}"/>
    <cellStyle name="Output 7 4 4 3" xfId="5708" xr:uid="{00000000-0005-0000-0000-00004C160000}"/>
    <cellStyle name="Output 7 4 5" xfId="5709" xr:uid="{00000000-0005-0000-0000-00004D160000}"/>
    <cellStyle name="Output 7 4 5 2" xfId="5710" xr:uid="{00000000-0005-0000-0000-00004E160000}"/>
    <cellStyle name="Output 7 4 6" xfId="5711" xr:uid="{00000000-0005-0000-0000-00004F160000}"/>
    <cellStyle name="Output 7 5" xfId="5712" xr:uid="{00000000-0005-0000-0000-000050160000}"/>
    <cellStyle name="Output 7 5 2" xfId="5713" xr:uid="{00000000-0005-0000-0000-000051160000}"/>
    <cellStyle name="Output 7 5 2 2" xfId="5714" xr:uid="{00000000-0005-0000-0000-000052160000}"/>
    <cellStyle name="Output 7 5 2 2 2" xfId="5715" xr:uid="{00000000-0005-0000-0000-000053160000}"/>
    <cellStyle name="Output 7 5 2 3" xfId="5716" xr:uid="{00000000-0005-0000-0000-000054160000}"/>
    <cellStyle name="Output 7 5 3" xfId="5717" xr:uid="{00000000-0005-0000-0000-000055160000}"/>
    <cellStyle name="Output 7 5 3 2" xfId="5718" xr:uid="{00000000-0005-0000-0000-000056160000}"/>
    <cellStyle name="Output 7 5 4" xfId="5719" xr:uid="{00000000-0005-0000-0000-000057160000}"/>
    <cellStyle name="Output 7 6" xfId="5720" xr:uid="{00000000-0005-0000-0000-000058160000}"/>
    <cellStyle name="Output 7 6 2" xfId="5721" xr:uid="{00000000-0005-0000-0000-000059160000}"/>
    <cellStyle name="Output 7 6 2 2" xfId="5722" xr:uid="{00000000-0005-0000-0000-00005A160000}"/>
    <cellStyle name="Output 7 6 3" xfId="5723" xr:uid="{00000000-0005-0000-0000-00005B160000}"/>
    <cellStyle name="Output 7 6 4" xfId="5724" xr:uid="{00000000-0005-0000-0000-00005C160000}"/>
    <cellStyle name="Output 7 7" xfId="5725" xr:uid="{00000000-0005-0000-0000-00005D160000}"/>
    <cellStyle name="Output 7 7 2" xfId="5726" xr:uid="{00000000-0005-0000-0000-00005E160000}"/>
    <cellStyle name="Output 7 7 2 2" xfId="5727" xr:uid="{00000000-0005-0000-0000-00005F160000}"/>
    <cellStyle name="Output 7 7 3" xfId="5728" xr:uid="{00000000-0005-0000-0000-000060160000}"/>
    <cellStyle name="Output 7 8" xfId="5729" xr:uid="{00000000-0005-0000-0000-000061160000}"/>
    <cellStyle name="Output 7 8 2" xfId="5730" xr:uid="{00000000-0005-0000-0000-000062160000}"/>
    <cellStyle name="Output 7 9" xfId="5731" xr:uid="{00000000-0005-0000-0000-000063160000}"/>
    <cellStyle name="Page 1" xfId="5732" xr:uid="{00000000-0005-0000-0000-000064160000}"/>
    <cellStyle name="Page 2" xfId="5733" xr:uid="{00000000-0005-0000-0000-000065160000}"/>
    <cellStyle name="Page 3" xfId="5734" xr:uid="{00000000-0005-0000-0000-000066160000}"/>
    <cellStyle name="Page 4" xfId="5735" xr:uid="{00000000-0005-0000-0000-000067160000}"/>
    <cellStyle name="Page 5" xfId="5736" xr:uid="{00000000-0005-0000-0000-000068160000}"/>
    <cellStyle name="Page 6" xfId="5737" xr:uid="{00000000-0005-0000-0000-000069160000}"/>
    <cellStyle name="Page 7" xfId="5738" xr:uid="{00000000-0005-0000-0000-00006A160000}"/>
    <cellStyle name="Page1" xfId="5739" xr:uid="{00000000-0005-0000-0000-00006B160000}"/>
    <cellStyle name="Page2" xfId="5740" xr:uid="{00000000-0005-0000-0000-00006C160000}"/>
    <cellStyle name="Page3" xfId="5741" xr:uid="{00000000-0005-0000-0000-00006D160000}"/>
    <cellStyle name="Page4" xfId="5742" xr:uid="{00000000-0005-0000-0000-00006E160000}"/>
    <cellStyle name="Page5" xfId="5743" xr:uid="{00000000-0005-0000-0000-00006F160000}"/>
    <cellStyle name="Page6" xfId="5744" xr:uid="{00000000-0005-0000-0000-000070160000}"/>
    <cellStyle name="Percent 2" xfId="5745" xr:uid="{00000000-0005-0000-0000-000072160000}"/>
    <cellStyle name="Percent 3" xfId="5746" xr:uid="{00000000-0005-0000-0000-000073160000}"/>
    <cellStyle name="Percent 3 2" xfId="5747" xr:uid="{00000000-0005-0000-0000-000074160000}"/>
    <cellStyle name="Percent 4" xfId="5748" xr:uid="{00000000-0005-0000-0000-000075160000}"/>
    <cellStyle name="Percent 4 2" xfId="5749" xr:uid="{00000000-0005-0000-0000-000076160000}"/>
    <cellStyle name="Percent 5" xfId="5750" xr:uid="{00000000-0005-0000-0000-000077160000}"/>
    <cellStyle name="Percent 6" xfId="5751" xr:uid="{00000000-0005-0000-0000-000078160000}"/>
    <cellStyle name="Percentage" xfId="5752" xr:uid="{00000000-0005-0000-0000-000079160000}"/>
    <cellStyle name="RangeName" xfId="5753" xr:uid="{00000000-0005-0000-0000-00007A160000}"/>
    <cellStyle name="RateConven" xfId="5754" xr:uid="{00000000-0005-0000-0000-00007B160000}"/>
    <cellStyle name="red" xfId="5755" xr:uid="{00000000-0005-0000-0000-00007C160000}"/>
    <cellStyle name="ResultDateCenter" xfId="5756" xr:uid="{00000000-0005-0000-0000-00007D160000}"/>
    <cellStyle name="Style 1" xfId="5757" xr:uid="{00000000-0005-0000-0000-00007E160000}"/>
    <cellStyle name="Style 1 2" xfId="5758" xr:uid="{00000000-0005-0000-0000-00007F160000}"/>
    <cellStyle name="Style 1 3" xfId="5759" xr:uid="{00000000-0005-0000-0000-000080160000}"/>
    <cellStyle name="Style 1 3 2" xfId="5760" xr:uid="{00000000-0005-0000-0000-000081160000}"/>
    <cellStyle name="Style 1 3 2 2" xfId="5761" xr:uid="{00000000-0005-0000-0000-000082160000}"/>
    <cellStyle name="Style 1 3 2 2 2" xfId="5762" xr:uid="{00000000-0005-0000-0000-000083160000}"/>
    <cellStyle name="Style 1 3 2 2 2 2" xfId="5763" xr:uid="{00000000-0005-0000-0000-000084160000}"/>
    <cellStyle name="Style 1 3 2 2 2 2 2" xfId="5764" xr:uid="{00000000-0005-0000-0000-000085160000}"/>
    <cellStyle name="Style 1 3 2 2 2 2 2 2" xfId="5765" xr:uid="{00000000-0005-0000-0000-000086160000}"/>
    <cellStyle name="Style 1 3 2 2 2 2 2 2 2" xfId="5766" xr:uid="{00000000-0005-0000-0000-000087160000}"/>
    <cellStyle name="Style 1 3 2 2 2 2 2 3" xfId="5767" xr:uid="{00000000-0005-0000-0000-000088160000}"/>
    <cellStyle name="Style 1 3 2 2 2 2 3" xfId="5768" xr:uid="{00000000-0005-0000-0000-000089160000}"/>
    <cellStyle name="Style 1 3 2 2 2 2 3 2" xfId="5769" xr:uid="{00000000-0005-0000-0000-00008A160000}"/>
    <cellStyle name="Style 1 3 2 2 2 2 4" xfId="5770" xr:uid="{00000000-0005-0000-0000-00008B160000}"/>
    <cellStyle name="Style 1 3 2 2 2 3" xfId="5771" xr:uid="{00000000-0005-0000-0000-00008C160000}"/>
    <cellStyle name="Style 1 3 2 2 2 3 2" xfId="5772" xr:uid="{00000000-0005-0000-0000-00008D160000}"/>
    <cellStyle name="Style 1 3 2 2 2 3 2 2" xfId="5773" xr:uid="{00000000-0005-0000-0000-00008E160000}"/>
    <cellStyle name="Style 1 3 2 2 2 3 3" xfId="5774" xr:uid="{00000000-0005-0000-0000-00008F160000}"/>
    <cellStyle name="Style 1 3 2 2 2 3 4" xfId="5775" xr:uid="{00000000-0005-0000-0000-000090160000}"/>
    <cellStyle name="Style 1 3 2 2 2 4" xfId="5776" xr:uid="{00000000-0005-0000-0000-000091160000}"/>
    <cellStyle name="Style 1 3 2 2 2 4 2" xfId="5777" xr:uid="{00000000-0005-0000-0000-000092160000}"/>
    <cellStyle name="Style 1 3 2 2 2 4 2 2" xfId="5778" xr:uid="{00000000-0005-0000-0000-000093160000}"/>
    <cellStyle name="Style 1 3 2 2 2 4 3" xfId="5779" xr:uid="{00000000-0005-0000-0000-000094160000}"/>
    <cellStyle name="Style 1 3 2 2 2 5" xfId="5780" xr:uid="{00000000-0005-0000-0000-000095160000}"/>
    <cellStyle name="Style 1 3 2 2 3" xfId="5781" xr:uid="{00000000-0005-0000-0000-000096160000}"/>
    <cellStyle name="Style 1 3 2 2 3 2" xfId="5782" xr:uid="{00000000-0005-0000-0000-000097160000}"/>
    <cellStyle name="Style 1 3 2 2 3 2 2" xfId="5783" xr:uid="{00000000-0005-0000-0000-000098160000}"/>
    <cellStyle name="Style 1 3 2 2 3 2 2 2" xfId="5784" xr:uid="{00000000-0005-0000-0000-000099160000}"/>
    <cellStyle name="Style 1 3 2 2 3 2 2 2 2" xfId="5785" xr:uid="{00000000-0005-0000-0000-00009A160000}"/>
    <cellStyle name="Style 1 3 2 2 3 2 2 3" xfId="5786" xr:uid="{00000000-0005-0000-0000-00009B160000}"/>
    <cellStyle name="Style 1 3 2 2 3 2 3" xfId="5787" xr:uid="{00000000-0005-0000-0000-00009C160000}"/>
    <cellStyle name="Style 1 3 2 2 3 2 3 2" xfId="5788" xr:uid="{00000000-0005-0000-0000-00009D160000}"/>
    <cellStyle name="Style 1 3 2 2 3 2 4" xfId="5789" xr:uid="{00000000-0005-0000-0000-00009E160000}"/>
    <cellStyle name="Style 1 3 2 2 3 3" xfId="5790" xr:uid="{00000000-0005-0000-0000-00009F160000}"/>
    <cellStyle name="Style 1 3 2 2 3 3 2" xfId="5791" xr:uid="{00000000-0005-0000-0000-0000A0160000}"/>
    <cellStyle name="Style 1 3 2 2 3 3 2 2" xfId="5792" xr:uid="{00000000-0005-0000-0000-0000A1160000}"/>
    <cellStyle name="Style 1 3 2 2 3 3 3" xfId="5793" xr:uid="{00000000-0005-0000-0000-0000A2160000}"/>
    <cellStyle name="Style 1 3 2 2 3 3 4" xfId="5794" xr:uid="{00000000-0005-0000-0000-0000A3160000}"/>
    <cellStyle name="Style 1 3 2 2 3 4" xfId="5795" xr:uid="{00000000-0005-0000-0000-0000A4160000}"/>
    <cellStyle name="Style 1 3 2 2 3 4 2" xfId="5796" xr:uid="{00000000-0005-0000-0000-0000A5160000}"/>
    <cellStyle name="Style 1 3 2 2 3 4 2 2" xfId="5797" xr:uid="{00000000-0005-0000-0000-0000A6160000}"/>
    <cellStyle name="Style 1 3 2 2 3 4 3" xfId="5798" xr:uid="{00000000-0005-0000-0000-0000A7160000}"/>
    <cellStyle name="Style 1 3 2 2 3 5" xfId="5799" xr:uid="{00000000-0005-0000-0000-0000A8160000}"/>
    <cellStyle name="Style 1 3 2 2 3 5 2" xfId="5800" xr:uid="{00000000-0005-0000-0000-0000A9160000}"/>
    <cellStyle name="Style 1 3 2 2 3 6" xfId="5801" xr:uid="{00000000-0005-0000-0000-0000AA160000}"/>
    <cellStyle name="Style 1 3 2 2 4" xfId="5802" xr:uid="{00000000-0005-0000-0000-0000AB160000}"/>
    <cellStyle name="Style 1 3 2 2 4 2" xfId="5803" xr:uid="{00000000-0005-0000-0000-0000AC160000}"/>
    <cellStyle name="Style 1 3 2 2 4 2 2" xfId="5804" xr:uid="{00000000-0005-0000-0000-0000AD160000}"/>
    <cellStyle name="Style 1 3 2 2 4 2 2 2" xfId="5805" xr:uid="{00000000-0005-0000-0000-0000AE160000}"/>
    <cellStyle name="Style 1 3 2 2 4 2 2 2 2" xfId="5806" xr:uid="{00000000-0005-0000-0000-0000AF160000}"/>
    <cellStyle name="Style 1 3 2 2 4 2 2 3" xfId="5807" xr:uid="{00000000-0005-0000-0000-0000B0160000}"/>
    <cellStyle name="Style 1 3 2 2 4 2 3" xfId="5808" xr:uid="{00000000-0005-0000-0000-0000B1160000}"/>
    <cellStyle name="Style 1 3 2 2 4 2 3 2" xfId="5809" xr:uid="{00000000-0005-0000-0000-0000B2160000}"/>
    <cellStyle name="Style 1 3 2 2 4 2 4" xfId="5810" xr:uid="{00000000-0005-0000-0000-0000B3160000}"/>
    <cellStyle name="Style 1 3 2 2 4 3" xfId="5811" xr:uid="{00000000-0005-0000-0000-0000B4160000}"/>
    <cellStyle name="Style 1 3 2 2 4 3 2" xfId="5812" xr:uid="{00000000-0005-0000-0000-0000B5160000}"/>
    <cellStyle name="Style 1 3 2 2 4 3 2 2" xfId="5813" xr:uid="{00000000-0005-0000-0000-0000B6160000}"/>
    <cellStyle name="Style 1 3 2 2 4 3 3" xfId="5814" xr:uid="{00000000-0005-0000-0000-0000B7160000}"/>
    <cellStyle name="Style 1 3 2 2 4 3 4" xfId="5815" xr:uid="{00000000-0005-0000-0000-0000B8160000}"/>
    <cellStyle name="Style 1 3 2 2 4 4" xfId="5816" xr:uid="{00000000-0005-0000-0000-0000B9160000}"/>
    <cellStyle name="Style 1 3 2 2 4 4 2" xfId="5817" xr:uid="{00000000-0005-0000-0000-0000BA160000}"/>
    <cellStyle name="Style 1 3 2 2 4 4 2 2" xfId="5818" xr:uid="{00000000-0005-0000-0000-0000BB160000}"/>
    <cellStyle name="Style 1 3 2 2 4 4 3" xfId="5819" xr:uid="{00000000-0005-0000-0000-0000BC160000}"/>
    <cellStyle name="Style 1 3 2 2 4 5" xfId="5820" xr:uid="{00000000-0005-0000-0000-0000BD160000}"/>
    <cellStyle name="Style 1 3 2 2 4 5 2" xfId="5821" xr:uid="{00000000-0005-0000-0000-0000BE160000}"/>
    <cellStyle name="Style 1 3 2 2 4 6" xfId="5822" xr:uid="{00000000-0005-0000-0000-0000BF160000}"/>
    <cellStyle name="Style 1 3 2 2 5" xfId="5823" xr:uid="{00000000-0005-0000-0000-0000C0160000}"/>
    <cellStyle name="Style 1 3 2 2 5 2" xfId="5824" xr:uid="{00000000-0005-0000-0000-0000C1160000}"/>
    <cellStyle name="Style 1 3 2 3" xfId="5825" xr:uid="{00000000-0005-0000-0000-0000C2160000}"/>
    <cellStyle name="Style 1 3 2 3 2" xfId="5826" xr:uid="{00000000-0005-0000-0000-0000C3160000}"/>
    <cellStyle name="Style 1 3 2 3 2 2" xfId="5827" xr:uid="{00000000-0005-0000-0000-0000C4160000}"/>
    <cellStyle name="Style 1 3 2 3 2 2 2" xfId="5828" xr:uid="{00000000-0005-0000-0000-0000C5160000}"/>
    <cellStyle name="Style 1 3 2 3 2 2 2 2" xfId="5829" xr:uid="{00000000-0005-0000-0000-0000C6160000}"/>
    <cellStyle name="Style 1 3 2 3 2 2 3" xfId="5830" xr:uid="{00000000-0005-0000-0000-0000C7160000}"/>
    <cellStyle name="Style 1 3 2 3 2 3" xfId="5831" xr:uid="{00000000-0005-0000-0000-0000C8160000}"/>
    <cellStyle name="Style 1 3 2 3 2 3 2" xfId="5832" xr:uid="{00000000-0005-0000-0000-0000C9160000}"/>
    <cellStyle name="Style 1 3 2 3 2 4" xfId="5833" xr:uid="{00000000-0005-0000-0000-0000CA160000}"/>
    <cellStyle name="Style 1 3 2 3 3" xfId="5834" xr:uid="{00000000-0005-0000-0000-0000CB160000}"/>
    <cellStyle name="Style 1 3 2 3 3 2" xfId="5835" xr:uid="{00000000-0005-0000-0000-0000CC160000}"/>
    <cellStyle name="Style 1 3 2 3 3 2 2" xfId="5836" xr:uid="{00000000-0005-0000-0000-0000CD160000}"/>
    <cellStyle name="Style 1 3 2 3 3 3" xfId="5837" xr:uid="{00000000-0005-0000-0000-0000CE160000}"/>
    <cellStyle name="Style 1 3 2 3 3 4" xfId="5838" xr:uid="{00000000-0005-0000-0000-0000CF160000}"/>
    <cellStyle name="Style 1 3 2 3 4" xfId="5839" xr:uid="{00000000-0005-0000-0000-0000D0160000}"/>
    <cellStyle name="Style 1 3 2 3 4 2" xfId="5840" xr:uid="{00000000-0005-0000-0000-0000D1160000}"/>
    <cellStyle name="Style 1 3 2 3 4 2 2" xfId="5841" xr:uid="{00000000-0005-0000-0000-0000D2160000}"/>
    <cellStyle name="Style 1 3 2 3 4 3" xfId="5842" xr:uid="{00000000-0005-0000-0000-0000D3160000}"/>
    <cellStyle name="Style 1 3 2 3 5" xfId="5843" xr:uid="{00000000-0005-0000-0000-0000D4160000}"/>
    <cellStyle name="Style 1 3 2 4" xfId="5844" xr:uid="{00000000-0005-0000-0000-0000D5160000}"/>
    <cellStyle name="Style 1 3 2 4 2" xfId="5845" xr:uid="{00000000-0005-0000-0000-0000D6160000}"/>
    <cellStyle name="Style 1 3 2 4 2 2" xfId="5846" xr:uid="{00000000-0005-0000-0000-0000D7160000}"/>
    <cellStyle name="Style 1 3 2 4 2 2 2" xfId="5847" xr:uid="{00000000-0005-0000-0000-0000D8160000}"/>
    <cellStyle name="Style 1 3 2 4 2 2 2 2" xfId="5848" xr:uid="{00000000-0005-0000-0000-0000D9160000}"/>
    <cellStyle name="Style 1 3 2 4 2 2 3" xfId="5849" xr:uid="{00000000-0005-0000-0000-0000DA160000}"/>
    <cellStyle name="Style 1 3 2 4 2 3" xfId="5850" xr:uid="{00000000-0005-0000-0000-0000DB160000}"/>
    <cellStyle name="Style 1 3 2 4 2 3 2" xfId="5851" xr:uid="{00000000-0005-0000-0000-0000DC160000}"/>
    <cellStyle name="Style 1 3 2 4 2 4" xfId="5852" xr:uid="{00000000-0005-0000-0000-0000DD160000}"/>
    <cellStyle name="Style 1 3 2 4 3" xfId="5853" xr:uid="{00000000-0005-0000-0000-0000DE160000}"/>
    <cellStyle name="Style 1 3 2 4 3 2" xfId="5854" xr:uid="{00000000-0005-0000-0000-0000DF160000}"/>
    <cellStyle name="Style 1 3 2 4 3 2 2" xfId="5855" xr:uid="{00000000-0005-0000-0000-0000E0160000}"/>
    <cellStyle name="Style 1 3 2 4 3 3" xfId="5856" xr:uid="{00000000-0005-0000-0000-0000E1160000}"/>
    <cellStyle name="Style 1 3 2 4 3 4" xfId="5857" xr:uid="{00000000-0005-0000-0000-0000E2160000}"/>
    <cellStyle name="Style 1 3 2 4 4" xfId="5858" xr:uid="{00000000-0005-0000-0000-0000E3160000}"/>
    <cellStyle name="Style 1 3 2 4 4 2" xfId="5859" xr:uid="{00000000-0005-0000-0000-0000E4160000}"/>
    <cellStyle name="Style 1 3 2 4 4 2 2" xfId="5860" xr:uid="{00000000-0005-0000-0000-0000E5160000}"/>
    <cellStyle name="Style 1 3 2 4 4 3" xfId="5861" xr:uid="{00000000-0005-0000-0000-0000E6160000}"/>
    <cellStyle name="Style 1 3 2 4 5" xfId="5862" xr:uid="{00000000-0005-0000-0000-0000E7160000}"/>
    <cellStyle name="Style 1 3 2 4 5 2" xfId="5863" xr:uid="{00000000-0005-0000-0000-0000E8160000}"/>
    <cellStyle name="Style 1 3 2 4 6" xfId="5864" xr:uid="{00000000-0005-0000-0000-0000E9160000}"/>
    <cellStyle name="Style 1 3 2 5" xfId="5865" xr:uid="{00000000-0005-0000-0000-0000EA160000}"/>
    <cellStyle name="Style 1 3 2 5 2" xfId="5866" xr:uid="{00000000-0005-0000-0000-0000EB160000}"/>
    <cellStyle name="Style 1 3 2 5 2 2" xfId="5867" xr:uid="{00000000-0005-0000-0000-0000EC160000}"/>
    <cellStyle name="Style 1 3 2 5 2 2 2" xfId="5868" xr:uid="{00000000-0005-0000-0000-0000ED160000}"/>
    <cellStyle name="Style 1 3 2 5 2 2 2 2" xfId="5869" xr:uid="{00000000-0005-0000-0000-0000EE160000}"/>
    <cellStyle name="Style 1 3 2 5 2 2 3" xfId="5870" xr:uid="{00000000-0005-0000-0000-0000EF160000}"/>
    <cellStyle name="Style 1 3 2 5 2 3" xfId="5871" xr:uid="{00000000-0005-0000-0000-0000F0160000}"/>
    <cellStyle name="Style 1 3 2 5 2 3 2" xfId="5872" xr:uid="{00000000-0005-0000-0000-0000F1160000}"/>
    <cellStyle name="Style 1 3 2 5 2 4" xfId="5873" xr:uid="{00000000-0005-0000-0000-0000F2160000}"/>
    <cellStyle name="Style 1 3 2 5 3" xfId="5874" xr:uid="{00000000-0005-0000-0000-0000F3160000}"/>
    <cellStyle name="Style 1 3 2 5 3 2" xfId="5875" xr:uid="{00000000-0005-0000-0000-0000F4160000}"/>
    <cellStyle name="Style 1 3 2 5 3 2 2" xfId="5876" xr:uid="{00000000-0005-0000-0000-0000F5160000}"/>
    <cellStyle name="Style 1 3 2 5 3 3" xfId="5877" xr:uid="{00000000-0005-0000-0000-0000F6160000}"/>
    <cellStyle name="Style 1 3 2 5 3 4" xfId="5878" xr:uid="{00000000-0005-0000-0000-0000F7160000}"/>
    <cellStyle name="Style 1 3 2 5 4" xfId="5879" xr:uid="{00000000-0005-0000-0000-0000F8160000}"/>
    <cellStyle name="Style 1 3 2 5 4 2" xfId="5880" xr:uid="{00000000-0005-0000-0000-0000F9160000}"/>
    <cellStyle name="Style 1 3 2 5 4 2 2" xfId="5881" xr:uid="{00000000-0005-0000-0000-0000FA160000}"/>
    <cellStyle name="Style 1 3 2 5 4 3" xfId="5882" xr:uid="{00000000-0005-0000-0000-0000FB160000}"/>
    <cellStyle name="Style 1 3 2 5 5" xfId="5883" xr:uid="{00000000-0005-0000-0000-0000FC160000}"/>
    <cellStyle name="Style 1 3 2 5 5 2" xfId="5884" xr:uid="{00000000-0005-0000-0000-0000FD160000}"/>
    <cellStyle name="Style 1 3 2 5 6" xfId="5885" xr:uid="{00000000-0005-0000-0000-0000FE160000}"/>
    <cellStyle name="Style 1 3 3" xfId="5886" xr:uid="{00000000-0005-0000-0000-0000FF160000}"/>
    <cellStyle name="Style 1 3 3 2" xfId="5887" xr:uid="{00000000-0005-0000-0000-000000170000}"/>
    <cellStyle name="Style 1 3 3 2 2" xfId="5888" xr:uid="{00000000-0005-0000-0000-000001170000}"/>
    <cellStyle name="Style 1 3 3 2 2 2" xfId="5889" xr:uid="{00000000-0005-0000-0000-000002170000}"/>
    <cellStyle name="Style 1 3 3 2 2 2 2" xfId="5890" xr:uid="{00000000-0005-0000-0000-000003170000}"/>
    <cellStyle name="Style 1 3 3 2 2 2 2 2" xfId="5891" xr:uid="{00000000-0005-0000-0000-000004170000}"/>
    <cellStyle name="Style 1 3 3 2 2 2 3" xfId="5892" xr:uid="{00000000-0005-0000-0000-000005170000}"/>
    <cellStyle name="Style 1 3 3 2 2 3" xfId="5893" xr:uid="{00000000-0005-0000-0000-000006170000}"/>
    <cellStyle name="Style 1 3 3 2 2 3 2" xfId="5894" xr:uid="{00000000-0005-0000-0000-000007170000}"/>
    <cellStyle name="Style 1 3 3 2 2 4" xfId="5895" xr:uid="{00000000-0005-0000-0000-000008170000}"/>
    <cellStyle name="Style 1 3 3 2 3" xfId="5896" xr:uid="{00000000-0005-0000-0000-000009170000}"/>
    <cellStyle name="Style 1 3 3 2 3 2" xfId="5897" xr:uid="{00000000-0005-0000-0000-00000A170000}"/>
    <cellStyle name="Style 1 3 3 2 3 2 2" xfId="5898" xr:uid="{00000000-0005-0000-0000-00000B170000}"/>
    <cellStyle name="Style 1 3 3 2 3 3" xfId="5899" xr:uid="{00000000-0005-0000-0000-00000C170000}"/>
    <cellStyle name="Style 1 3 3 2 3 4" xfId="5900" xr:uid="{00000000-0005-0000-0000-00000D170000}"/>
    <cellStyle name="Style 1 3 3 2 4" xfId="5901" xr:uid="{00000000-0005-0000-0000-00000E170000}"/>
    <cellStyle name="Style 1 3 3 2 4 2" xfId="5902" xr:uid="{00000000-0005-0000-0000-00000F170000}"/>
    <cellStyle name="Style 1 3 3 2 4 2 2" xfId="5903" xr:uid="{00000000-0005-0000-0000-000010170000}"/>
    <cellStyle name="Style 1 3 3 2 4 3" xfId="5904" xr:uid="{00000000-0005-0000-0000-000011170000}"/>
    <cellStyle name="Style 1 3 3 2 5" xfId="5905" xr:uid="{00000000-0005-0000-0000-000012170000}"/>
    <cellStyle name="Style 1 3 3 3" xfId="5906" xr:uid="{00000000-0005-0000-0000-000013170000}"/>
    <cellStyle name="Style 1 3 3 3 2" xfId="5907" xr:uid="{00000000-0005-0000-0000-000014170000}"/>
    <cellStyle name="Style 1 3 3 3 2 2" xfId="5908" xr:uid="{00000000-0005-0000-0000-000015170000}"/>
    <cellStyle name="Style 1 3 3 3 2 2 2" xfId="5909" xr:uid="{00000000-0005-0000-0000-000016170000}"/>
    <cellStyle name="Style 1 3 3 3 2 2 2 2" xfId="5910" xr:uid="{00000000-0005-0000-0000-000017170000}"/>
    <cellStyle name="Style 1 3 3 3 2 2 3" xfId="5911" xr:uid="{00000000-0005-0000-0000-000018170000}"/>
    <cellStyle name="Style 1 3 3 3 2 3" xfId="5912" xr:uid="{00000000-0005-0000-0000-000019170000}"/>
    <cellStyle name="Style 1 3 3 3 2 3 2" xfId="5913" xr:uid="{00000000-0005-0000-0000-00001A170000}"/>
    <cellStyle name="Style 1 3 3 3 2 4" xfId="5914" xr:uid="{00000000-0005-0000-0000-00001B170000}"/>
    <cellStyle name="Style 1 3 3 3 3" xfId="5915" xr:uid="{00000000-0005-0000-0000-00001C170000}"/>
    <cellStyle name="Style 1 3 3 3 3 2" xfId="5916" xr:uid="{00000000-0005-0000-0000-00001D170000}"/>
    <cellStyle name="Style 1 3 3 3 3 2 2" xfId="5917" xr:uid="{00000000-0005-0000-0000-00001E170000}"/>
    <cellStyle name="Style 1 3 3 3 3 3" xfId="5918" xr:uid="{00000000-0005-0000-0000-00001F170000}"/>
    <cellStyle name="Style 1 3 3 3 3 4" xfId="5919" xr:uid="{00000000-0005-0000-0000-000020170000}"/>
    <cellStyle name="Style 1 3 3 3 4" xfId="5920" xr:uid="{00000000-0005-0000-0000-000021170000}"/>
    <cellStyle name="Style 1 3 3 3 4 2" xfId="5921" xr:uid="{00000000-0005-0000-0000-000022170000}"/>
    <cellStyle name="Style 1 3 3 3 4 2 2" xfId="5922" xr:uid="{00000000-0005-0000-0000-000023170000}"/>
    <cellStyle name="Style 1 3 3 3 4 3" xfId="5923" xr:uid="{00000000-0005-0000-0000-000024170000}"/>
    <cellStyle name="Style 1 3 3 3 5" xfId="5924" xr:uid="{00000000-0005-0000-0000-000025170000}"/>
    <cellStyle name="Style 1 3 3 3 5 2" xfId="5925" xr:uid="{00000000-0005-0000-0000-000026170000}"/>
    <cellStyle name="Style 1 3 3 3 6" xfId="5926" xr:uid="{00000000-0005-0000-0000-000027170000}"/>
    <cellStyle name="Style 1 3 3 4" xfId="5927" xr:uid="{00000000-0005-0000-0000-000028170000}"/>
    <cellStyle name="Style 1 3 3 4 2" xfId="5928" xr:uid="{00000000-0005-0000-0000-000029170000}"/>
    <cellStyle name="Style 1 3 3 4 2 2" xfId="5929" xr:uid="{00000000-0005-0000-0000-00002A170000}"/>
    <cellStyle name="Style 1 3 3 4 2 2 2" xfId="5930" xr:uid="{00000000-0005-0000-0000-00002B170000}"/>
    <cellStyle name="Style 1 3 3 4 2 2 2 2" xfId="5931" xr:uid="{00000000-0005-0000-0000-00002C170000}"/>
    <cellStyle name="Style 1 3 3 4 2 2 3" xfId="5932" xr:uid="{00000000-0005-0000-0000-00002D170000}"/>
    <cellStyle name="Style 1 3 3 4 2 3" xfId="5933" xr:uid="{00000000-0005-0000-0000-00002E170000}"/>
    <cellStyle name="Style 1 3 3 4 2 3 2" xfId="5934" xr:uid="{00000000-0005-0000-0000-00002F170000}"/>
    <cellStyle name="Style 1 3 3 4 2 4" xfId="5935" xr:uid="{00000000-0005-0000-0000-000030170000}"/>
    <cellStyle name="Style 1 3 3 4 3" xfId="5936" xr:uid="{00000000-0005-0000-0000-000031170000}"/>
    <cellStyle name="Style 1 3 3 4 3 2" xfId="5937" xr:uid="{00000000-0005-0000-0000-000032170000}"/>
    <cellStyle name="Style 1 3 3 4 3 2 2" xfId="5938" xr:uid="{00000000-0005-0000-0000-000033170000}"/>
    <cellStyle name="Style 1 3 3 4 3 3" xfId="5939" xr:uid="{00000000-0005-0000-0000-000034170000}"/>
    <cellStyle name="Style 1 3 3 4 3 4" xfId="5940" xr:uid="{00000000-0005-0000-0000-000035170000}"/>
    <cellStyle name="Style 1 3 3 4 4" xfId="5941" xr:uid="{00000000-0005-0000-0000-000036170000}"/>
    <cellStyle name="Style 1 3 3 4 4 2" xfId="5942" xr:uid="{00000000-0005-0000-0000-000037170000}"/>
    <cellStyle name="Style 1 3 3 4 4 2 2" xfId="5943" xr:uid="{00000000-0005-0000-0000-000038170000}"/>
    <cellStyle name="Style 1 3 3 4 4 3" xfId="5944" xr:uid="{00000000-0005-0000-0000-000039170000}"/>
    <cellStyle name="Style 1 3 3 4 5" xfId="5945" xr:uid="{00000000-0005-0000-0000-00003A170000}"/>
    <cellStyle name="Style 1 3 3 4 5 2" xfId="5946" xr:uid="{00000000-0005-0000-0000-00003B170000}"/>
    <cellStyle name="Style 1 3 3 4 6" xfId="5947" xr:uid="{00000000-0005-0000-0000-00003C170000}"/>
    <cellStyle name="Style 1 3 3 5" xfId="5948" xr:uid="{00000000-0005-0000-0000-00003D170000}"/>
    <cellStyle name="Style 1 3 3 5 2" xfId="5949" xr:uid="{00000000-0005-0000-0000-00003E170000}"/>
    <cellStyle name="Style 1 3 4" xfId="5950" xr:uid="{00000000-0005-0000-0000-00003F170000}"/>
    <cellStyle name="Style 1 3 4 2" xfId="5951" xr:uid="{00000000-0005-0000-0000-000040170000}"/>
    <cellStyle name="Style 1 3 4 2 2" xfId="5952" xr:uid="{00000000-0005-0000-0000-000041170000}"/>
    <cellStyle name="Style 1 3 4 2 2 2" xfId="5953" xr:uid="{00000000-0005-0000-0000-000042170000}"/>
    <cellStyle name="Style 1 3 4 2 2 2 2" xfId="5954" xr:uid="{00000000-0005-0000-0000-000043170000}"/>
    <cellStyle name="Style 1 3 4 2 2 2 2 2" xfId="5955" xr:uid="{00000000-0005-0000-0000-000044170000}"/>
    <cellStyle name="Style 1 3 4 2 2 2 3" xfId="5956" xr:uid="{00000000-0005-0000-0000-000045170000}"/>
    <cellStyle name="Style 1 3 4 2 2 3" xfId="5957" xr:uid="{00000000-0005-0000-0000-000046170000}"/>
    <cellStyle name="Style 1 3 4 2 2 3 2" xfId="5958" xr:uid="{00000000-0005-0000-0000-000047170000}"/>
    <cellStyle name="Style 1 3 4 2 2 4" xfId="5959" xr:uid="{00000000-0005-0000-0000-000048170000}"/>
    <cellStyle name="Style 1 3 4 2 3" xfId="5960" xr:uid="{00000000-0005-0000-0000-000049170000}"/>
    <cellStyle name="Style 1 3 4 2 3 2" xfId="5961" xr:uid="{00000000-0005-0000-0000-00004A170000}"/>
    <cellStyle name="Style 1 3 4 2 3 2 2" xfId="5962" xr:uid="{00000000-0005-0000-0000-00004B170000}"/>
    <cellStyle name="Style 1 3 4 2 3 3" xfId="5963" xr:uid="{00000000-0005-0000-0000-00004C170000}"/>
    <cellStyle name="Style 1 3 4 2 3 4" xfId="5964" xr:uid="{00000000-0005-0000-0000-00004D170000}"/>
    <cellStyle name="Style 1 3 4 2 4" xfId="5965" xr:uid="{00000000-0005-0000-0000-00004E170000}"/>
    <cellStyle name="Style 1 3 4 2 4 2" xfId="5966" xr:uid="{00000000-0005-0000-0000-00004F170000}"/>
    <cellStyle name="Style 1 3 4 2 4 2 2" xfId="5967" xr:uid="{00000000-0005-0000-0000-000050170000}"/>
    <cellStyle name="Style 1 3 4 2 4 3" xfId="5968" xr:uid="{00000000-0005-0000-0000-000051170000}"/>
    <cellStyle name="Style 1 3 4 2 5" xfId="5969" xr:uid="{00000000-0005-0000-0000-000052170000}"/>
    <cellStyle name="Style 1 3 4 2 5 2" xfId="5970" xr:uid="{00000000-0005-0000-0000-000053170000}"/>
    <cellStyle name="Style 1 3 4 2 6" xfId="5971" xr:uid="{00000000-0005-0000-0000-000054170000}"/>
    <cellStyle name="Style 1 3 4 3" xfId="5972" xr:uid="{00000000-0005-0000-0000-000055170000}"/>
    <cellStyle name="Style 1 3 4 3 2" xfId="5973" xr:uid="{00000000-0005-0000-0000-000056170000}"/>
    <cellStyle name="Style 1 3 4 3 2 2" xfId="5974" xr:uid="{00000000-0005-0000-0000-000057170000}"/>
    <cellStyle name="Style 1 3 4 3 2 2 2" xfId="5975" xr:uid="{00000000-0005-0000-0000-000058170000}"/>
    <cellStyle name="Style 1 3 4 3 2 2 2 2" xfId="5976" xr:uid="{00000000-0005-0000-0000-000059170000}"/>
    <cellStyle name="Style 1 3 4 3 2 2 3" xfId="5977" xr:uid="{00000000-0005-0000-0000-00005A170000}"/>
    <cellStyle name="Style 1 3 4 3 2 3" xfId="5978" xr:uid="{00000000-0005-0000-0000-00005B170000}"/>
    <cellStyle name="Style 1 3 4 3 2 3 2" xfId="5979" xr:uid="{00000000-0005-0000-0000-00005C170000}"/>
    <cellStyle name="Style 1 3 4 3 2 4" xfId="5980" xr:uid="{00000000-0005-0000-0000-00005D170000}"/>
    <cellStyle name="Style 1 3 4 3 3" xfId="5981" xr:uid="{00000000-0005-0000-0000-00005E170000}"/>
    <cellStyle name="Style 1 3 4 3 3 2" xfId="5982" xr:uid="{00000000-0005-0000-0000-00005F170000}"/>
    <cellStyle name="Style 1 3 4 3 3 2 2" xfId="5983" xr:uid="{00000000-0005-0000-0000-000060170000}"/>
    <cellStyle name="Style 1 3 4 3 3 3" xfId="5984" xr:uid="{00000000-0005-0000-0000-000061170000}"/>
    <cellStyle name="Style 1 3 4 3 3 4" xfId="5985" xr:uid="{00000000-0005-0000-0000-000062170000}"/>
    <cellStyle name="Style 1 3 4 3 4" xfId="5986" xr:uid="{00000000-0005-0000-0000-000063170000}"/>
    <cellStyle name="Style 1 3 4 3 4 2" xfId="5987" xr:uid="{00000000-0005-0000-0000-000064170000}"/>
    <cellStyle name="Style 1 3 4 3 4 2 2" xfId="5988" xr:uid="{00000000-0005-0000-0000-000065170000}"/>
    <cellStyle name="Style 1 3 4 3 4 3" xfId="5989" xr:uid="{00000000-0005-0000-0000-000066170000}"/>
    <cellStyle name="Style 1 3 4 3 5" xfId="5990" xr:uid="{00000000-0005-0000-0000-000067170000}"/>
    <cellStyle name="Style 1 3 4 3 5 2" xfId="5991" xr:uid="{00000000-0005-0000-0000-000068170000}"/>
    <cellStyle name="Style 1 3 4 3 6" xfId="5992" xr:uid="{00000000-0005-0000-0000-000069170000}"/>
    <cellStyle name="Style 1 3 4 4" xfId="5993" xr:uid="{00000000-0005-0000-0000-00006A170000}"/>
    <cellStyle name="Style 1 3 4 4 2" xfId="5994" xr:uid="{00000000-0005-0000-0000-00006B170000}"/>
    <cellStyle name="Style 1 3 4 4 2 2" xfId="5995" xr:uid="{00000000-0005-0000-0000-00006C170000}"/>
    <cellStyle name="Style 1 3 4 4 2 2 2" xfId="5996" xr:uid="{00000000-0005-0000-0000-00006D170000}"/>
    <cellStyle name="Style 1 3 4 4 2 3" xfId="5997" xr:uid="{00000000-0005-0000-0000-00006E170000}"/>
    <cellStyle name="Style 1 3 4 4 3" xfId="5998" xr:uid="{00000000-0005-0000-0000-00006F170000}"/>
    <cellStyle name="Style 1 3 4 4 3 2" xfId="5999" xr:uid="{00000000-0005-0000-0000-000070170000}"/>
    <cellStyle name="Style 1 3 4 4 4" xfId="6000" xr:uid="{00000000-0005-0000-0000-000071170000}"/>
    <cellStyle name="Style 1 3 4 5" xfId="6001" xr:uid="{00000000-0005-0000-0000-000072170000}"/>
    <cellStyle name="Style 1 3 4 5 2" xfId="6002" xr:uid="{00000000-0005-0000-0000-000073170000}"/>
    <cellStyle name="Style 1 3 4 5 2 2" xfId="6003" xr:uid="{00000000-0005-0000-0000-000074170000}"/>
    <cellStyle name="Style 1 3 4 5 3" xfId="6004" xr:uid="{00000000-0005-0000-0000-000075170000}"/>
    <cellStyle name="Style 1 3 4 5 4" xfId="6005" xr:uid="{00000000-0005-0000-0000-000076170000}"/>
    <cellStyle name="Style 1 3 4 6" xfId="6006" xr:uid="{00000000-0005-0000-0000-000077170000}"/>
    <cellStyle name="Style 1 3 4 6 2" xfId="6007" xr:uid="{00000000-0005-0000-0000-000078170000}"/>
    <cellStyle name="Style 1 3 4 6 2 2" xfId="6008" xr:uid="{00000000-0005-0000-0000-000079170000}"/>
    <cellStyle name="Style 1 3 4 6 3" xfId="6009" xr:uid="{00000000-0005-0000-0000-00007A170000}"/>
    <cellStyle name="Style 1 3 4 7" xfId="6010" xr:uid="{00000000-0005-0000-0000-00007B170000}"/>
    <cellStyle name="Style 1 3 5" xfId="6011" xr:uid="{00000000-0005-0000-0000-00007C170000}"/>
    <cellStyle name="Style 1 3 5 2" xfId="6012" xr:uid="{00000000-0005-0000-0000-00007D170000}"/>
    <cellStyle name="Style 1 3 5 2 2" xfId="6013" xr:uid="{00000000-0005-0000-0000-00007E170000}"/>
    <cellStyle name="Style 1 3 5 2 2 2" xfId="6014" xr:uid="{00000000-0005-0000-0000-00007F170000}"/>
    <cellStyle name="Style 1 3 5 2 2 2 2" xfId="6015" xr:uid="{00000000-0005-0000-0000-000080170000}"/>
    <cellStyle name="Style 1 3 5 2 2 3" xfId="6016" xr:uid="{00000000-0005-0000-0000-000081170000}"/>
    <cellStyle name="Style 1 3 5 2 3" xfId="6017" xr:uid="{00000000-0005-0000-0000-000082170000}"/>
    <cellStyle name="Style 1 3 5 2 3 2" xfId="6018" xr:uid="{00000000-0005-0000-0000-000083170000}"/>
    <cellStyle name="Style 1 3 5 2 4" xfId="6019" xr:uid="{00000000-0005-0000-0000-000084170000}"/>
    <cellStyle name="Style 1 3 5 3" xfId="6020" xr:uid="{00000000-0005-0000-0000-000085170000}"/>
    <cellStyle name="Style 1 3 5 3 2" xfId="6021" xr:uid="{00000000-0005-0000-0000-000086170000}"/>
    <cellStyle name="Style 1 3 5 3 2 2" xfId="6022" xr:uid="{00000000-0005-0000-0000-000087170000}"/>
    <cellStyle name="Style 1 3 5 3 3" xfId="6023" xr:uid="{00000000-0005-0000-0000-000088170000}"/>
    <cellStyle name="Style 1 3 5 3 4" xfId="6024" xr:uid="{00000000-0005-0000-0000-000089170000}"/>
    <cellStyle name="Style 1 3 5 4" xfId="6025" xr:uid="{00000000-0005-0000-0000-00008A170000}"/>
    <cellStyle name="Style 1 3 5 4 2" xfId="6026" xr:uid="{00000000-0005-0000-0000-00008B170000}"/>
    <cellStyle name="Style 1 3 5 4 2 2" xfId="6027" xr:uid="{00000000-0005-0000-0000-00008C170000}"/>
    <cellStyle name="Style 1 3 5 4 3" xfId="6028" xr:uid="{00000000-0005-0000-0000-00008D170000}"/>
    <cellStyle name="Style 1 3 5 5" xfId="6029" xr:uid="{00000000-0005-0000-0000-00008E170000}"/>
    <cellStyle name="Style 1 4" xfId="6030" xr:uid="{00000000-0005-0000-0000-00008F170000}"/>
    <cellStyle name="Style 1 5" xfId="6031" xr:uid="{00000000-0005-0000-0000-000090170000}"/>
    <cellStyle name="Style 1 6" xfId="6032" xr:uid="{00000000-0005-0000-0000-000091170000}"/>
    <cellStyle name="Style 1_apollo_curves" xfId="6033" xr:uid="{00000000-0005-0000-0000-000092170000}"/>
    <cellStyle name="Style 2" xfId="6034" xr:uid="{00000000-0005-0000-0000-000093170000}"/>
    <cellStyle name="TableF" xfId="6035" xr:uid="{00000000-0005-0000-0000-000094170000}"/>
    <cellStyle name="TableF 2" xfId="6036" xr:uid="{00000000-0005-0000-0000-000095170000}"/>
    <cellStyle name="text" xfId="6037" xr:uid="{00000000-0005-0000-0000-000096170000}"/>
    <cellStyle name="text2" xfId="6038" xr:uid="{00000000-0005-0000-0000-000097170000}"/>
    <cellStyle name="Title 2" xfId="6039" xr:uid="{00000000-0005-0000-0000-000098170000}"/>
    <cellStyle name="Title 2 2" xfId="6040" xr:uid="{00000000-0005-0000-0000-000099170000}"/>
    <cellStyle name="Title 3" xfId="6041" xr:uid="{00000000-0005-0000-0000-00009A170000}"/>
    <cellStyle name="Title 4" xfId="6042" xr:uid="{00000000-0005-0000-0000-00009B170000}"/>
    <cellStyle name="Title 5" xfId="6043" xr:uid="{00000000-0005-0000-0000-00009C170000}"/>
    <cellStyle name="Title 6" xfId="6044" xr:uid="{00000000-0005-0000-0000-00009D170000}"/>
    <cellStyle name="title2" xfId="6045" xr:uid="{00000000-0005-0000-0000-00009E170000}"/>
    <cellStyle name="TopGrey" xfId="6046" xr:uid="{00000000-0005-0000-0000-00009F170000}"/>
    <cellStyle name="Total 2" xfId="6047" xr:uid="{00000000-0005-0000-0000-0000A0170000}"/>
    <cellStyle name="Total 2 2" xfId="6048" xr:uid="{00000000-0005-0000-0000-0000A1170000}"/>
    <cellStyle name="Total 2 2 2" xfId="6049" xr:uid="{00000000-0005-0000-0000-0000A2170000}"/>
    <cellStyle name="Total 2 2 2 2" xfId="6050" xr:uid="{00000000-0005-0000-0000-0000A3170000}"/>
    <cellStyle name="Total 2 2 2 2 2" xfId="6051" xr:uid="{00000000-0005-0000-0000-0000A4170000}"/>
    <cellStyle name="Total 2 2 2 2 2 2" xfId="6052" xr:uid="{00000000-0005-0000-0000-0000A5170000}"/>
    <cellStyle name="Total 2 2 2 2 2 2 2" xfId="6053" xr:uid="{00000000-0005-0000-0000-0000A6170000}"/>
    <cellStyle name="Total 2 2 2 2 2 2 2 2" xfId="6054" xr:uid="{00000000-0005-0000-0000-0000A7170000}"/>
    <cellStyle name="Total 2 2 2 2 2 2 2 2 2" xfId="6055" xr:uid="{00000000-0005-0000-0000-0000A8170000}"/>
    <cellStyle name="Total 2 2 2 2 2 2 2 3" xfId="6056" xr:uid="{00000000-0005-0000-0000-0000A9170000}"/>
    <cellStyle name="Total 2 2 2 2 2 2 3" xfId="6057" xr:uid="{00000000-0005-0000-0000-0000AA170000}"/>
    <cellStyle name="Total 2 2 2 2 2 2 3 2" xfId="6058" xr:uid="{00000000-0005-0000-0000-0000AB170000}"/>
    <cellStyle name="Total 2 2 2 2 2 2 4" xfId="6059" xr:uid="{00000000-0005-0000-0000-0000AC170000}"/>
    <cellStyle name="Total 2 2 2 2 2 3" xfId="6060" xr:uid="{00000000-0005-0000-0000-0000AD170000}"/>
    <cellStyle name="Total 2 2 2 2 2 3 2" xfId="6061" xr:uid="{00000000-0005-0000-0000-0000AE170000}"/>
    <cellStyle name="Total 2 2 2 2 2 3 2 2" xfId="6062" xr:uid="{00000000-0005-0000-0000-0000AF170000}"/>
    <cellStyle name="Total 2 2 2 2 2 3 3" xfId="6063" xr:uid="{00000000-0005-0000-0000-0000B0170000}"/>
    <cellStyle name="Total 2 2 2 2 2 3 4" xfId="6064" xr:uid="{00000000-0005-0000-0000-0000B1170000}"/>
    <cellStyle name="Total 2 2 2 2 2 4" xfId="6065" xr:uid="{00000000-0005-0000-0000-0000B2170000}"/>
    <cellStyle name="Total 2 2 2 2 2 4 2" xfId="6066" xr:uid="{00000000-0005-0000-0000-0000B3170000}"/>
    <cellStyle name="Total 2 2 2 2 2 4 2 2" xfId="6067" xr:uid="{00000000-0005-0000-0000-0000B4170000}"/>
    <cellStyle name="Total 2 2 2 2 2 4 3" xfId="6068" xr:uid="{00000000-0005-0000-0000-0000B5170000}"/>
    <cellStyle name="Total 2 2 2 2 2 5" xfId="6069" xr:uid="{00000000-0005-0000-0000-0000B6170000}"/>
    <cellStyle name="Total 2 2 2 2 2 5 2" xfId="6070" xr:uid="{00000000-0005-0000-0000-0000B7170000}"/>
    <cellStyle name="Total 2 2 2 2 2 6" xfId="6071" xr:uid="{00000000-0005-0000-0000-0000B8170000}"/>
    <cellStyle name="Total 2 2 2 2 3" xfId="6072" xr:uid="{00000000-0005-0000-0000-0000B9170000}"/>
    <cellStyle name="Total 2 2 2 2 3 2" xfId="6073" xr:uid="{00000000-0005-0000-0000-0000BA170000}"/>
    <cellStyle name="Total 2 2 2 2 3 2 2" xfId="6074" xr:uid="{00000000-0005-0000-0000-0000BB170000}"/>
    <cellStyle name="Total 2 2 2 2 3 2 2 2" xfId="6075" xr:uid="{00000000-0005-0000-0000-0000BC170000}"/>
    <cellStyle name="Total 2 2 2 2 3 2 2 2 2" xfId="6076" xr:uid="{00000000-0005-0000-0000-0000BD170000}"/>
    <cellStyle name="Total 2 2 2 2 3 2 2 3" xfId="6077" xr:uid="{00000000-0005-0000-0000-0000BE170000}"/>
    <cellStyle name="Total 2 2 2 2 3 2 3" xfId="6078" xr:uid="{00000000-0005-0000-0000-0000BF170000}"/>
    <cellStyle name="Total 2 2 2 2 3 2 3 2" xfId="6079" xr:uid="{00000000-0005-0000-0000-0000C0170000}"/>
    <cellStyle name="Total 2 2 2 2 3 2 4" xfId="6080" xr:uid="{00000000-0005-0000-0000-0000C1170000}"/>
    <cellStyle name="Total 2 2 2 2 3 3" xfId="6081" xr:uid="{00000000-0005-0000-0000-0000C2170000}"/>
    <cellStyle name="Total 2 2 2 2 3 3 2" xfId="6082" xr:uid="{00000000-0005-0000-0000-0000C3170000}"/>
    <cellStyle name="Total 2 2 2 2 3 3 2 2" xfId="6083" xr:uid="{00000000-0005-0000-0000-0000C4170000}"/>
    <cellStyle name="Total 2 2 2 2 3 3 3" xfId="6084" xr:uid="{00000000-0005-0000-0000-0000C5170000}"/>
    <cellStyle name="Total 2 2 2 2 3 3 4" xfId="6085" xr:uid="{00000000-0005-0000-0000-0000C6170000}"/>
    <cellStyle name="Total 2 2 2 2 3 4" xfId="6086" xr:uid="{00000000-0005-0000-0000-0000C7170000}"/>
    <cellStyle name="Total 2 2 2 2 3 4 2" xfId="6087" xr:uid="{00000000-0005-0000-0000-0000C8170000}"/>
    <cellStyle name="Total 2 2 2 2 3 4 2 2" xfId="6088" xr:uid="{00000000-0005-0000-0000-0000C9170000}"/>
    <cellStyle name="Total 2 2 2 2 3 4 3" xfId="6089" xr:uid="{00000000-0005-0000-0000-0000CA170000}"/>
    <cellStyle name="Total 2 2 2 2 3 5" xfId="6090" xr:uid="{00000000-0005-0000-0000-0000CB170000}"/>
    <cellStyle name="Total 2 2 2 2 3 5 2" xfId="6091" xr:uid="{00000000-0005-0000-0000-0000CC170000}"/>
    <cellStyle name="Total 2 2 2 2 3 6" xfId="6092" xr:uid="{00000000-0005-0000-0000-0000CD170000}"/>
    <cellStyle name="Total 2 2 2 2 4" xfId="6093" xr:uid="{00000000-0005-0000-0000-0000CE170000}"/>
    <cellStyle name="Total 2 2 2 2 4 2" xfId="6094" xr:uid="{00000000-0005-0000-0000-0000CF170000}"/>
    <cellStyle name="Total 2 2 2 2 4 2 2" xfId="6095" xr:uid="{00000000-0005-0000-0000-0000D0170000}"/>
    <cellStyle name="Total 2 2 2 2 4 2 2 2" xfId="6096" xr:uid="{00000000-0005-0000-0000-0000D1170000}"/>
    <cellStyle name="Total 2 2 2 2 4 2 2 2 2" xfId="6097" xr:uid="{00000000-0005-0000-0000-0000D2170000}"/>
    <cellStyle name="Total 2 2 2 2 4 2 2 3" xfId="6098" xr:uid="{00000000-0005-0000-0000-0000D3170000}"/>
    <cellStyle name="Total 2 2 2 2 4 2 3" xfId="6099" xr:uid="{00000000-0005-0000-0000-0000D4170000}"/>
    <cellStyle name="Total 2 2 2 2 4 2 3 2" xfId="6100" xr:uid="{00000000-0005-0000-0000-0000D5170000}"/>
    <cellStyle name="Total 2 2 2 2 4 2 4" xfId="6101" xr:uid="{00000000-0005-0000-0000-0000D6170000}"/>
    <cellStyle name="Total 2 2 2 2 4 3" xfId="6102" xr:uid="{00000000-0005-0000-0000-0000D7170000}"/>
    <cellStyle name="Total 2 2 2 2 4 3 2" xfId="6103" xr:uid="{00000000-0005-0000-0000-0000D8170000}"/>
    <cellStyle name="Total 2 2 2 2 4 3 2 2" xfId="6104" xr:uid="{00000000-0005-0000-0000-0000D9170000}"/>
    <cellStyle name="Total 2 2 2 2 4 3 3" xfId="6105" xr:uid="{00000000-0005-0000-0000-0000DA170000}"/>
    <cellStyle name="Total 2 2 2 2 4 3 4" xfId="6106" xr:uid="{00000000-0005-0000-0000-0000DB170000}"/>
    <cellStyle name="Total 2 2 2 2 4 4" xfId="6107" xr:uid="{00000000-0005-0000-0000-0000DC170000}"/>
    <cellStyle name="Total 2 2 2 2 4 4 2" xfId="6108" xr:uid="{00000000-0005-0000-0000-0000DD170000}"/>
    <cellStyle name="Total 2 2 2 2 4 4 2 2" xfId="6109" xr:uid="{00000000-0005-0000-0000-0000DE170000}"/>
    <cellStyle name="Total 2 2 2 2 4 4 3" xfId="6110" xr:uid="{00000000-0005-0000-0000-0000DF170000}"/>
    <cellStyle name="Total 2 2 2 2 4 5" xfId="6111" xr:uid="{00000000-0005-0000-0000-0000E0170000}"/>
    <cellStyle name="Total 2 2 2 2 4 5 2" xfId="6112" xr:uid="{00000000-0005-0000-0000-0000E1170000}"/>
    <cellStyle name="Total 2 2 2 2 4 6" xfId="6113" xr:uid="{00000000-0005-0000-0000-0000E2170000}"/>
    <cellStyle name="Total 2 2 2 2 5" xfId="6114" xr:uid="{00000000-0005-0000-0000-0000E3170000}"/>
    <cellStyle name="Total 2 2 2 2 5 2" xfId="6115" xr:uid="{00000000-0005-0000-0000-0000E4170000}"/>
    <cellStyle name="Total 2 2 2 3" xfId="6116" xr:uid="{00000000-0005-0000-0000-0000E5170000}"/>
    <cellStyle name="Total 2 2 2 3 2" xfId="6117" xr:uid="{00000000-0005-0000-0000-0000E6170000}"/>
    <cellStyle name="Total 2 2 2 3 2 2" xfId="6118" xr:uid="{00000000-0005-0000-0000-0000E7170000}"/>
    <cellStyle name="Total 2 2 2 3 2 2 2" xfId="6119" xr:uid="{00000000-0005-0000-0000-0000E8170000}"/>
    <cellStyle name="Total 2 2 2 3 2 2 2 2" xfId="6120" xr:uid="{00000000-0005-0000-0000-0000E9170000}"/>
    <cellStyle name="Total 2 2 2 3 2 2 3" xfId="6121" xr:uid="{00000000-0005-0000-0000-0000EA170000}"/>
    <cellStyle name="Total 2 2 2 3 2 3" xfId="6122" xr:uid="{00000000-0005-0000-0000-0000EB170000}"/>
    <cellStyle name="Total 2 2 2 3 2 3 2" xfId="6123" xr:uid="{00000000-0005-0000-0000-0000EC170000}"/>
    <cellStyle name="Total 2 2 2 3 2 4" xfId="6124" xr:uid="{00000000-0005-0000-0000-0000ED170000}"/>
    <cellStyle name="Total 2 2 2 3 3" xfId="6125" xr:uid="{00000000-0005-0000-0000-0000EE170000}"/>
    <cellStyle name="Total 2 2 2 3 3 2" xfId="6126" xr:uid="{00000000-0005-0000-0000-0000EF170000}"/>
    <cellStyle name="Total 2 2 2 3 3 2 2" xfId="6127" xr:uid="{00000000-0005-0000-0000-0000F0170000}"/>
    <cellStyle name="Total 2 2 2 3 3 3" xfId="6128" xr:uid="{00000000-0005-0000-0000-0000F1170000}"/>
    <cellStyle name="Total 2 2 2 3 3 4" xfId="6129" xr:uid="{00000000-0005-0000-0000-0000F2170000}"/>
    <cellStyle name="Total 2 2 2 3 4" xfId="6130" xr:uid="{00000000-0005-0000-0000-0000F3170000}"/>
    <cellStyle name="Total 2 2 2 3 4 2" xfId="6131" xr:uid="{00000000-0005-0000-0000-0000F4170000}"/>
    <cellStyle name="Total 2 2 2 3 4 2 2" xfId="6132" xr:uid="{00000000-0005-0000-0000-0000F5170000}"/>
    <cellStyle name="Total 2 2 2 3 4 3" xfId="6133" xr:uid="{00000000-0005-0000-0000-0000F6170000}"/>
    <cellStyle name="Total 2 2 2 3 5" xfId="6134" xr:uid="{00000000-0005-0000-0000-0000F7170000}"/>
    <cellStyle name="Total 2 2 2 3 5 2" xfId="6135" xr:uid="{00000000-0005-0000-0000-0000F8170000}"/>
    <cellStyle name="Total 2 2 2 3 6" xfId="6136" xr:uid="{00000000-0005-0000-0000-0000F9170000}"/>
    <cellStyle name="Total 2 2 2 4" xfId="6137" xr:uid="{00000000-0005-0000-0000-0000FA170000}"/>
    <cellStyle name="Total 2 2 2 4 2" xfId="6138" xr:uid="{00000000-0005-0000-0000-0000FB170000}"/>
    <cellStyle name="Total 2 2 2 4 2 2" xfId="6139" xr:uid="{00000000-0005-0000-0000-0000FC170000}"/>
    <cellStyle name="Total 2 2 2 4 2 2 2" xfId="6140" xr:uid="{00000000-0005-0000-0000-0000FD170000}"/>
    <cellStyle name="Total 2 2 2 4 2 2 2 2" xfId="6141" xr:uid="{00000000-0005-0000-0000-0000FE170000}"/>
    <cellStyle name="Total 2 2 2 4 2 2 3" xfId="6142" xr:uid="{00000000-0005-0000-0000-0000FF170000}"/>
    <cellStyle name="Total 2 2 2 4 2 3" xfId="6143" xr:uid="{00000000-0005-0000-0000-000000180000}"/>
    <cellStyle name="Total 2 2 2 4 2 3 2" xfId="6144" xr:uid="{00000000-0005-0000-0000-000001180000}"/>
    <cellStyle name="Total 2 2 2 4 2 4" xfId="6145" xr:uid="{00000000-0005-0000-0000-000002180000}"/>
    <cellStyle name="Total 2 2 2 4 3" xfId="6146" xr:uid="{00000000-0005-0000-0000-000003180000}"/>
    <cellStyle name="Total 2 2 2 4 3 2" xfId="6147" xr:uid="{00000000-0005-0000-0000-000004180000}"/>
    <cellStyle name="Total 2 2 2 4 3 2 2" xfId="6148" xr:uid="{00000000-0005-0000-0000-000005180000}"/>
    <cellStyle name="Total 2 2 2 4 3 3" xfId="6149" xr:uid="{00000000-0005-0000-0000-000006180000}"/>
    <cellStyle name="Total 2 2 2 4 3 4" xfId="6150" xr:uid="{00000000-0005-0000-0000-000007180000}"/>
    <cellStyle name="Total 2 2 2 4 4" xfId="6151" xr:uid="{00000000-0005-0000-0000-000008180000}"/>
    <cellStyle name="Total 2 2 2 4 4 2" xfId="6152" xr:uid="{00000000-0005-0000-0000-000009180000}"/>
    <cellStyle name="Total 2 2 2 4 4 2 2" xfId="6153" xr:uid="{00000000-0005-0000-0000-00000A180000}"/>
    <cellStyle name="Total 2 2 2 4 4 3" xfId="6154" xr:uid="{00000000-0005-0000-0000-00000B180000}"/>
    <cellStyle name="Total 2 2 2 4 5" xfId="6155" xr:uid="{00000000-0005-0000-0000-00000C180000}"/>
    <cellStyle name="Total 2 2 2 4 5 2" xfId="6156" xr:uid="{00000000-0005-0000-0000-00000D180000}"/>
    <cellStyle name="Total 2 2 2 4 6" xfId="6157" xr:uid="{00000000-0005-0000-0000-00000E180000}"/>
    <cellStyle name="Total 2 2 2 5" xfId="6158" xr:uid="{00000000-0005-0000-0000-00000F180000}"/>
    <cellStyle name="Total 2 2 2 5 2" xfId="6159" xr:uid="{00000000-0005-0000-0000-000010180000}"/>
    <cellStyle name="Total 2 2 2 5 2 2" xfId="6160" xr:uid="{00000000-0005-0000-0000-000011180000}"/>
    <cellStyle name="Total 2 2 2 5 2 2 2" xfId="6161" xr:uid="{00000000-0005-0000-0000-000012180000}"/>
    <cellStyle name="Total 2 2 2 5 2 2 2 2" xfId="6162" xr:uid="{00000000-0005-0000-0000-000013180000}"/>
    <cellStyle name="Total 2 2 2 5 2 2 3" xfId="6163" xr:uid="{00000000-0005-0000-0000-000014180000}"/>
    <cellStyle name="Total 2 2 2 5 2 3" xfId="6164" xr:uid="{00000000-0005-0000-0000-000015180000}"/>
    <cellStyle name="Total 2 2 2 5 2 3 2" xfId="6165" xr:uid="{00000000-0005-0000-0000-000016180000}"/>
    <cellStyle name="Total 2 2 2 5 2 4" xfId="6166" xr:uid="{00000000-0005-0000-0000-000017180000}"/>
    <cellStyle name="Total 2 2 2 5 3" xfId="6167" xr:uid="{00000000-0005-0000-0000-000018180000}"/>
    <cellStyle name="Total 2 2 2 5 3 2" xfId="6168" xr:uid="{00000000-0005-0000-0000-000019180000}"/>
    <cellStyle name="Total 2 2 2 5 3 2 2" xfId="6169" xr:uid="{00000000-0005-0000-0000-00001A180000}"/>
    <cellStyle name="Total 2 2 2 5 3 3" xfId="6170" xr:uid="{00000000-0005-0000-0000-00001B180000}"/>
    <cellStyle name="Total 2 2 2 5 3 4" xfId="6171" xr:uid="{00000000-0005-0000-0000-00001C180000}"/>
    <cellStyle name="Total 2 2 2 5 4" xfId="6172" xr:uid="{00000000-0005-0000-0000-00001D180000}"/>
    <cellStyle name="Total 2 2 2 5 4 2" xfId="6173" xr:uid="{00000000-0005-0000-0000-00001E180000}"/>
    <cellStyle name="Total 2 2 2 5 4 2 2" xfId="6174" xr:uid="{00000000-0005-0000-0000-00001F180000}"/>
    <cellStyle name="Total 2 2 2 5 4 3" xfId="6175" xr:uid="{00000000-0005-0000-0000-000020180000}"/>
    <cellStyle name="Total 2 2 2 5 5" xfId="6176" xr:uid="{00000000-0005-0000-0000-000021180000}"/>
    <cellStyle name="Total 2 2 2 5 5 2" xfId="6177" xr:uid="{00000000-0005-0000-0000-000022180000}"/>
    <cellStyle name="Total 2 2 2 5 6" xfId="6178" xr:uid="{00000000-0005-0000-0000-000023180000}"/>
    <cellStyle name="Total 2 2 2 6" xfId="6179" xr:uid="{00000000-0005-0000-0000-000024180000}"/>
    <cellStyle name="Total 2 2 2 6 2" xfId="6180" xr:uid="{00000000-0005-0000-0000-000025180000}"/>
    <cellStyle name="Total 2 2 3" xfId="6181" xr:uid="{00000000-0005-0000-0000-000026180000}"/>
    <cellStyle name="Total 2 2 3 2" xfId="6182" xr:uid="{00000000-0005-0000-0000-000027180000}"/>
    <cellStyle name="Total 2 2 3 2 2" xfId="6183" xr:uid="{00000000-0005-0000-0000-000028180000}"/>
    <cellStyle name="Total 2 2 3 2 2 2" xfId="6184" xr:uid="{00000000-0005-0000-0000-000029180000}"/>
    <cellStyle name="Total 2 2 3 2 2 2 2" xfId="6185" xr:uid="{00000000-0005-0000-0000-00002A180000}"/>
    <cellStyle name="Total 2 2 3 2 2 2 2 2" xfId="6186" xr:uid="{00000000-0005-0000-0000-00002B180000}"/>
    <cellStyle name="Total 2 2 3 2 2 2 3" xfId="6187" xr:uid="{00000000-0005-0000-0000-00002C180000}"/>
    <cellStyle name="Total 2 2 3 2 2 3" xfId="6188" xr:uid="{00000000-0005-0000-0000-00002D180000}"/>
    <cellStyle name="Total 2 2 3 2 2 3 2" xfId="6189" xr:uid="{00000000-0005-0000-0000-00002E180000}"/>
    <cellStyle name="Total 2 2 3 2 2 4" xfId="6190" xr:uid="{00000000-0005-0000-0000-00002F180000}"/>
    <cellStyle name="Total 2 2 3 2 3" xfId="6191" xr:uid="{00000000-0005-0000-0000-000030180000}"/>
    <cellStyle name="Total 2 2 3 2 3 2" xfId="6192" xr:uid="{00000000-0005-0000-0000-000031180000}"/>
    <cellStyle name="Total 2 2 3 2 3 2 2" xfId="6193" xr:uid="{00000000-0005-0000-0000-000032180000}"/>
    <cellStyle name="Total 2 2 3 2 3 3" xfId="6194" xr:uid="{00000000-0005-0000-0000-000033180000}"/>
    <cellStyle name="Total 2 2 3 2 3 4" xfId="6195" xr:uid="{00000000-0005-0000-0000-000034180000}"/>
    <cellStyle name="Total 2 2 3 2 4" xfId="6196" xr:uid="{00000000-0005-0000-0000-000035180000}"/>
    <cellStyle name="Total 2 2 3 2 4 2" xfId="6197" xr:uid="{00000000-0005-0000-0000-000036180000}"/>
    <cellStyle name="Total 2 2 3 2 4 2 2" xfId="6198" xr:uid="{00000000-0005-0000-0000-000037180000}"/>
    <cellStyle name="Total 2 2 3 2 4 3" xfId="6199" xr:uid="{00000000-0005-0000-0000-000038180000}"/>
    <cellStyle name="Total 2 2 3 2 5" xfId="6200" xr:uid="{00000000-0005-0000-0000-000039180000}"/>
    <cellStyle name="Total 2 2 3 2 5 2" xfId="6201" xr:uid="{00000000-0005-0000-0000-00003A180000}"/>
    <cellStyle name="Total 2 2 3 2 6" xfId="6202" xr:uid="{00000000-0005-0000-0000-00003B180000}"/>
    <cellStyle name="Total 2 2 3 3" xfId="6203" xr:uid="{00000000-0005-0000-0000-00003C180000}"/>
    <cellStyle name="Total 2 2 3 3 2" xfId="6204" xr:uid="{00000000-0005-0000-0000-00003D180000}"/>
    <cellStyle name="Total 2 2 3 3 2 2" xfId="6205" xr:uid="{00000000-0005-0000-0000-00003E180000}"/>
    <cellStyle name="Total 2 2 3 3 2 2 2" xfId="6206" xr:uid="{00000000-0005-0000-0000-00003F180000}"/>
    <cellStyle name="Total 2 2 3 3 2 2 2 2" xfId="6207" xr:uid="{00000000-0005-0000-0000-000040180000}"/>
    <cellStyle name="Total 2 2 3 3 2 2 3" xfId="6208" xr:uid="{00000000-0005-0000-0000-000041180000}"/>
    <cellStyle name="Total 2 2 3 3 2 3" xfId="6209" xr:uid="{00000000-0005-0000-0000-000042180000}"/>
    <cellStyle name="Total 2 2 3 3 2 3 2" xfId="6210" xr:uid="{00000000-0005-0000-0000-000043180000}"/>
    <cellStyle name="Total 2 2 3 3 2 4" xfId="6211" xr:uid="{00000000-0005-0000-0000-000044180000}"/>
    <cellStyle name="Total 2 2 3 3 3" xfId="6212" xr:uid="{00000000-0005-0000-0000-000045180000}"/>
    <cellStyle name="Total 2 2 3 3 3 2" xfId="6213" xr:uid="{00000000-0005-0000-0000-000046180000}"/>
    <cellStyle name="Total 2 2 3 3 3 2 2" xfId="6214" xr:uid="{00000000-0005-0000-0000-000047180000}"/>
    <cellStyle name="Total 2 2 3 3 3 3" xfId="6215" xr:uid="{00000000-0005-0000-0000-000048180000}"/>
    <cellStyle name="Total 2 2 3 3 3 4" xfId="6216" xr:uid="{00000000-0005-0000-0000-000049180000}"/>
    <cellStyle name="Total 2 2 3 3 4" xfId="6217" xr:uid="{00000000-0005-0000-0000-00004A180000}"/>
    <cellStyle name="Total 2 2 3 3 4 2" xfId="6218" xr:uid="{00000000-0005-0000-0000-00004B180000}"/>
    <cellStyle name="Total 2 2 3 3 4 2 2" xfId="6219" xr:uid="{00000000-0005-0000-0000-00004C180000}"/>
    <cellStyle name="Total 2 2 3 3 4 3" xfId="6220" xr:uid="{00000000-0005-0000-0000-00004D180000}"/>
    <cellStyle name="Total 2 2 3 3 5" xfId="6221" xr:uid="{00000000-0005-0000-0000-00004E180000}"/>
    <cellStyle name="Total 2 2 3 3 5 2" xfId="6222" xr:uid="{00000000-0005-0000-0000-00004F180000}"/>
    <cellStyle name="Total 2 2 3 3 6" xfId="6223" xr:uid="{00000000-0005-0000-0000-000050180000}"/>
    <cellStyle name="Total 2 2 3 4" xfId="6224" xr:uid="{00000000-0005-0000-0000-000051180000}"/>
    <cellStyle name="Total 2 2 3 4 2" xfId="6225" xr:uid="{00000000-0005-0000-0000-000052180000}"/>
    <cellStyle name="Total 2 2 3 4 2 2" xfId="6226" xr:uid="{00000000-0005-0000-0000-000053180000}"/>
    <cellStyle name="Total 2 2 3 4 2 2 2" xfId="6227" xr:uid="{00000000-0005-0000-0000-000054180000}"/>
    <cellStyle name="Total 2 2 3 4 2 2 2 2" xfId="6228" xr:uid="{00000000-0005-0000-0000-000055180000}"/>
    <cellStyle name="Total 2 2 3 4 2 2 3" xfId="6229" xr:uid="{00000000-0005-0000-0000-000056180000}"/>
    <cellStyle name="Total 2 2 3 4 2 3" xfId="6230" xr:uid="{00000000-0005-0000-0000-000057180000}"/>
    <cellStyle name="Total 2 2 3 4 2 3 2" xfId="6231" xr:uid="{00000000-0005-0000-0000-000058180000}"/>
    <cellStyle name="Total 2 2 3 4 2 4" xfId="6232" xr:uid="{00000000-0005-0000-0000-000059180000}"/>
    <cellStyle name="Total 2 2 3 4 3" xfId="6233" xr:uid="{00000000-0005-0000-0000-00005A180000}"/>
    <cellStyle name="Total 2 2 3 4 3 2" xfId="6234" xr:uid="{00000000-0005-0000-0000-00005B180000}"/>
    <cellStyle name="Total 2 2 3 4 3 2 2" xfId="6235" xr:uid="{00000000-0005-0000-0000-00005C180000}"/>
    <cellStyle name="Total 2 2 3 4 3 3" xfId="6236" xr:uid="{00000000-0005-0000-0000-00005D180000}"/>
    <cellStyle name="Total 2 2 3 4 3 4" xfId="6237" xr:uid="{00000000-0005-0000-0000-00005E180000}"/>
    <cellStyle name="Total 2 2 3 4 4" xfId="6238" xr:uid="{00000000-0005-0000-0000-00005F180000}"/>
    <cellStyle name="Total 2 2 3 4 4 2" xfId="6239" xr:uid="{00000000-0005-0000-0000-000060180000}"/>
    <cellStyle name="Total 2 2 3 4 4 2 2" xfId="6240" xr:uid="{00000000-0005-0000-0000-000061180000}"/>
    <cellStyle name="Total 2 2 3 4 4 3" xfId="6241" xr:uid="{00000000-0005-0000-0000-000062180000}"/>
    <cellStyle name="Total 2 2 3 4 5" xfId="6242" xr:uid="{00000000-0005-0000-0000-000063180000}"/>
    <cellStyle name="Total 2 2 3 4 5 2" xfId="6243" xr:uid="{00000000-0005-0000-0000-000064180000}"/>
    <cellStyle name="Total 2 2 3 4 6" xfId="6244" xr:uid="{00000000-0005-0000-0000-000065180000}"/>
    <cellStyle name="Total 2 2 3 5" xfId="6245" xr:uid="{00000000-0005-0000-0000-000066180000}"/>
    <cellStyle name="Total 2 2 3 5 2" xfId="6246" xr:uid="{00000000-0005-0000-0000-000067180000}"/>
    <cellStyle name="Total 2 2 4" xfId="6247" xr:uid="{00000000-0005-0000-0000-000068180000}"/>
    <cellStyle name="Total 2 2 4 2" xfId="6248" xr:uid="{00000000-0005-0000-0000-000069180000}"/>
    <cellStyle name="Total 2 2 4 2 2" xfId="6249" xr:uid="{00000000-0005-0000-0000-00006A180000}"/>
    <cellStyle name="Total 2 2 4 2 2 2" xfId="6250" xr:uid="{00000000-0005-0000-0000-00006B180000}"/>
    <cellStyle name="Total 2 2 4 2 2 2 2" xfId="6251" xr:uid="{00000000-0005-0000-0000-00006C180000}"/>
    <cellStyle name="Total 2 2 4 2 2 2 2 2" xfId="6252" xr:uid="{00000000-0005-0000-0000-00006D180000}"/>
    <cellStyle name="Total 2 2 4 2 2 2 3" xfId="6253" xr:uid="{00000000-0005-0000-0000-00006E180000}"/>
    <cellStyle name="Total 2 2 4 2 2 3" xfId="6254" xr:uid="{00000000-0005-0000-0000-00006F180000}"/>
    <cellStyle name="Total 2 2 4 2 2 3 2" xfId="6255" xr:uid="{00000000-0005-0000-0000-000070180000}"/>
    <cellStyle name="Total 2 2 4 2 2 4" xfId="6256" xr:uid="{00000000-0005-0000-0000-000071180000}"/>
    <cellStyle name="Total 2 2 4 2 3" xfId="6257" xr:uid="{00000000-0005-0000-0000-000072180000}"/>
    <cellStyle name="Total 2 2 4 2 3 2" xfId="6258" xr:uid="{00000000-0005-0000-0000-000073180000}"/>
    <cellStyle name="Total 2 2 4 2 3 2 2" xfId="6259" xr:uid="{00000000-0005-0000-0000-000074180000}"/>
    <cellStyle name="Total 2 2 4 2 3 3" xfId="6260" xr:uid="{00000000-0005-0000-0000-000075180000}"/>
    <cellStyle name="Total 2 2 4 2 3 4" xfId="6261" xr:uid="{00000000-0005-0000-0000-000076180000}"/>
    <cellStyle name="Total 2 2 4 2 4" xfId="6262" xr:uid="{00000000-0005-0000-0000-000077180000}"/>
    <cellStyle name="Total 2 2 4 2 4 2" xfId="6263" xr:uid="{00000000-0005-0000-0000-000078180000}"/>
    <cellStyle name="Total 2 2 4 2 4 2 2" xfId="6264" xr:uid="{00000000-0005-0000-0000-000079180000}"/>
    <cellStyle name="Total 2 2 4 2 4 3" xfId="6265" xr:uid="{00000000-0005-0000-0000-00007A180000}"/>
    <cellStyle name="Total 2 2 4 2 5" xfId="6266" xr:uid="{00000000-0005-0000-0000-00007B180000}"/>
    <cellStyle name="Total 2 2 4 2 5 2" xfId="6267" xr:uid="{00000000-0005-0000-0000-00007C180000}"/>
    <cellStyle name="Total 2 2 4 2 6" xfId="6268" xr:uid="{00000000-0005-0000-0000-00007D180000}"/>
    <cellStyle name="Total 2 2 4 3" xfId="6269" xr:uid="{00000000-0005-0000-0000-00007E180000}"/>
    <cellStyle name="Total 2 2 4 3 2" xfId="6270" xr:uid="{00000000-0005-0000-0000-00007F180000}"/>
    <cellStyle name="Total 2 2 4 3 2 2" xfId="6271" xr:uid="{00000000-0005-0000-0000-000080180000}"/>
    <cellStyle name="Total 2 2 4 3 2 2 2" xfId="6272" xr:uid="{00000000-0005-0000-0000-000081180000}"/>
    <cellStyle name="Total 2 2 4 3 2 2 2 2" xfId="6273" xr:uid="{00000000-0005-0000-0000-000082180000}"/>
    <cellStyle name="Total 2 2 4 3 2 2 3" xfId="6274" xr:uid="{00000000-0005-0000-0000-000083180000}"/>
    <cellStyle name="Total 2 2 4 3 2 3" xfId="6275" xr:uid="{00000000-0005-0000-0000-000084180000}"/>
    <cellStyle name="Total 2 2 4 3 2 3 2" xfId="6276" xr:uid="{00000000-0005-0000-0000-000085180000}"/>
    <cellStyle name="Total 2 2 4 3 2 4" xfId="6277" xr:uid="{00000000-0005-0000-0000-000086180000}"/>
    <cellStyle name="Total 2 2 4 3 3" xfId="6278" xr:uid="{00000000-0005-0000-0000-000087180000}"/>
    <cellStyle name="Total 2 2 4 3 3 2" xfId="6279" xr:uid="{00000000-0005-0000-0000-000088180000}"/>
    <cellStyle name="Total 2 2 4 3 3 2 2" xfId="6280" xr:uid="{00000000-0005-0000-0000-000089180000}"/>
    <cellStyle name="Total 2 2 4 3 3 3" xfId="6281" xr:uid="{00000000-0005-0000-0000-00008A180000}"/>
    <cellStyle name="Total 2 2 4 3 3 4" xfId="6282" xr:uid="{00000000-0005-0000-0000-00008B180000}"/>
    <cellStyle name="Total 2 2 4 3 4" xfId="6283" xr:uid="{00000000-0005-0000-0000-00008C180000}"/>
    <cellStyle name="Total 2 2 4 3 4 2" xfId="6284" xr:uid="{00000000-0005-0000-0000-00008D180000}"/>
    <cellStyle name="Total 2 2 4 3 4 2 2" xfId="6285" xr:uid="{00000000-0005-0000-0000-00008E180000}"/>
    <cellStyle name="Total 2 2 4 3 4 3" xfId="6286" xr:uid="{00000000-0005-0000-0000-00008F180000}"/>
    <cellStyle name="Total 2 2 4 3 5" xfId="6287" xr:uid="{00000000-0005-0000-0000-000090180000}"/>
    <cellStyle name="Total 2 2 4 3 5 2" xfId="6288" xr:uid="{00000000-0005-0000-0000-000091180000}"/>
    <cellStyle name="Total 2 2 4 3 6" xfId="6289" xr:uid="{00000000-0005-0000-0000-000092180000}"/>
    <cellStyle name="Total 2 2 4 4" xfId="6290" xr:uid="{00000000-0005-0000-0000-000093180000}"/>
    <cellStyle name="Total 2 2 4 4 2" xfId="6291" xr:uid="{00000000-0005-0000-0000-000094180000}"/>
    <cellStyle name="Total 2 2 4 4 2 2" xfId="6292" xr:uid="{00000000-0005-0000-0000-000095180000}"/>
    <cellStyle name="Total 2 2 4 4 2 2 2" xfId="6293" xr:uid="{00000000-0005-0000-0000-000096180000}"/>
    <cellStyle name="Total 2 2 4 4 2 3" xfId="6294" xr:uid="{00000000-0005-0000-0000-000097180000}"/>
    <cellStyle name="Total 2 2 4 4 3" xfId="6295" xr:uid="{00000000-0005-0000-0000-000098180000}"/>
    <cellStyle name="Total 2 2 4 4 3 2" xfId="6296" xr:uid="{00000000-0005-0000-0000-000099180000}"/>
    <cellStyle name="Total 2 2 4 4 4" xfId="6297" xr:uid="{00000000-0005-0000-0000-00009A180000}"/>
    <cellStyle name="Total 2 2 4 5" xfId="6298" xr:uid="{00000000-0005-0000-0000-00009B180000}"/>
    <cellStyle name="Total 2 2 4 5 2" xfId="6299" xr:uid="{00000000-0005-0000-0000-00009C180000}"/>
    <cellStyle name="Total 2 2 4 5 2 2" xfId="6300" xr:uid="{00000000-0005-0000-0000-00009D180000}"/>
    <cellStyle name="Total 2 2 4 5 3" xfId="6301" xr:uid="{00000000-0005-0000-0000-00009E180000}"/>
    <cellStyle name="Total 2 2 4 5 4" xfId="6302" xr:uid="{00000000-0005-0000-0000-00009F180000}"/>
    <cellStyle name="Total 2 2 4 6" xfId="6303" xr:uid="{00000000-0005-0000-0000-0000A0180000}"/>
    <cellStyle name="Total 2 2 4 6 2" xfId="6304" xr:uid="{00000000-0005-0000-0000-0000A1180000}"/>
    <cellStyle name="Total 2 2 4 6 2 2" xfId="6305" xr:uid="{00000000-0005-0000-0000-0000A2180000}"/>
    <cellStyle name="Total 2 2 4 6 3" xfId="6306" xr:uid="{00000000-0005-0000-0000-0000A3180000}"/>
    <cellStyle name="Total 2 2 4 7" xfId="6307" xr:uid="{00000000-0005-0000-0000-0000A4180000}"/>
    <cellStyle name="Total 2 2 4 7 2" xfId="6308" xr:uid="{00000000-0005-0000-0000-0000A5180000}"/>
    <cellStyle name="Total 2 2 4 8" xfId="6309" xr:uid="{00000000-0005-0000-0000-0000A6180000}"/>
    <cellStyle name="Total 2 2 5" xfId="6310" xr:uid="{00000000-0005-0000-0000-0000A7180000}"/>
    <cellStyle name="Total 2 2 5 2" xfId="6311" xr:uid="{00000000-0005-0000-0000-0000A8180000}"/>
    <cellStyle name="Total 2 2 5 2 2" xfId="6312" xr:uid="{00000000-0005-0000-0000-0000A9180000}"/>
    <cellStyle name="Total 2 2 5 2 2 2" xfId="6313" xr:uid="{00000000-0005-0000-0000-0000AA180000}"/>
    <cellStyle name="Total 2 2 5 2 2 2 2" xfId="6314" xr:uid="{00000000-0005-0000-0000-0000AB180000}"/>
    <cellStyle name="Total 2 2 5 2 2 3" xfId="6315" xr:uid="{00000000-0005-0000-0000-0000AC180000}"/>
    <cellStyle name="Total 2 2 5 2 3" xfId="6316" xr:uid="{00000000-0005-0000-0000-0000AD180000}"/>
    <cellStyle name="Total 2 2 5 2 3 2" xfId="6317" xr:uid="{00000000-0005-0000-0000-0000AE180000}"/>
    <cellStyle name="Total 2 2 5 2 4" xfId="6318" xr:uid="{00000000-0005-0000-0000-0000AF180000}"/>
    <cellStyle name="Total 2 2 5 3" xfId="6319" xr:uid="{00000000-0005-0000-0000-0000B0180000}"/>
    <cellStyle name="Total 2 2 5 3 2" xfId="6320" xr:uid="{00000000-0005-0000-0000-0000B1180000}"/>
    <cellStyle name="Total 2 2 5 3 2 2" xfId="6321" xr:uid="{00000000-0005-0000-0000-0000B2180000}"/>
    <cellStyle name="Total 2 2 5 3 3" xfId="6322" xr:uid="{00000000-0005-0000-0000-0000B3180000}"/>
    <cellStyle name="Total 2 2 5 3 4" xfId="6323" xr:uid="{00000000-0005-0000-0000-0000B4180000}"/>
    <cellStyle name="Total 2 2 5 4" xfId="6324" xr:uid="{00000000-0005-0000-0000-0000B5180000}"/>
    <cellStyle name="Total 2 2 5 4 2" xfId="6325" xr:uid="{00000000-0005-0000-0000-0000B6180000}"/>
    <cellStyle name="Total 2 2 5 4 2 2" xfId="6326" xr:uid="{00000000-0005-0000-0000-0000B7180000}"/>
    <cellStyle name="Total 2 2 5 4 3" xfId="6327" xr:uid="{00000000-0005-0000-0000-0000B8180000}"/>
    <cellStyle name="Total 2 2 5 5" xfId="6328" xr:uid="{00000000-0005-0000-0000-0000B9180000}"/>
    <cellStyle name="Total 2 2 5 5 2" xfId="6329" xr:uid="{00000000-0005-0000-0000-0000BA180000}"/>
    <cellStyle name="Total 2 2 5 6" xfId="6330" xr:uid="{00000000-0005-0000-0000-0000BB180000}"/>
    <cellStyle name="Total 2 3" xfId="6331" xr:uid="{00000000-0005-0000-0000-0000BC180000}"/>
    <cellStyle name="Total 2 3 2" xfId="6332" xr:uid="{00000000-0005-0000-0000-0000BD180000}"/>
    <cellStyle name="Total 2 3 2 2" xfId="6333" xr:uid="{00000000-0005-0000-0000-0000BE180000}"/>
    <cellStyle name="Total 2 3 2 2 2" xfId="6334" xr:uid="{00000000-0005-0000-0000-0000BF180000}"/>
    <cellStyle name="Total 2 3 2 2 2 2" xfId="6335" xr:uid="{00000000-0005-0000-0000-0000C0180000}"/>
    <cellStyle name="Total 2 3 2 2 2 2 2" xfId="6336" xr:uid="{00000000-0005-0000-0000-0000C1180000}"/>
    <cellStyle name="Total 2 3 2 2 2 2 2 2" xfId="6337" xr:uid="{00000000-0005-0000-0000-0000C2180000}"/>
    <cellStyle name="Total 2 3 2 2 2 2 3" xfId="6338" xr:uid="{00000000-0005-0000-0000-0000C3180000}"/>
    <cellStyle name="Total 2 3 2 2 2 3" xfId="6339" xr:uid="{00000000-0005-0000-0000-0000C4180000}"/>
    <cellStyle name="Total 2 3 2 2 2 3 2" xfId="6340" xr:uid="{00000000-0005-0000-0000-0000C5180000}"/>
    <cellStyle name="Total 2 3 2 2 2 4" xfId="6341" xr:uid="{00000000-0005-0000-0000-0000C6180000}"/>
    <cellStyle name="Total 2 3 2 2 3" xfId="6342" xr:uid="{00000000-0005-0000-0000-0000C7180000}"/>
    <cellStyle name="Total 2 3 2 2 3 2" xfId="6343" xr:uid="{00000000-0005-0000-0000-0000C8180000}"/>
    <cellStyle name="Total 2 3 2 2 3 2 2" xfId="6344" xr:uid="{00000000-0005-0000-0000-0000C9180000}"/>
    <cellStyle name="Total 2 3 2 2 3 3" xfId="6345" xr:uid="{00000000-0005-0000-0000-0000CA180000}"/>
    <cellStyle name="Total 2 3 2 2 3 4" xfId="6346" xr:uid="{00000000-0005-0000-0000-0000CB180000}"/>
    <cellStyle name="Total 2 3 2 2 4" xfId="6347" xr:uid="{00000000-0005-0000-0000-0000CC180000}"/>
    <cellStyle name="Total 2 3 2 2 4 2" xfId="6348" xr:uid="{00000000-0005-0000-0000-0000CD180000}"/>
    <cellStyle name="Total 2 3 2 2 4 2 2" xfId="6349" xr:uid="{00000000-0005-0000-0000-0000CE180000}"/>
    <cellStyle name="Total 2 3 2 2 4 3" xfId="6350" xr:uid="{00000000-0005-0000-0000-0000CF180000}"/>
    <cellStyle name="Total 2 3 2 2 5" xfId="6351" xr:uid="{00000000-0005-0000-0000-0000D0180000}"/>
    <cellStyle name="Total 2 3 2 2 5 2" xfId="6352" xr:uid="{00000000-0005-0000-0000-0000D1180000}"/>
    <cellStyle name="Total 2 3 2 2 6" xfId="6353" xr:uid="{00000000-0005-0000-0000-0000D2180000}"/>
    <cellStyle name="Total 2 3 2 3" xfId="6354" xr:uid="{00000000-0005-0000-0000-0000D3180000}"/>
    <cellStyle name="Total 2 3 2 3 2" xfId="6355" xr:uid="{00000000-0005-0000-0000-0000D4180000}"/>
    <cellStyle name="Total 2 3 2 3 2 2" xfId="6356" xr:uid="{00000000-0005-0000-0000-0000D5180000}"/>
    <cellStyle name="Total 2 3 2 3 2 2 2" xfId="6357" xr:uid="{00000000-0005-0000-0000-0000D6180000}"/>
    <cellStyle name="Total 2 3 2 3 2 2 2 2" xfId="6358" xr:uid="{00000000-0005-0000-0000-0000D7180000}"/>
    <cellStyle name="Total 2 3 2 3 2 2 3" xfId="6359" xr:uid="{00000000-0005-0000-0000-0000D8180000}"/>
    <cellStyle name="Total 2 3 2 3 2 3" xfId="6360" xr:uid="{00000000-0005-0000-0000-0000D9180000}"/>
    <cellStyle name="Total 2 3 2 3 2 3 2" xfId="6361" xr:uid="{00000000-0005-0000-0000-0000DA180000}"/>
    <cellStyle name="Total 2 3 2 3 2 4" xfId="6362" xr:uid="{00000000-0005-0000-0000-0000DB180000}"/>
    <cellStyle name="Total 2 3 2 3 3" xfId="6363" xr:uid="{00000000-0005-0000-0000-0000DC180000}"/>
    <cellStyle name="Total 2 3 2 3 3 2" xfId="6364" xr:uid="{00000000-0005-0000-0000-0000DD180000}"/>
    <cellStyle name="Total 2 3 2 3 3 2 2" xfId="6365" xr:uid="{00000000-0005-0000-0000-0000DE180000}"/>
    <cellStyle name="Total 2 3 2 3 3 3" xfId="6366" xr:uid="{00000000-0005-0000-0000-0000DF180000}"/>
    <cellStyle name="Total 2 3 2 3 3 4" xfId="6367" xr:uid="{00000000-0005-0000-0000-0000E0180000}"/>
    <cellStyle name="Total 2 3 2 3 4" xfId="6368" xr:uid="{00000000-0005-0000-0000-0000E1180000}"/>
    <cellStyle name="Total 2 3 2 3 4 2" xfId="6369" xr:uid="{00000000-0005-0000-0000-0000E2180000}"/>
    <cellStyle name="Total 2 3 2 3 4 2 2" xfId="6370" xr:uid="{00000000-0005-0000-0000-0000E3180000}"/>
    <cellStyle name="Total 2 3 2 3 4 3" xfId="6371" xr:uid="{00000000-0005-0000-0000-0000E4180000}"/>
    <cellStyle name="Total 2 3 2 3 5" xfId="6372" xr:uid="{00000000-0005-0000-0000-0000E5180000}"/>
    <cellStyle name="Total 2 3 2 3 5 2" xfId="6373" xr:uid="{00000000-0005-0000-0000-0000E6180000}"/>
    <cellStyle name="Total 2 3 2 3 6" xfId="6374" xr:uid="{00000000-0005-0000-0000-0000E7180000}"/>
    <cellStyle name="Total 2 3 2 4" xfId="6375" xr:uid="{00000000-0005-0000-0000-0000E8180000}"/>
    <cellStyle name="Total 2 3 2 4 2" xfId="6376" xr:uid="{00000000-0005-0000-0000-0000E9180000}"/>
    <cellStyle name="Total 2 3 2 4 2 2" xfId="6377" xr:uid="{00000000-0005-0000-0000-0000EA180000}"/>
    <cellStyle name="Total 2 3 2 4 2 2 2" xfId="6378" xr:uid="{00000000-0005-0000-0000-0000EB180000}"/>
    <cellStyle name="Total 2 3 2 4 2 2 2 2" xfId="6379" xr:uid="{00000000-0005-0000-0000-0000EC180000}"/>
    <cellStyle name="Total 2 3 2 4 2 2 3" xfId="6380" xr:uid="{00000000-0005-0000-0000-0000ED180000}"/>
    <cellStyle name="Total 2 3 2 4 2 3" xfId="6381" xr:uid="{00000000-0005-0000-0000-0000EE180000}"/>
    <cellStyle name="Total 2 3 2 4 2 3 2" xfId="6382" xr:uid="{00000000-0005-0000-0000-0000EF180000}"/>
    <cellStyle name="Total 2 3 2 4 2 4" xfId="6383" xr:uid="{00000000-0005-0000-0000-0000F0180000}"/>
    <cellStyle name="Total 2 3 2 4 3" xfId="6384" xr:uid="{00000000-0005-0000-0000-0000F1180000}"/>
    <cellStyle name="Total 2 3 2 4 3 2" xfId="6385" xr:uid="{00000000-0005-0000-0000-0000F2180000}"/>
    <cellStyle name="Total 2 3 2 4 3 2 2" xfId="6386" xr:uid="{00000000-0005-0000-0000-0000F3180000}"/>
    <cellStyle name="Total 2 3 2 4 3 3" xfId="6387" xr:uid="{00000000-0005-0000-0000-0000F4180000}"/>
    <cellStyle name="Total 2 3 2 4 3 4" xfId="6388" xr:uid="{00000000-0005-0000-0000-0000F5180000}"/>
    <cellStyle name="Total 2 3 2 4 4" xfId="6389" xr:uid="{00000000-0005-0000-0000-0000F6180000}"/>
    <cellStyle name="Total 2 3 2 4 4 2" xfId="6390" xr:uid="{00000000-0005-0000-0000-0000F7180000}"/>
    <cellStyle name="Total 2 3 2 4 4 2 2" xfId="6391" xr:uid="{00000000-0005-0000-0000-0000F8180000}"/>
    <cellStyle name="Total 2 3 2 4 4 3" xfId="6392" xr:uid="{00000000-0005-0000-0000-0000F9180000}"/>
    <cellStyle name="Total 2 3 2 4 5" xfId="6393" xr:uid="{00000000-0005-0000-0000-0000FA180000}"/>
    <cellStyle name="Total 2 3 2 4 5 2" xfId="6394" xr:uid="{00000000-0005-0000-0000-0000FB180000}"/>
    <cellStyle name="Total 2 3 2 4 6" xfId="6395" xr:uid="{00000000-0005-0000-0000-0000FC180000}"/>
    <cellStyle name="Total 2 3 2 5" xfId="6396" xr:uid="{00000000-0005-0000-0000-0000FD180000}"/>
    <cellStyle name="Total 2 3 2 5 2" xfId="6397" xr:uid="{00000000-0005-0000-0000-0000FE180000}"/>
    <cellStyle name="Total 2 3 3" xfId="6398" xr:uid="{00000000-0005-0000-0000-0000FF180000}"/>
    <cellStyle name="Total 2 3 3 2" xfId="6399" xr:uid="{00000000-0005-0000-0000-000000190000}"/>
    <cellStyle name="Total 2 3 3 2 2" xfId="6400" xr:uid="{00000000-0005-0000-0000-000001190000}"/>
    <cellStyle name="Total 2 3 3 2 2 2" xfId="6401" xr:uid="{00000000-0005-0000-0000-000002190000}"/>
    <cellStyle name="Total 2 3 3 2 2 2 2" xfId="6402" xr:uid="{00000000-0005-0000-0000-000003190000}"/>
    <cellStyle name="Total 2 3 3 2 2 3" xfId="6403" xr:uid="{00000000-0005-0000-0000-000004190000}"/>
    <cellStyle name="Total 2 3 3 2 3" xfId="6404" xr:uid="{00000000-0005-0000-0000-000005190000}"/>
    <cellStyle name="Total 2 3 3 2 3 2" xfId="6405" xr:uid="{00000000-0005-0000-0000-000006190000}"/>
    <cellStyle name="Total 2 3 3 2 4" xfId="6406" xr:uid="{00000000-0005-0000-0000-000007190000}"/>
    <cellStyle name="Total 2 3 3 3" xfId="6407" xr:uid="{00000000-0005-0000-0000-000008190000}"/>
    <cellStyle name="Total 2 3 3 3 2" xfId="6408" xr:uid="{00000000-0005-0000-0000-000009190000}"/>
    <cellStyle name="Total 2 3 3 3 2 2" xfId="6409" xr:uid="{00000000-0005-0000-0000-00000A190000}"/>
    <cellStyle name="Total 2 3 3 3 3" xfId="6410" xr:uid="{00000000-0005-0000-0000-00000B190000}"/>
    <cellStyle name="Total 2 3 3 3 4" xfId="6411" xr:uid="{00000000-0005-0000-0000-00000C190000}"/>
    <cellStyle name="Total 2 3 3 4" xfId="6412" xr:uid="{00000000-0005-0000-0000-00000D190000}"/>
    <cellStyle name="Total 2 3 3 4 2" xfId="6413" xr:uid="{00000000-0005-0000-0000-00000E190000}"/>
    <cellStyle name="Total 2 3 3 4 2 2" xfId="6414" xr:uid="{00000000-0005-0000-0000-00000F190000}"/>
    <cellStyle name="Total 2 3 3 4 3" xfId="6415" xr:uid="{00000000-0005-0000-0000-000010190000}"/>
    <cellStyle name="Total 2 3 3 5" xfId="6416" xr:uid="{00000000-0005-0000-0000-000011190000}"/>
    <cellStyle name="Total 2 3 3 5 2" xfId="6417" xr:uid="{00000000-0005-0000-0000-000012190000}"/>
    <cellStyle name="Total 2 3 3 6" xfId="6418" xr:uid="{00000000-0005-0000-0000-000013190000}"/>
    <cellStyle name="Total 2 3 4" xfId="6419" xr:uid="{00000000-0005-0000-0000-000014190000}"/>
    <cellStyle name="Total 2 3 4 2" xfId="6420" xr:uid="{00000000-0005-0000-0000-000015190000}"/>
    <cellStyle name="Total 2 3 4 2 2" xfId="6421" xr:uid="{00000000-0005-0000-0000-000016190000}"/>
    <cellStyle name="Total 2 3 4 2 2 2" xfId="6422" xr:uid="{00000000-0005-0000-0000-000017190000}"/>
    <cellStyle name="Total 2 3 4 2 2 2 2" xfId="6423" xr:uid="{00000000-0005-0000-0000-000018190000}"/>
    <cellStyle name="Total 2 3 4 2 2 3" xfId="6424" xr:uid="{00000000-0005-0000-0000-000019190000}"/>
    <cellStyle name="Total 2 3 4 2 3" xfId="6425" xr:uid="{00000000-0005-0000-0000-00001A190000}"/>
    <cellStyle name="Total 2 3 4 2 3 2" xfId="6426" xr:uid="{00000000-0005-0000-0000-00001B190000}"/>
    <cellStyle name="Total 2 3 4 2 4" xfId="6427" xr:uid="{00000000-0005-0000-0000-00001C190000}"/>
    <cellStyle name="Total 2 3 4 3" xfId="6428" xr:uid="{00000000-0005-0000-0000-00001D190000}"/>
    <cellStyle name="Total 2 3 4 3 2" xfId="6429" xr:uid="{00000000-0005-0000-0000-00001E190000}"/>
    <cellStyle name="Total 2 3 4 3 2 2" xfId="6430" xr:uid="{00000000-0005-0000-0000-00001F190000}"/>
    <cellStyle name="Total 2 3 4 3 3" xfId="6431" xr:uid="{00000000-0005-0000-0000-000020190000}"/>
    <cellStyle name="Total 2 3 4 3 4" xfId="6432" xr:uid="{00000000-0005-0000-0000-000021190000}"/>
    <cellStyle name="Total 2 3 4 4" xfId="6433" xr:uid="{00000000-0005-0000-0000-000022190000}"/>
    <cellStyle name="Total 2 3 4 4 2" xfId="6434" xr:uid="{00000000-0005-0000-0000-000023190000}"/>
    <cellStyle name="Total 2 3 4 4 2 2" xfId="6435" xr:uid="{00000000-0005-0000-0000-000024190000}"/>
    <cellStyle name="Total 2 3 4 4 3" xfId="6436" xr:uid="{00000000-0005-0000-0000-000025190000}"/>
    <cellStyle name="Total 2 3 4 5" xfId="6437" xr:uid="{00000000-0005-0000-0000-000026190000}"/>
    <cellStyle name="Total 2 3 4 5 2" xfId="6438" xr:uid="{00000000-0005-0000-0000-000027190000}"/>
    <cellStyle name="Total 2 3 4 6" xfId="6439" xr:uid="{00000000-0005-0000-0000-000028190000}"/>
    <cellStyle name="Total 2 3 5" xfId="6440" xr:uid="{00000000-0005-0000-0000-000029190000}"/>
    <cellStyle name="Total 2 3 5 2" xfId="6441" xr:uid="{00000000-0005-0000-0000-00002A190000}"/>
    <cellStyle name="Total 2 3 5 2 2" xfId="6442" xr:uid="{00000000-0005-0000-0000-00002B190000}"/>
    <cellStyle name="Total 2 3 5 2 2 2" xfId="6443" xr:uid="{00000000-0005-0000-0000-00002C190000}"/>
    <cellStyle name="Total 2 3 5 2 2 2 2" xfId="6444" xr:uid="{00000000-0005-0000-0000-00002D190000}"/>
    <cellStyle name="Total 2 3 5 2 2 3" xfId="6445" xr:uid="{00000000-0005-0000-0000-00002E190000}"/>
    <cellStyle name="Total 2 3 5 2 3" xfId="6446" xr:uid="{00000000-0005-0000-0000-00002F190000}"/>
    <cellStyle name="Total 2 3 5 2 3 2" xfId="6447" xr:uid="{00000000-0005-0000-0000-000030190000}"/>
    <cellStyle name="Total 2 3 5 2 4" xfId="6448" xr:uid="{00000000-0005-0000-0000-000031190000}"/>
    <cellStyle name="Total 2 3 5 3" xfId="6449" xr:uid="{00000000-0005-0000-0000-000032190000}"/>
    <cellStyle name="Total 2 3 5 3 2" xfId="6450" xr:uid="{00000000-0005-0000-0000-000033190000}"/>
    <cellStyle name="Total 2 3 5 3 2 2" xfId="6451" xr:uid="{00000000-0005-0000-0000-000034190000}"/>
    <cellStyle name="Total 2 3 5 3 3" xfId="6452" xr:uid="{00000000-0005-0000-0000-000035190000}"/>
    <cellStyle name="Total 2 3 5 3 4" xfId="6453" xr:uid="{00000000-0005-0000-0000-000036190000}"/>
    <cellStyle name="Total 2 3 5 4" xfId="6454" xr:uid="{00000000-0005-0000-0000-000037190000}"/>
    <cellStyle name="Total 2 3 5 4 2" xfId="6455" xr:uid="{00000000-0005-0000-0000-000038190000}"/>
    <cellStyle name="Total 2 3 5 4 2 2" xfId="6456" xr:uid="{00000000-0005-0000-0000-000039190000}"/>
    <cellStyle name="Total 2 3 5 4 3" xfId="6457" xr:uid="{00000000-0005-0000-0000-00003A190000}"/>
    <cellStyle name="Total 2 3 5 5" xfId="6458" xr:uid="{00000000-0005-0000-0000-00003B190000}"/>
    <cellStyle name="Total 2 3 5 5 2" xfId="6459" xr:uid="{00000000-0005-0000-0000-00003C190000}"/>
    <cellStyle name="Total 2 3 5 6" xfId="6460" xr:uid="{00000000-0005-0000-0000-00003D190000}"/>
    <cellStyle name="Total 2 3 6" xfId="6461" xr:uid="{00000000-0005-0000-0000-00003E190000}"/>
    <cellStyle name="Total 2 3 6 2" xfId="6462" xr:uid="{00000000-0005-0000-0000-00003F190000}"/>
    <cellStyle name="Total 2 4" xfId="6463" xr:uid="{00000000-0005-0000-0000-000040190000}"/>
    <cellStyle name="Total 2 4 2" xfId="6464" xr:uid="{00000000-0005-0000-0000-000041190000}"/>
    <cellStyle name="Total 2 4 2 2" xfId="6465" xr:uid="{00000000-0005-0000-0000-000042190000}"/>
    <cellStyle name="Total 2 4 2 2 2" xfId="6466" xr:uid="{00000000-0005-0000-0000-000043190000}"/>
    <cellStyle name="Total 2 4 2 2 2 2" xfId="6467" xr:uid="{00000000-0005-0000-0000-000044190000}"/>
    <cellStyle name="Total 2 4 2 2 2 2 2" xfId="6468" xr:uid="{00000000-0005-0000-0000-000045190000}"/>
    <cellStyle name="Total 2 4 2 2 2 3" xfId="6469" xr:uid="{00000000-0005-0000-0000-000046190000}"/>
    <cellStyle name="Total 2 4 2 2 3" xfId="6470" xr:uid="{00000000-0005-0000-0000-000047190000}"/>
    <cellStyle name="Total 2 4 2 2 3 2" xfId="6471" xr:uid="{00000000-0005-0000-0000-000048190000}"/>
    <cellStyle name="Total 2 4 2 2 4" xfId="6472" xr:uid="{00000000-0005-0000-0000-000049190000}"/>
    <cellStyle name="Total 2 4 2 3" xfId="6473" xr:uid="{00000000-0005-0000-0000-00004A190000}"/>
    <cellStyle name="Total 2 4 2 3 2" xfId="6474" xr:uid="{00000000-0005-0000-0000-00004B190000}"/>
    <cellStyle name="Total 2 4 2 3 2 2" xfId="6475" xr:uid="{00000000-0005-0000-0000-00004C190000}"/>
    <cellStyle name="Total 2 4 2 3 3" xfId="6476" xr:uid="{00000000-0005-0000-0000-00004D190000}"/>
    <cellStyle name="Total 2 4 2 3 4" xfId="6477" xr:uid="{00000000-0005-0000-0000-00004E190000}"/>
    <cellStyle name="Total 2 4 2 4" xfId="6478" xr:uid="{00000000-0005-0000-0000-00004F190000}"/>
    <cellStyle name="Total 2 4 2 4 2" xfId="6479" xr:uid="{00000000-0005-0000-0000-000050190000}"/>
    <cellStyle name="Total 2 4 2 4 2 2" xfId="6480" xr:uid="{00000000-0005-0000-0000-000051190000}"/>
    <cellStyle name="Total 2 4 2 4 3" xfId="6481" xr:uid="{00000000-0005-0000-0000-000052190000}"/>
    <cellStyle name="Total 2 4 2 5" xfId="6482" xr:uid="{00000000-0005-0000-0000-000053190000}"/>
    <cellStyle name="Total 2 4 2 5 2" xfId="6483" xr:uid="{00000000-0005-0000-0000-000054190000}"/>
    <cellStyle name="Total 2 4 2 6" xfId="6484" xr:uid="{00000000-0005-0000-0000-000055190000}"/>
    <cellStyle name="Total 2 4 3" xfId="6485" xr:uid="{00000000-0005-0000-0000-000056190000}"/>
    <cellStyle name="Total 2 4 3 2" xfId="6486" xr:uid="{00000000-0005-0000-0000-000057190000}"/>
    <cellStyle name="Total 2 4 3 2 2" xfId="6487" xr:uid="{00000000-0005-0000-0000-000058190000}"/>
    <cellStyle name="Total 2 4 3 2 2 2" xfId="6488" xr:uid="{00000000-0005-0000-0000-000059190000}"/>
    <cellStyle name="Total 2 4 3 2 2 2 2" xfId="6489" xr:uid="{00000000-0005-0000-0000-00005A190000}"/>
    <cellStyle name="Total 2 4 3 2 2 3" xfId="6490" xr:uid="{00000000-0005-0000-0000-00005B190000}"/>
    <cellStyle name="Total 2 4 3 2 3" xfId="6491" xr:uid="{00000000-0005-0000-0000-00005C190000}"/>
    <cellStyle name="Total 2 4 3 2 3 2" xfId="6492" xr:uid="{00000000-0005-0000-0000-00005D190000}"/>
    <cellStyle name="Total 2 4 3 2 4" xfId="6493" xr:uid="{00000000-0005-0000-0000-00005E190000}"/>
    <cellStyle name="Total 2 4 3 3" xfId="6494" xr:uid="{00000000-0005-0000-0000-00005F190000}"/>
    <cellStyle name="Total 2 4 3 3 2" xfId="6495" xr:uid="{00000000-0005-0000-0000-000060190000}"/>
    <cellStyle name="Total 2 4 3 3 2 2" xfId="6496" xr:uid="{00000000-0005-0000-0000-000061190000}"/>
    <cellStyle name="Total 2 4 3 3 3" xfId="6497" xr:uid="{00000000-0005-0000-0000-000062190000}"/>
    <cellStyle name="Total 2 4 3 3 4" xfId="6498" xr:uid="{00000000-0005-0000-0000-000063190000}"/>
    <cellStyle name="Total 2 4 3 4" xfId="6499" xr:uid="{00000000-0005-0000-0000-000064190000}"/>
    <cellStyle name="Total 2 4 3 4 2" xfId="6500" xr:uid="{00000000-0005-0000-0000-000065190000}"/>
    <cellStyle name="Total 2 4 3 4 2 2" xfId="6501" xr:uid="{00000000-0005-0000-0000-000066190000}"/>
    <cellStyle name="Total 2 4 3 4 3" xfId="6502" xr:uid="{00000000-0005-0000-0000-000067190000}"/>
    <cellStyle name="Total 2 4 3 5" xfId="6503" xr:uid="{00000000-0005-0000-0000-000068190000}"/>
    <cellStyle name="Total 2 4 3 5 2" xfId="6504" xr:uid="{00000000-0005-0000-0000-000069190000}"/>
    <cellStyle name="Total 2 4 3 6" xfId="6505" xr:uid="{00000000-0005-0000-0000-00006A190000}"/>
    <cellStyle name="Total 2 4 4" xfId="6506" xr:uid="{00000000-0005-0000-0000-00006B190000}"/>
    <cellStyle name="Total 2 4 4 2" xfId="6507" xr:uid="{00000000-0005-0000-0000-00006C190000}"/>
    <cellStyle name="Total 2 4 4 2 2" xfId="6508" xr:uid="{00000000-0005-0000-0000-00006D190000}"/>
    <cellStyle name="Total 2 4 4 2 2 2" xfId="6509" xr:uid="{00000000-0005-0000-0000-00006E190000}"/>
    <cellStyle name="Total 2 4 4 2 2 2 2" xfId="6510" xr:uid="{00000000-0005-0000-0000-00006F190000}"/>
    <cellStyle name="Total 2 4 4 2 2 3" xfId="6511" xr:uid="{00000000-0005-0000-0000-000070190000}"/>
    <cellStyle name="Total 2 4 4 2 3" xfId="6512" xr:uid="{00000000-0005-0000-0000-000071190000}"/>
    <cellStyle name="Total 2 4 4 2 3 2" xfId="6513" xr:uid="{00000000-0005-0000-0000-000072190000}"/>
    <cellStyle name="Total 2 4 4 2 4" xfId="6514" xr:uid="{00000000-0005-0000-0000-000073190000}"/>
    <cellStyle name="Total 2 4 4 3" xfId="6515" xr:uid="{00000000-0005-0000-0000-000074190000}"/>
    <cellStyle name="Total 2 4 4 3 2" xfId="6516" xr:uid="{00000000-0005-0000-0000-000075190000}"/>
    <cellStyle name="Total 2 4 4 3 2 2" xfId="6517" xr:uid="{00000000-0005-0000-0000-000076190000}"/>
    <cellStyle name="Total 2 4 4 3 3" xfId="6518" xr:uid="{00000000-0005-0000-0000-000077190000}"/>
    <cellStyle name="Total 2 4 4 3 4" xfId="6519" xr:uid="{00000000-0005-0000-0000-000078190000}"/>
    <cellStyle name="Total 2 4 4 4" xfId="6520" xr:uid="{00000000-0005-0000-0000-000079190000}"/>
    <cellStyle name="Total 2 4 4 4 2" xfId="6521" xr:uid="{00000000-0005-0000-0000-00007A190000}"/>
    <cellStyle name="Total 2 4 4 4 2 2" xfId="6522" xr:uid="{00000000-0005-0000-0000-00007B190000}"/>
    <cellStyle name="Total 2 4 4 4 3" xfId="6523" xr:uid="{00000000-0005-0000-0000-00007C190000}"/>
    <cellStyle name="Total 2 4 4 5" xfId="6524" xr:uid="{00000000-0005-0000-0000-00007D190000}"/>
    <cellStyle name="Total 2 4 4 5 2" xfId="6525" xr:uid="{00000000-0005-0000-0000-00007E190000}"/>
    <cellStyle name="Total 2 4 4 6" xfId="6526" xr:uid="{00000000-0005-0000-0000-00007F190000}"/>
    <cellStyle name="Total 2 4 5" xfId="6527" xr:uid="{00000000-0005-0000-0000-000080190000}"/>
    <cellStyle name="Total 2 4 5 2" xfId="6528" xr:uid="{00000000-0005-0000-0000-000081190000}"/>
    <cellStyle name="Total 2 5" xfId="6529" xr:uid="{00000000-0005-0000-0000-000082190000}"/>
    <cellStyle name="Total 2 5 2" xfId="6530" xr:uid="{00000000-0005-0000-0000-000083190000}"/>
    <cellStyle name="Total 2 5 2 2" xfId="6531" xr:uid="{00000000-0005-0000-0000-000084190000}"/>
    <cellStyle name="Total 2 5 2 2 2" xfId="6532" xr:uid="{00000000-0005-0000-0000-000085190000}"/>
    <cellStyle name="Total 2 5 2 2 2 2" xfId="6533" xr:uid="{00000000-0005-0000-0000-000086190000}"/>
    <cellStyle name="Total 2 5 2 2 2 2 2" xfId="6534" xr:uid="{00000000-0005-0000-0000-000087190000}"/>
    <cellStyle name="Total 2 5 2 2 2 3" xfId="6535" xr:uid="{00000000-0005-0000-0000-000088190000}"/>
    <cellStyle name="Total 2 5 2 2 3" xfId="6536" xr:uid="{00000000-0005-0000-0000-000089190000}"/>
    <cellStyle name="Total 2 5 2 2 3 2" xfId="6537" xr:uid="{00000000-0005-0000-0000-00008A190000}"/>
    <cellStyle name="Total 2 5 2 2 4" xfId="6538" xr:uid="{00000000-0005-0000-0000-00008B190000}"/>
    <cellStyle name="Total 2 5 2 3" xfId="6539" xr:uid="{00000000-0005-0000-0000-00008C190000}"/>
    <cellStyle name="Total 2 5 2 3 2" xfId="6540" xr:uid="{00000000-0005-0000-0000-00008D190000}"/>
    <cellStyle name="Total 2 5 2 3 2 2" xfId="6541" xr:uid="{00000000-0005-0000-0000-00008E190000}"/>
    <cellStyle name="Total 2 5 2 3 3" xfId="6542" xr:uid="{00000000-0005-0000-0000-00008F190000}"/>
    <cellStyle name="Total 2 5 2 3 4" xfId="6543" xr:uid="{00000000-0005-0000-0000-000090190000}"/>
    <cellStyle name="Total 2 5 2 4" xfId="6544" xr:uid="{00000000-0005-0000-0000-000091190000}"/>
    <cellStyle name="Total 2 5 2 4 2" xfId="6545" xr:uid="{00000000-0005-0000-0000-000092190000}"/>
    <cellStyle name="Total 2 5 2 4 2 2" xfId="6546" xr:uid="{00000000-0005-0000-0000-000093190000}"/>
    <cellStyle name="Total 2 5 2 4 3" xfId="6547" xr:uid="{00000000-0005-0000-0000-000094190000}"/>
    <cellStyle name="Total 2 5 2 5" xfId="6548" xr:uid="{00000000-0005-0000-0000-000095190000}"/>
    <cellStyle name="Total 2 5 2 5 2" xfId="6549" xr:uid="{00000000-0005-0000-0000-000096190000}"/>
    <cellStyle name="Total 2 5 2 6" xfId="6550" xr:uid="{00000000-0005-0000-0000-000097190000}"/>
    <cellStyle name="Total 2 5 3" xfId="6551" xr:uid="{00000000-0005-0000-0000-000098190000}"/>
    <cellStyle name="Total 2 5 3 2" xfId="6552" xr:uid="{00000000-0005-0000-0000-000099190000}"/>
    <cellStyle name="Total 2 5 3 2 2" xfId="6553" xr:uid="{00000000-0005-0000-0000-00009A190000}"/>
    <cellStyle name="Total 2 5 3 2 2 2" xfId="6554" xr:uid="{00000000-0005-0000-0000-00009B190000}"/>
    <cellStyle name="Total 2 5 3 2 2 2 2" xfId="6555" xr:uid="{00000000-0005-0000-0000-00009C190000}"/>
    <cellStyle name="Total 2 5 3 2 2 3" xfId="6556" xr:uid="{00000000-0005-0000-0000-00009D190000}"/>
    <cellStyle name="Total 2 5 3 2 3" xfId="6557" xr:uid="{00000000-0005-0000-0000-00009E190000}"/>
    <cellStyle name="Total 2 5 3 2 3 2" xfId="6558" xr:uid="{00000000-0005-0000-0000-00009F190000}"/>
    <cellStyle name="Total 2 5 3 2 4" xfId="6559" xr:uid="{00000000-0005-0000-0000-0000A0190000}"/>
    <cellStyle name="Total 2 5 3 3" xfId="6560" xr:uid="{00000000-0005-0000-0000-0000A1190000}"/>
    <cellStyle name="Total 2 5 3 3 2" xfId="6561" xr:uid="{00000000-0005-0000-0000-0000A2190000}"/>
    <cellStyle name="Total 2 5 3 3 2 2" xfId="6562" xr:uid="{00000000-0005-0000-0000-0000A3190000}"/>
    <cellStyle name="Total 2 5 3 3 3" xfId="6563" xr:uid="{00000000-0005-0000-0000-0000A4190000}"/>
    <cellStyle name="Total 2 5 3 3 4" xfId="6564" xr:uid="{00000000-0005-0000-0000-0000A5190000}"/>
    <cellStyle name="Total 2 5 3 4" xfId="6565" xr:uid="{00000000-0005-0000-0000-0000A6190000}"/>
    <cellStyle name="Total 2 5 3 4 2" xfId="6566" xr:uid="{00000000-0005-0000-0000-0000A7190000}"/>
    <cellStyle name="Total 2 5 3 4 2 2" xfId="6567" xr:uid="{00000000-0005-0000-0000-0000A8190000}"/>
    <cellStyle name="Total 2 5 3 4 3" xfId="6568" xr:uid="{00000000-0005-0000-0000-0000A9190000}"/>
    <cellStyle name="Total 2 5 3 5" xfId="6569" xr:uid="{00000000-0005-0000-0000-0000AA190000}"/>
    <cellStyle name="Total 2 5 3 5 2" xfId="6570" xr:uid="{00000000-0005-0000-0000-0000AB190000}"/>
    <cellStyle name="Total 2 5 3 6" xfId="6571" xr:uid="{00000000-0005-0000-0000-0000AC190000}"/>
    <cellStyle name="Total 2 5 4" xfId="6572" xr:uid="{00000000-0005-0000-0000-0000AD190000}"/>
    <cellStyle name="Total 2 5 4 2" xfId="6573" xr:uid="{00000000-0005-0000-0000-0000AE190000}"/>
    <cellStyle name="Total 2 5 4 2 2" xfId="6574" xr:uid="{00000000-0005-0000-0000-0000AF190000}"/>
    <cellStyle name="Total 2 5 4 2 2 2" xfId="6575" xr:uid="{00000000-0005-0000-0000-0000B0190000}"/>
    <cellStyle name="Total 2 5 4 2 3" xfId="6576" xr:uid="{00000000-0005-0000-0000-0000B1190000}"/>
    <cellStyle name="Total 2 5 4 3" xfId="6577" xr:uid="{00000000-0005-0000-0000-0000B2190000}"/>
    <cellStyle name="Total 2 5 4 3 2" xfId="6578" xr:uid="{00000000-0005-0000-0000-0000B3190000}"/>
    <cellStyle name="Total 2 5 4 4" xfId="6579" xr:uid="{00000000-0005-0000-0000-0000B4190000}"/>
    <cellStyle name="Total 2 5 5" xfId="6580" xr:uid="{00000000-0005-0000-0000-0000B5190000}"/>
    <cellStyle name="Total 2 5 5 2" xfId="6581" xr:uid="{00000000-0005-0000-0000-0000B6190000}"/>
    <cellStyle name="Total 2 5 5 2 2" xfId="6582" xr:uid="{00000000-0005-0000-0000-0000B7190000}"/>
    <cellStyle name="Total 2 5 5 3" xfId="6583" xr:uid="{00000000-0005-0000-0000-0000B8190000}"/>
    <cellStyle name="Total 2 5 5 4" xfId="6584" xr:uid="{00000000-0005-0000-0000-0000B9190000}"/>
    <cellStyle name="Total 2 5 6" xfId="6585" xr:uid="{00000000-0005-0000-0000-0000BA190000}"/>
    <cellStyle name="Total 2 5 6 2" xfId="6586" xr:uid="{00000000-0005-0000-0000-0000BB190000}"/>
    <cellStyle name="Total 2 5 6 2 2" xfId="6587" xr:uid="{00000000-0005-0000-0000-0000BC190000}"/>
    <cellStyle name="Total 2 5 6 3" xfId="6588" xr:uid="{00000000-0005-0000-0000-0000BD190000}"/>
    <cellStyle name="Total 2 5 7" xfId="6589" xr:uid="{00000000-0005-0000-0000-0000BE190000}"/>
    <cellStyle name="Total 2 5 7 2" xfId="6590" xr:uid="{00000000-0005-0000-0000-0000BF190000}"/>
    <cellStyle name="Total 2 5 8" xfId="6591" xr:uid="{00000000-0005-0000-0000-0000C0190000}"/>
    <cellStyle name="Total 2 6" xfId="6592" xr:uid="{00000000-0005-0000-0000-0000C1190000}"/>
    <cellStyle name="Total 2 6 2" xfId="6593" xr:uid="{00000000-0005-0000-0000-0000C2190000}"/>
    <cellStyle name="Total 2 6 2 2" xfId="6594" xr:uid="{00000000-0005-0000-0000-0000C3190000}"/>
    <cellStyle name="Total 2 6 2 2 2" xfId="6595" xr:uid="{00000000-0005-0000-0000-0000C4190000}"/>
    <cellStyle name="Total 2 6 2 2 2 2" xfId="6596" xr:uid="{00000000-0005-0000-0000-0000C5190000}"/>
    <cellStyle name="Total 2 6 2 2 3" xfId="6597" xr:uid="{00000000-0005-0000-0000-0000C6190000}"/>
    <cellStyle name="Total 2 6 2 3" xfId="6598" xr:uid="{00000000-0005-0000-0000-0000C7190000}"/>
    <cellStyle name="Total 2 6 2 3 2" xfId="6599" xr:uid="{00000000-0005-0000-0000-0000C8190000}"/>
    <cellStyle name="Total 2 6 2 4" xfId="6600" xr:uid="{00000000-0005-0000-0000-0000C9190000}"/>
    <cellStyle name="Total 2 6 3" xfId="6601" xr:uid="{00000000-0005-0000-0000-0000CA190000}"/>
    <cellStyle name="Total 2 6 3 2" xfId="6602" xr:uid="{00000000-0005-0000-0000-0000CB190000}"/>
    <cellStyle name="Total 2 6 3 2 2" xfId="6603" xr:uid="{00000000-0005-0000-0000-0000CC190000}"/>
    <cellStyle name="Total 2 6 3 3" xfId="6604" xr:uid="{00000000-0005-0000-0000-0000CD190000}"/>
    <cellStyle name="Total 2 6 3 4" xfId="6605" xr:uid="{00000000-0005-0000-0000-0000CE190000}"/>
    <cellStyle name="Total 2 6 4" xfId="6606" xr:uid="{00000000-0005-0000-0000-0000CF190000}"/>
    <cellStyle name="Total 2 6 4 2" xfId="6607" xr:uid="{00000000-0005-0000-0000-0000D0190000}"/>
    <cellStyle name="Total 2 6 4 2 2" xfId="6608" xr:uid="{00000000-0005-0000-0000-0000D1190000}"/>
    <cellStyle name="Total 2 6 4 3" xfId="6609" xr:uid="{00000000-0005-0000-0000-0000D2190000}"/>
    <cellStyle name="Total 2 6 5" xfId="6610" xr:uid="{00000000-0005-0000-0000-0000D3190000}"/>
    <cellStyle name="Total 2 6 5 2" xfId="6611" xr:uid="{00000000-0005-0000-0000-0000D4190000}"/>
    <cellStyle name="Total 2 6 6" xfId="6612" xr:uid="{00000000-0005-0000-0000-0000D5190000}"/>
    <cellStyle name="Total 3" xfId="6613" xr:uid="{00000000-0005-0000-0000-0000D6190000}"/>
    <cellStyle name="Total 3 2" xfId="6614" xr:uid="{00000000-0005-0000-0000-0000D7190000}"/>
    <cellStyle name="Total 3 2 2" xfId="6615" xr:uid="{00000000-0005-0000-0000-0000D8190000}"/>
    <cellStyle name="Total 3 2 2 2" xfId="6616" xr:uid="{00000000-0005-0000-0000-0000D9190000}"/>
    <cellStyle name="Total 3 2 2 2 2" xfId="6617" xr:uid="{00000000-0005-0000-0000-0000DA190000}"/>
    <cellStyle name="Total 3 2 2 2 2 2" xfId="6618" xr:uid="{00000000-0005-0000-0000-0000DB190000}"/>
    <cellStyle name="Total 3 2 2 2 2 2 2" xfId="6619" xr:uid="{00000000-0005-0000-0000-0000DC190000}"/>
    <cellStyle name="Total 3 2 2 2 2 2 2 2" xfId="6620" xr:uid="{00000000-0005-0000-0000-0000DD190000}"/>
    <cellStyle name="Total 3 2 2 2 2 2 3" xfId="6621" xr:uid="{00000000-0005-0000-0000-0000DE190000}"/>
    <cellStyle name="Total 3 2 2 2 2 3" xfId="6622" xr:uid="{00000000-0005-0000-0000-0000DF190000}"/>
    <cellStyle name="Total 3 2 2 2 2 3 2" xfId="6623" xr:uid="{00000000-0005-0000-0000-0000E0190000}"/>
    <cellStyle name="Total 3 2 2 2 2 4" xfId="6624" xr:uid="{00000000-0005-0000-0000-0000E1190000}"/>
    <cellStyle name="Total 3 2 2 2 3" xfId="6625" xr:uid="{00000000-0005-0000-0000-0000E2190000}"/>
    <cellStyle name="Total 3 2 2 2 3 2" xfId="6626" xr:uid="{00000000-0005-0000-0000-0000E3190000}"/>
    <cellStyle name="Total 3 2 2 2 3 2 2" xfId="6627" xr:uid="{00000000-0005-0000-0000-0000E4190000}"/>
    <cellStyle name="Total 3 2 2 2 3 3" xfId="6628" xr:uid="{00000000-0005-0000-0000-0000E5190000}"/>
    <cellStyle name="Total 3 2 2 2 3 4" xfId="6629" xr:uid="{00000000-0005-0000-0000-0000E6190000}"/>
    <cellStyle name="Total 3 2 2 2 4" xfId="6630" xr:uid="{00000000-0005-0000-0000-0000E7190000}"/>
    <cellStyle name="Total 3 2 2 2 4 2" xfId="6631" xr:uid="{00000000-0005-0000-0000-0000E8190000}"/>
    <cellStyle name="Total 3 2 2 2 4 2 2" xfId="6632" xr:uid="{00000000-0005-0000-0000-0000E9190000}"/>
    <cellStyle name="Total 3 2 2 2 4 3" xfId="6633" xr:uid="{00000000-0005-0000-0000-0000EA190000}"/>
    <cellStyle name="Total 3 2 2 2 5" xfId="6634" xr:uid="{00000000-0005-0000-0000-0000EB190000}"/>
    <cellStyle name="Total 3 2 2 2 5 2" xfId="6635" xr:uid="{00000000-0005-0000-0000-0000EC190000}"/>
    <cellStyle name="Total 3 2 2 2 6" xfId="6636" xr:uid="{00000000-0005-0000-0000-0000ED190000}"/>
    <cellStyle name="Total 3 2 2 3" xfId="6637" xr:uid="{00000000-0005-0000-0000-0000EE190000}"/>
    <cellStyle name="Total 3 2 2 3 2" xfId="6638" xr:uid="{00000000-0005-0000-0000-0000EF190000}"/>
    <cellStyle name="Total 3 2 2 3 2 2" xfId="6639" xr:uid="{00000000-0005-0000-0000-0000F0190000}"/>
    <cellStyle name="Total 3 2 2 3 2 2 2" xfId="6640" xr:uid="{00000000-0005-0000-0000-0000F1190000}"/>
    <cellStyle name="Total 3 2 2 3 2 2 2 2" xfId="6641" xr:uid="{00000000-0005-0000-0000-0000F2190000}"/>
    <cellStyle name="Total 3 2 2 3 2 2 3" xfId="6642" xr:uid="{00000000-0005-0000-0000-0000F3190000}"/>
    <cellStyle name="Total 3 2 2 3 2 3" xfId="6643" xr:uid="{00000000-0005-0000-0000-0000F4190000}"/>
    <cellStyle name="Total 3 2 2 3 2 3 2" xfId="6644" xr:uid="{00000000-0005-0000-0000-0000F5190000}"/>
    <cellStyle name="Total 3 2 2 3 2 4" xfId="6645" xr:uid="{00000000-0005-0000-0000-0000F6190000}"/>
    <cellStyle name="Total 3 2 2 3 3" xfId="6646" xr:uid="{00000000-0005-0000-0000-0000F7190000}"/>
    <cellStyle name="Total 3 2 2 3 3 2" xfId="6647" xr:uid="{00000000-0005-0000-0000-0000F8190000}"/>
    <cellStyle name="Total 3 2 2 3 3 2 2" xfId="6648" xr:uid="{00000000-0005-0000-0000-0000F9190000}"/>
    <cellStyle name="Total 3 2 2 3 3 3" xfId="6649" xr:uid="{00000000-0005-0000-0000-0000FA190000}"/>
    <cellStyle name="Total 3 2 2 3 3 4" xfId="6650" xr:uid="{00000000-0005-0000-0000-0000FB190000}"/>
    <cellStyle name="Total 3 2 2 3 4" xfId="6651" xr:uid="{00000000-0005-0000-0000-0000FC190000}"/>
    <cellStyle name="Total 3 2 2 3 4 2" xfId="6652" xr:uid="{00000000-0005-0000-0000-0000FD190000}"/>
    <cellStyle name="Total 3 2 2 3 4 2 2" xfId="6653" xr:uid="{00000000-0005-0000-0000-0000FE190000}"/>
    <cellStyle name="Total 3 2 2 3 4 3" xfId="6654" xr:uid="{00000000-0005-0000-0000-0000FF190000}"/>
    <cellStyle name="Total 3 2 2 3 5" xfId="6655" xr:uid="{00000000-0005-0000-0000-0000001A0000}"/>
    <cellStyle name="Total 3 2 2 3 5 2" xfId="6656" xr:uid="{00000000-0005-0000-0000-0000011A0000}"/>
    <cellStyle name="Total 3 2 2 3 6" xfId="6657" xr:uid="{00000000-0005-0000-0000-0000021A0000}"/>
    <cellStyle name="Total 3 2 2 4" xfId="6658" xr:uid="{00000000-0005-0000-0000-0000031A0000}"/>
    <cellStyle name="Total 3 2 2 4 2" xfId="6659" xr:uid="{00000000-0005-0000-0000-0000041A0000}"/>
    <cellStyle name="Total 3 2 2 4 2 2" xfId="6660" xr:uid="{00000000-0005-0000-0000-0000051A0000}"/>
    <cellStyle name="Total 3 2 2 4 2 2 2" xfId="6661" xr:uid="{00000000-0005-0000-0000-0000061A0000}"/>
    <cellStyle name="Total 3 2 2 4 2 2 2 2" xfId="6662" xr:uid="{00000000-0005-0000-0000-0000071A0000}"/>
    <cellStyle name="Total 3 2 2 4 2 2 3" xfId="6663" xr:uid="{00000000-0005-0000-0000-0000081A0000}"/>
    <cellStyle name="Total 3 2 2 4 2 3" xfId="6664" xr:uid="{00000000-0005-0000-0000-0000091A0000}"/>
    <cellStyle name="Total 3 2 2 4 2 3 2" xfId="6665" xr:uid="{00000000-0005-0000-0000-00000A1A0000}"/>
    <cellStyle name="Total 3 2 2 4 2 4" xfId="6666" xr:uid="{00000000-0005-0000-0000-00000B1A0000}"/>
    <cellStyle name="Total 3 2 2 4 3" xfId="6667" xr:uid="{00000000-0005-0000-0000-00000C1A0000}"/>
    <cellStyle name="Total 3 2 2 4 3 2" xfId="6668" xr:uid="{00000000-0005-0000-0000-00000D1A0000}"/>
    <cellStyle name="Total 3 2 2 4 3 2 2" xfId="6669" xr:uid="{00000000-0005-0000-0000-00000E1A0000}"/>
    <cellStyle name="Total 3 2 2 4 3 3" xfId="6670" xr:uid="{00000000-0005-0000-0000-00000F1A0000}"/>
    <cellStyle name="Total 3 2 2 4 3 4" xfId="6671" xr:uid="{00000000-0005-0000-0000-0000101A0000}"/>
    <cellStyle name="Total 3 2 2 4 4" xfId="6672" xr:uid="{00000000-0005-0000-0000-0000111A0000}"/>
    <cellStyle name="Total 3 2 2 4 4 2" xfId="6673" xr:uid="{00000000-0005-0000-0000-0000121A0000}"/>
    <cellStyle name="Total 3 2 2 4 4 2 2" xfId="6674" xr:uid="{00000000-0005-0000-0000-0000131A0000}"/>
    <cellStyle name="Total 3 2 2 4 4 3" xfId="6675" xr:uid="{00000000-0005-0000-0000-0000141A0000}"/>
    <cellStyle name="Total 3 2 2 4 5" xfId="6676" xr:uid="{00000000-0005-0000-0000-0000151A0000}"/>
    <cellStyle name="Total 3 2 2 4 5 2" xfId="6677" xr:uid="{00000000-0005-0000-0000-0000161A0000}"/>
    <cellStyle name="Total 3 2 2 4 6" xfId="6678" xr:uid="{00000000-0005-0000-0000-0000171A0000}"/>
    <cellStyle name="Total 3 2 2 5" xfId="6679" xr:uid="{00000000-0005-0000-0000-0000181A0000}"/>
    <cellStyle name="Total 3 2 2 5 2" xfId="6680" xr:uid="{00000000-0005-0000-0000-0000191A0000}"/>
    <cellStyle name="Total 3 2 3" xfId="6681" xr:uid="{00000000-0005-0000-0000-00001A1A0000}"/>
    <cellStyle name="Total 3 2 3 2" xfId="6682" xr:uid="{00000000-0005-0000-0000-00001B1A0000}"/>
    <cellStyle name="Total 3 2 3 2 2" xfId="6683" xr:uid="{00000000-0005-0000-0000-00001C1A0000}"/>
    <cellStyle name="Total 3 2 3 2 2 2" xfId="6684" xr:uid="{00000000-0005-0000-0000-00001D1A0000}"/>
    <cellStyle name="Total 3 2 3 2 2 2 2" xfId="6685" xr:uid="{00000000-0005-0000-0000-00001E1A0000}"/>
    <cellStyle name="Total 3 2 3 2 2 3" xfId="6686" xr:uid="{00000000-0005-0000-0000-00001F1A0000}"/>
    <cellStyle name="Total 3 2 3 2 3" xfId="6687" xr:uid="{00000000-0005-0000-0000-0000201A0000}"/>
    <cellStyle name="Total 3 2 3 2 3 2" xfId="6688" xr:uid="{00000000-0005-0000-0000-0000211A0000}"/>
    <cellStyle name="Total 3 2 3 2 4" xfId="6689" xr:uid="{00000000-0005-0000-0000-0000221A0000}"/>
    <cellStyle name="Total 3 2 3 3" xfId="6690" xr:uid="{00000000-0005-0000-0000-0000231A0000}"/>
    <cellStyle name="Total 3 2 3 3 2" xfId="6691" xr:uid="{00000000-0005-0000-0000-0000241A0000}"/>
    <cellStyle name="Total 3 2 3 3 2 2" xfId="6692" xr:uid="{00000000-0005-0000-0000-0000251A0000}"/>
    <cellStyle name="Total 3 2 3 3 3" xfId="6693" xr:uid="{00000000-0005-0000-0000-0000261A0000}"/>
    <cellStyle name="Total 3 2 3 3 4" xfId="6694" xr:uid="{00000000-0005-0000-0000-0000271A0000}"/>
    <cellStyle name="Total 3 2 3 4" xfId="6695" xr:uid="{00000000-0005-0000-0000-0000281A0000}"/>
    <cellStyle name="Total 3 2 3 4 2" xfId="6696" xr:uid="{00000000-0005-0000-0000-0000291A0000}"/>
    <cellStyle name="Total 3 2 3 4 2 2" xfId="6697" xr:uid="{00000000-0005-0000-0000-00002A1A0000}"/>
    <cellStyle name="Total 3 2 3 4 3" xfId="6698" xr:uid="{00000000-0005-0000-0000-00002B1A0000}"/>
    <cellStyle name="Total 3 2 3 5" xfId="6699" xr:uid="{00000000-0005-0000-0000-00002C1A0000}"/>
    <cellStyle name="Total 3 2 3 5 2" xfId="6700" xr:uid="{00000000-0005-0000-0000-00002D1A0000}"/>
    <cellStyle name="Total 3 2 3 6" xfId="6701" xr:uid="{00000000-0005-0000-0000-00002E1A0000}"/>
    <cellStyle name="Total 3 2 4" xfId="6702" xr:uid="{00000000-0005-0000-0000-00002F1A0000}"/>
    <cellStyle name="Total 3 2 4 2" xfId="6703" xr:uid="{00000000-0005-0000-0000-0000301A0000}"/>
    <cellStyle name="Total 3 2 4 2 2" xfId="6704" xr:uid="{00000000-0005-0000-0000-0000311A0000}"/>
    <cellStyle name="Total 3 2 4 2 2 2" xfId="6705" xr:uid="{00000000-0005-0000-0000-0000321A0000}"/>
    <cellStyle name="Total 3 2 4 2 2 2 2" xfId="6706" xr:uid="{00000000-0005-0000-0000-0000331A0000}"/>
    <cellStyle name="Total 3 2 4 2 2 3" xfId="6707" xr:uid="{00000000-0005-0000-0000-0000341A0000}"/>
    <cellStyle name="Total 3 2 4 2 3" xfId="6708" xr:uid="{00000000-0005-0000-0000-0000351A0000}"/>
    <cellStyle name="Total 3 2 4 2 3 2" xfId="6709" xr:uid="{00000000-0005-0000-0000-0000361A0000}"/>
    <cellStyle name="Total 3 2 4 2 4" xfId="6710" xr:uid="{00000000-0005-0000-0000-0000371A0000}"/>
    <cellStyle name="Total 3 2 4 3" xfId="6711" xr:uid="{00000000-0005-0000-0000-0000381A0000}"/>
    <cellStyle name="Total 3 2 4 3 2" xfId="6712" xr:uid="{00000000-0005-0000-0000-0000391A0000}"/>
    <cellStyle name="Total 3 2 4 3 2 2" xfId="6713" xr:uid="{00000000-0005-0000-0000-00003A1A0000}"/>
    <cellStyle name="Total 3 2 4 3 3" xfId="6714" xr:uid="{00000000-0005-0000-0000-00003B1A0000}"/>
    <cellStyle name="Total 3 2 4 3 4" xfId="6715" xr:uid="{00000000-0005-0000-0000-00003C1A0000}"/>
    <cellStyle name="Total 3 2 4 4" xfId="6716" xr:uid="{00000000-0005-0000-0000-00003D1A0000}"/>
    <cellStyle name="Total 3 2 4 4 2" xfId="6717" xr:uid="{00000000-0005-0000-0000-00003E1A0000}"/>
    <cellStyle name="Total 3 2 4 4 2 2" xfId="6718" xr:uid="{00000000-0005-0000-0000-00003F1A0000}"/>
    <cellStyle name="Total 3 2 4 4 3" xfId="6719" xr:uid="{00000000-0005-0000-0000-0000401A0000}"/>
    <cellStyle name="Total 3 2 4 5" xfId="6720" xr:uid="{00000000-0005-0000-0000-0000411A0000}"/>
    <cellStyle name="Total 3 2 4 5 2" xfId="6721" xr:uid="{00000000-0005-0000-0000-0000421A0000}"/>
    <cellStyle name="Total 3 2 4 6" xfId="6722" xr:uid="{00000000-0005-0000-0000-0000431A0000}"/>
    <cellStyle name="Total 3 2 5" xfId="6723" xr:uid="{00000000-0005-0000-0000-0000441A0000}"/>
    <cellStyle name="Total 3 2 5 2" xfId="6724" xr:uid="{00000000-0005-0000-0000-0000451A0000}"/>
    <cellStyle name="Total 3 2 5 2 2" xfId="6725" xr:uid="{00000000-0005-0000-0000-0000461A0000}"/>
    <cellStyle name="Total 3 2 5 2 2 2" xfId="6726" xr:uid="{00000000-0005-0000-0000-0000471A0000}"/>
    <cellStyle name="Total 3 2 5 2 2 2 2" xfId="6727" xr:uid="{00000000-0005-0000-0000-0000481A0000}"/>
    <cellStyle name="Total 3 2 5 2 2 3" xfId="6728" xr:uid="{00000000-0005-0000-0000-0000491A0000}"/>
    <cellStyle name="Total 3 2 5 2 3" xfId="6729" xr:uid="{00000000-0005-0000-0000-00004A1A0000}"/>
    <cellStyle name="Total 3 2 5 2 3 2" xfId="6730" xr:uid="{00000000-0005-0000-0000-00004B1A0000}"/>
    <cellStyle name="Total 3 2 5 2 4" xfId="6731" xr:uid="{00000000-0005-0000-0000-00004C1A0000}"/>
    <cellStyle name="Total 3 2 5 3" xfId="6732" xr:uid="{00000000-0005-0000-0000-00004D1A0000}"/>
    <cellStyle name="Total 3 2 5 3 2" xfId="6733" xr:uid="{00000000-0005-0000-0000-00004E1A0000}"/>
    <cellStyle name="Total 3 2 5 3 2 2" xfId="6734" xr:uid="{00000000-0005-0000-0000-00004F1A0000}"/>
    <cellStyle name="Total 3 2 5 3 3" xfId="6735" xr:uid="{00000000-0005-0000-0000-0000501A0000}"/>
    <cellStyle name="Total 3 2 5 3 4" xfId="6736" xr:uid="{00000000-0005-0000-0000-0000511A0000}"/>
    <cellStyle name="Total 3 2 5 4" xfId="6737" xr:uid="{00000000-0005-0000-0000-0000521A0000}"/>
    <cellStyle name="Total 3 2 5 4 2" xfId="6738" xr:uid="{00000000-0005-0000-0000-0000531A0000}"/>
    <cellStyle name="Total 3 2 5 4 2 2" xfId="6739" xr:uid="{00000000-0005-0000-0000-0000541A0000}"/>
    <cellStyle name="Total 3 2 5 4 3" xfId="6740" xr:uid="{00000000-0005-0000-0000-0000551A0000}"/>
    <cellStyle name="Total 3 2 5 5" xfId="6741" xr:uid="{00000000-0005-0000-0000-0000561A0000}"/>
    <cellStyle name="Total 3 2 5 5 2" xfId="6742" xr:uid="{00000000-0005-0000-0000-0000571A0000}"/>
    <cellStyle name="Total 3 2 5 6" xfId="6743" xr:uid="{00000000-0005-0000-0000-0000581A0000}"/>
    <cellStyle name="Total 3 2 6" xfId="6744" xr:uid="{00000000-0005-0000-0000-0000591A0000}"/>
    <cellStyle name="Total 3 2 6 2" xfId="6745" xr:uid="{00000000-0005-0000-0000-00005A1A0000}"/>
    <cellStyle name="Total 3 3" xfId="6746" xr:uid="{00000000-0005-0000-0000-00005B1A0000}"/>
    <cellStyle name="Total 3 3 2" xfId="6747" xr:uid="{00000000-0005-0000-0000-00005C1A0000}"/>
    <cellStyle name="Total 3 3 2 2" xfId="6748" xr:uid="{00000000-0005-0000-0000-00005D1A0000}"/>
    <cellStyle name="Total 3 3 2 2 2" xfId="6749" xr:uid="{00000000-0005-0000-0000-00005E1A0000}"/>
    <cellStyle name="Total 3 3 2 2 2 2" xfId="6750" xr:uid="{00000000-0005-0000-0000-00005F1A0000}"/>
    <cellStyle name="Total 3 3 2 2 2 2 2" xfId="6751" xr:uid="{00000000-0005-0000-0000-0000601A0000}"/>
    <cellStyle name="Total 3 3 2 2 2 3" xfId="6752" xr:uid="{00000000-0005-0000-0000-0000611A0000}"/>
    <cellStyle name="Total 3 3 2 2 3" xfId="6753" xr:uid="{00000000-0005-0000-0000-0000621A0000}"/>
    <cellStyle name="Total 3 3 2 2 3 2" xfId="6754" xr:uid="{00000000-0005-0000-0000-0000631A0000}"/>
    <cellStyle name="Total 3 3 2 2 4" xfId="6755" xr:uid="{00000000-0005-0000-0000-0000641A0000}"/>
    <cellStyle name="Total 3 3 2 3" xfId="6756" xr:uid="{00000000-0005-0000-0000-0000651A0000}"/>
    <cellStyle name="Total 3 3 2 3 2" xfId="6757" xr:uid="{00000000-0005-0000-0000-0000661A0000}"/>
    <cellStyle name="Total 3 3 2 3 2 2" xfId="6758" xr:uid="{00000000-0005-0000-0000-0000671A0000}"/>
    <cellStyle name="Total 3 3 2 3 3" xfId="6759" xr:uid="{00000000-0005-0000-0000-0000681A0000}"/>
    <cellStyle name="Total 3 3 2 3 4" xfId="6760" xr:uid="{00000000-0005-0000-0000-0000691A0000}"/>
    <cellStyle name="Total 3 3 2 4" xfId="6761" xr:uid="{00000000-0005-0000-0000-00006A1A0000}"/>
    <cellStyle name="Total 3 3 2 4 2" xfId="6762" xr:uid="{00000000-0005-0000-0000-00006B1A0000}"/>
    <cellStyle name="Total 3 3 2 4 2 2" xfId="6763" xr:uid="{00000000-0005-0000-0000-00006C1A0000}"/>
    <cellStyle name="Total 3 3 2 4 3" xfId="6764" xr:uid="{00000000-0005-0000-0000-00006D1A0000}"/>
    <cellStyle name="Total 3 3 2 5" xfId="6765" xr:uid="{00000000-0005-0000-0000-00006E1A0000}"/>
    <cellStyle name="Total 3 3 2 5 2" xfId="6766" xr:uid="{00000000-0005-0000-0000-00006F1A0000}"/>
    <cellStyle name="Total 3 3 2 6" xfId="6767" xr:uid="{00000000-0005-0000-0000-0000701A0000}"/>
    <cellStyle name="Total 3 3 3" xfId="6768" xr:uid="{00000000-0005-0000-0000-0000711A0000}"/>
    <cellStyle name="Total 3 3 3 2" xfId="6769" xr:uid="{00000000-0005-0000-0000-0000721A0000}"/>
    <cellStyle name="Total 3 3 3 2 2" xfId="6770" xr:uid="{00000000-0005-0000-0000-0000731A0000}"/>
    <cellStyle name="Total 3 3 3 2 2 2" xfId="6771" xr:uid="{00000000-0005-0000-0000-0000741A0000}"/>
    <cellStyle name="Total 3 3 3 2 2 2 2" xfId="6772" xr:uid="{00000000-0005-0000-0000-0000751A0000}"/>
    <cellStyle name="Total 3 3 3 2 2 3" xfId="6773" xr:uid="{00000000-0005-0000-0000-0000761A0000}"/>
    <cellStyle name="Total 3 3 3 2 3" xfId="6774" xr:uid="{00000000-0005-0000-0000-0000771A0000}"/>
    <cellStyle name="Total 3 3 3 2 3 2" xfId="6775" xr:uid="{00000000-0005-0000-0000-0000781A0000}"/>
    <cellStyle name="Total 3 3 3 2 4" xfId="6776" xr:uid="{00000000-0005-0000-0000-0000791A0000}"/>
    <cellStyle name="Total 3 3 3 3" xfId="6777" xr:uid="{00000000-0005-0000-0000-00007A1A0000}"/>
    <cellStyle name="Total 3 3 3 3 2" xfId="6778" xr:uid="{00000000-0005-0000-0000-00007B1A0000}"/>
    <cellStyle name="Total 3 3 3 3 2 2" xfId="6779" xr:uid="{00000000-0005-0000-0000-00007C1A0000}"/>
    <cellStyle name="Total 3 3 3 3 3" xfId="6780" xr:uid="{00000000-0005-0000-0000-00007D1A0000}"/>
    <cellStyle name="Total 3 3 3 3 4" xfId="6781" xr:uid="{00000000-0005-0000-0000-00007E1A0000}"/>
    <cellStyle name="Total 3 3 3 4" xfId="6782" xr:uid="{00000000-0005-0000-0000-00007F1A0000}"/>
    <cellStyle name="Total 3 3 3 4 2" xfId="6783" xr:uid="{00000000-0005-0000-0000-0000801A0000}"/>
    <cellStyle name="Total 3 3 3 4 2 2" xfId="6784" xr:uid="{00000000-0005-0000-0000-0000811A0000}"/>
    <cellStyle name="Total 3 3 3 4 3" xfId="6785" xr:uid="{00000000-0005-0000-0000-0000821A0000}"/>
    <cellStyle name="Total 3 3 3 5" xfId="6786" xr:uid="{00000000-0005-0000-0000-0000831A0000}"/>
    <cellStyle name="Total 3 3 3 5 2" xfId="6787" xr:uid="{00000000-0005-0000-0000-0000841A0000}"/>
    <cellStyle name="Total 3 3 3 6" xfId="6788" xr:uid="{00000000-0005-0000-0000-0000851A0000}"/>
    <cellStyle name="Total 3 3 4" xfId="6789" xr:uid="{00000000-0005-0000-0000-0000861A0000}"/>
    <cellStyle name="Total 3 3 4 2" xfId="6790" xr:uid="{00000000-0005-0000-0000-0000871A0000}"/>
    <cellStyle name="Total 3 3 4 2 2" xfId="6791" xr:uid="{00000000-0005-0000-0000-0000881A0000}"/>
    <cellStyle name="Total 3 3 4 2 2 2" xfId="6792" xr:uid="{00000000-0005-0000-0000-0000891A0000}"/>
    <cellStyle name="Total 3 3 4 2 2 2 2" xfId="6793" xr:uid="{00000000-0005-0000-0000-00008A1A0000}"/>
    <cellStyle name="Total 3 3 4 2 2 3" xfId="6794" xr:uid="{00000000-0005-0000-0000-00008B1A0000}"/>
    <cellStyle name="Total 3 3 4 2 3" xfId="6795" xr:uid="{00000000-0005-0000-0000-00008C1A0000}"/>
    <cellStyle name="Total 3 3 4 2 3 2" xfId="6796" xr:uid="{00000000-0005-0000-0000-00008D1A0000}"/>
    <cellStyle name="Total 3 3 4 2 4" xfId="6797" xr:uid="{00000000-0005-0000-0000-00008E1A0000}"/>
    <cellStyle name="Total 3 3 4 3" xfId="6798" xr:uid="{00000000-0005-0000-0000-00008F1A0000}"/>
    <cellStyle name="Total 3 3 4 3 2" xfId="6799" xr:uid="{00000000-0005-0000-0000-0000901A0000}"/>
    <cellStyle name="Total 3 3 4 3 2 2" xfId="6800" xr:uid="{00000000-0005-0000-0000-0000911A0000}"/>
    <cellStyle name="Total 3 3 4 3 3" xfId="6801" xr:uid="{00000000-0005-0000-0000-0000921A0000}"/>
    <cellStyle name="Total 3 3 4 3 4" xfId="6802" xr:uid="{00000000-0005-0000-0000-0000931A0000}"/>
    <cellStyle name="Total 3 3 4 4" xfId="6803" xr:uid="{00000000-0005-0000-0000-0000941A0000}"/>
    <cellStyle name="Total 3 3 4 4 2" xfId="6804" xr:uid="{00000000-0005-0000-0000-0000951A0000}"/>
    <cellStyle name="Total 3 3 4 4 2 2" xfId="6805" xr:uid="{00000000-0005-0000-0000-0000961A0000}"/>
    <cellStyle name="Total 3 3 4 4 3" xfId="6806" xr:uid="{00000000-0005-0000-0000-0000971A0000}"/>
    <cellStyle name="Total 3 3 4 5" xfId="6807" xr:uid="{00000000-0005-0000-0000-0000981A0000}"/>
    <cellStyle name="Total 3 3 4 5 2" xfId="6808" xr:uid="{00000000-0005-0000-0000-0000991A0000}"/>
    <cellStyle name="Total 3 3 4 6" xfId="6809" xr:uid="{00000000-0005-0000-0000-00009A1A0000}"/>
    <cellStyle name="Total 3 3 5" xfId="6810" xr:uid="{00000000-0005-0000-0000-00009B1A0000}"/>
    <cellStyle name="Total 3 3 5 2" xfId="6811" xr:uid="{00000000-0005-0000-0000-00009C1A0000}"/>
    <cellStyle name="Total 3 4" xfId="6812" xr:uid="{00000000-0005-0000-0000-00009D1A0000}"/>
    <cellStyle name="Total 3 4 2" xfId="6813" xr:uid="{00000000-0005-0000-0000-00009E1A0000}"/>
    <cellStyle name="Total 3 4 2 2" xfId="6814" xr:uid="{00000000-0005-0000-0000-00009F1A0000}"/>
    <cellStyle name="Total 3 4 2 2 2" xfId="6815" xr:uid="{00000000-0005-0000-0000-0000A01A0000}"/>
    <cellStyle name="Total 3 4 2 2 2 2" xfId="6816" xr:uid="{00000000-0005-0000-0000-0000A11A0000}"/>
    <cellStyle name="Total 3 4 2 2 2 2 2" xfId="6817" xr:uid="{00000000-0005-0000-0000-0000A21A0000}"/>
    <cellStyle name="Total 3 4 2 2 2 3" xfId="6818" xr:uid="{00000000-0005-0000-0000-0000A31A0000}"/>
    <cellStyle name="Total 3 4 2 2 3" xfId="6819" xr:uid="{00000000-0005-0000-0000-0000A41A0000}"/>
    <cellStyle name="Total 3 4 2 2 3 2" xfId="6820" xr:uid="{00000000-0005-0000-0000-0000A51A0000}"/>
    <cellStyle name="Total 3 4 2 2 4" xfId="6821" xr:uid="{00000000-0005-0000-0000-0000A61A0000}"/>
    <cellStyle name="Total 3 4 2 3" xfId="6822" xr:uid="{00000000-0005-0000-0000-0000A71A0000}"/>
    <cellStyle name="Total 3 4 2 3 2" xfId="6823" xr:uid="{00000000-0005-0000-0000-0000A81A0000}"/>
    <cellStyle name="Total 3 4 2 3 2 2" xfId="6824" xr:uid="{00000000-0005-0000-0000-0000A91A0000}"/>
    <cellStyle name="Total 3 4 2 3 3" xfId="6825" xr:uid="{00000000-0005-0000-0000-0000AA1A0000}"/>
    <cellStyle name="Total 3 4 2 3 4" xfId="6826" xr:uid="{00000000-0005-0000-0000-0000AB1A0000}"/>
    <cellStyle name="Total 3 4 2 4" xfId="6827" xr:uid="{00000000-0005-0000-0000-0000AC1A0000}"/>
    <cellStyle name="Total 3 4 2 4 2" xfId="6828" xr:uid="{00000000-0005-0000-0000-0000AD1A0000}"/>
    <cellStyle name="Total 3 4 2 4 2 2" xfId="6829" xr:uid="{00000000-0005-0000-0000-0000AE1A0000}"/>
    <cellStyle name="Total 3 4 2 4 3" xfId="6830" xr:uid="{00000000-0005-0000-0000-0000AF1A0000}"/>
    <cellStyle name="Total 3 4 2 5" xfId="6831" xr:uid="{00000000-0005-0000-0000-0000B01A0000}"/>
    <cellStyle name="Total 3 4 2 5 2" xfId="6832" xr:uid="{00000000-0005-0000-0000-0000B11A0000}"/>
    <cellStyle name="Total 3 4 2 6" xfId="6833" xr:uid="{00000000-0005-0000-0000-0000B21A0000}"/>
    <cellStyle name="Total 3 4 3" xfId="6834" xr:uid="{00000000-0005-0000-0000-0000B31A0000}"/>
    <cellStyle name="Total 3 4 3 2" xfId="6835" xr:uid="{00000000-0005-0000-0000-0000B41A0000}"/>
    <cellStyle name="Total 3 4 3 2 2" xfId="6836" xr:uid="{00000000-0005-0000-0000-0000B51A0000}"/>
    <cellStyle name="Total 3 4 3 2 2 2" xfId="6837" xr:uid="{00000000-0005-0000-0000-0000B61A0000}"/>
    <cellStyle name="Total 3 4 3 2 2 2 2" xfId="6838" xr:uid="{00000000-0005-0000-0000-0000B71A0000}"/>
    <cellStyle name="Total 3 4 3 2 2 3" xfId="6839" xr:uid="{00000000-0005-0000-0000-0000B81A0000}"/>
    <cellStyle name="Total 3 4 3 2 3" xfId="6840" xr:uid="{00000000-0005-0000-0000-0000B91A0000}"/>
    <cellStyle name="Total 3 4 3 2 3 2" xfId="6841" xr:uid="{00000000-0005-0000-0000-0000BA1A0000}"/>
    <cellStyle name="Total 3 4 3 2 4" xfId="6842" xr:uid="{00000000-0005-0000-0000-0000BB1A0000}"/>
    <cellStyle name="Total 3 4 3 3" xfId="6843" xr:uid="{00000000-0005-0000-0000-0000BC1A0000}"/>
    <cellStyle name="Total 3 4 3 3 2" xfId="6844" xr:uid="{00000000-0005-0000-0000-0000BD1A0000}"/>
    <cellStyle name="Total 3 4 3 3 2 2" xfId="6845" xr:uid="{00000000-0005-0000-0000-0000BE1A0000}"/>
    <cellStyle name="Total 3 4 3 3 3" xfId="6846" xr:uid="{00000000-0005-0000-0000-0000BF1A0000}"/>
    <cellStyle name="Total 3 4 3 3 4" xfId="6847" xr:uid="{00000000-0005-0000-0000-0000C01A0000}"/>
    <cellStyle name="Total 3 4 3 4" xfId="6848" xr:uid="{00000000-0005-0000-0000-0000C11A0000}"/>
    <cellStyle name="Total 3 4 3 4 2" xfId="6849" xr:uid="{00000000-0005-0000-0000-0000C21A0000}"/>
    <cellStyle name="Total 3 4 3 4 2 2" xfId="6850" xr:uid="{00000000-0005-0000-0000-0000C31A0000}"/>
    <cellStyle name="Total 3 4 3 4 3" xfId="6851" xr:uid="{00000000-0005-0000-0000-0000C41A0000}"/>
    <cellStyle name="Total 3 4 3 5" xfId="6852" xr:uid="{00000000-0005-0000-0000-0000C51A0000}"/>
    <cellStyle name="Total 3 4 3 5 2" xfId="6853" xr:uid="{00000000-0005-0000-0000-0000C61A0000}"/>
    <cellStyle name="Total 3 4 3 6" xfId="6854" xr:uid="{00000000-0005-0000-0000-0000C71A0000}"/>
    <cellStyle name="Total 3 4 4" xfId="6855" xr:uid="{00000000-0005-0000-0000-0000C81A0000}"/>
    <cellStyle name="Total 3 4 4 2" xfId="6856" xr:uid="{00000000-0005-0000-0000-0000C91A0000}"/>
    <cellStyle name="Total 3 4 4 2 2" xfId="6857" xr:uid="{00000000-0005-0000-0000-0000CA1A0000}"/>
    <cellStyle name="Total 3 4 4 2 2 2" xfId="6858" xr:uid="{00000000-0005-0000-0000-0000CB1A0000}"/>
    <cellStyle name="Total 3 4 4 2 3" xfId="6859" xr:uid="{00000000-0005-0000-0000-0000CC1A0000}"/>
    <cellStyle name="Total 3 4 4 3" xfId="6860" xr:uid="{00000000-0005-0000-0000-0000CD1A0000}"/>
    <cellStyle name="Total 3 4 4 3 2" xfId="6861" xr:uid="{00000000-0005-0000-0000-0000CE1A0000}"/>
    <cellStyle name="Total 3 4 4 4" xfId="6862" xr:uid="{00000000-0005-0000-0000-0000CF1A0000}"/>
    <cellStyle name="Total 3 4 5" xfId="6863" xr:uid="{00000000-0005-0000-0000-0000D01A0000}"/>
    <cellStyle name="Total 3 4 5 2" xfId="6864" xr:uid="{00000000-0005-0000-0000-0000D11A0000}"/>
    <cellStyle name="Total 3 4 5 2 2" xfId="6865" xr:uid="{00000000-0005-0000-0000-0000D21A0000}"/>
    <cellStyle name="Total 3 4 5 3" xfId="6866" xr:uid="{00000000-0005-0000-0000-0000D31A0000}"/>
    <cellStyle name="Total 3 4 5 4" xfId="6867" xr:uid="{00000000-0005-0000-0000-0000D41A0000}"/>
    <cellStyle name="Total 3 4 6" xfId="6868" xr:uid="{00000000-0005-0000-0000-0000D51A0000}"/>
    <cellStyle name="Total 3 4 6 2" xfId="6869" xr:uid="{00000000-0005-0000-0000-0000D61A0000}"/>
    <cellStyle name="Total 3 4 6 2 2" xfId="6870" xr:uid="{00000000-0005-0000-0000-0000D71A0000}"/>
    <cellStyle name="Total 3 4 6 3" xfId="6871" xr:uid="{00000000-0005-0000-0000-0000D81A0000}"/>
    <cellStyle name="Total 3 4 7" xfId="6872" xr:uid="{00000000-0005-0000-0000-0000D91A0000}"/>
    <cellStyle name="Total 3 4 7 2" xfId="6873" xr:uid="{00000000-0005-0000-0000-0000DA1A0000}"/>
    <cellStyle name="Total 3 4 8" xfId="6874" xr:uid="{00000000-0005-0000-0000-0000DB1A0000}"/>
    <cellStyle name="Total 3 5" xfId="6875" xr:uid="{00000000-0005-0000-0000-0000DC1A0000}"/>
    <cellStyle name="Total 3 5 2" xfId="6876" xr:uid="{00000000-0005-0000-0000-0000DD1A0000}"/>
    <cellStyle name="Total 3 5 2 2" xfId="6877" xr:uid="{00000000-0005-0000-0000-0000DE1A0000}"/>
    <cellStyle name="Total 3 5 2 2 2" xfId="6878" xr:uid="{00000000-0005-0000-0000-0000DF1A0000}"/>
    <cellStyle name="Total 3 5 2 2 2 2" xfId="6879" xr:uid="{00000000-0005-0000-0000-0000E01A0000}"/>
    <cellStyle name="Total 3 5 2 2 3" xfId="6880" xr:uid="{00000000-0005-0000-0000-0000E11A0000}"/>
    <cellStyle name="Total 3 5 2 3" xfId="6881" xr:uid="{00000000-0005-0000-0000-0000E21A0000}"/>
    <cellStyle name="Total 3 5 2 3 2" xfId="6882" xr:uid="{00000000-0005-0000-0000-0000E31A0000}"/>
    <cellStyle name="Total 3 5 2 4" xfId="6883" xr:uid="{00000000-0005-0000-0000-0000E41A0000}"/>
    <cellStyle name="Total 3 5 3" xfId="6884" xr:uid="{00000000-0005-0000-0000-0000E51A0000}"/>
    <cellStyle name="Total 3 5 3 2" xfId="6885" xr:uid="{00000000-0005-0000-0000-0000E61A0000}"/>
    <cellStyle name="Total 3 5 3 2 2" xfId="6886" xr:uid="{00000000-0005-0000-0000-0000E71A0000}"/>
    <cellStyle name="Total 3 5 3 3" xfId="6887" xr:uid="{00000000-0005-0000-0000-0000E81A0000}"/>
    <cellStyle name="Total 3 5 3 4" xfId="6888" xr:uid="{00000000-0005-0000-0000-0000E91A0000}"/>
    <cellStyle name="Total 3 5 4" xfId="6889" xr:uid="{00000000-0005-0000-0000-0000EA1A0000}"/>
    <cellStyle name="Total 3 5 4 2" xfId="6890" xr:uid="{00000000-0005-0000-0000-0000EB1A0000}"/>
    <cellStyle name="Total 3 5 4 2 2" xfId="6891" xr:uid="{00000000-0005-0000-0000-0000EC1A0000}"/>
    <cellStyle name="Total 3 5 4 3" xfId="6892" xr:uid="{00000000-0005-0000-0000-0000ED1A0000}"/>
    <cellStyle name="Total 3 5 5" xfId="6893" xr:uid="{00000000-0005-0000-0000-0000EE1A0000}"/>
    <cellStyle name="Total 3 5 5 2" xfId="6894" xr:uid="{00000000-0005-0000-0000-0000EF1A0000}"/>
    <cellStyle name="Total 3 5 6" xfId="6895" xr:uid="{00000000-0005-0000-0000-0000F01A0000}"/>
    <cellStyle name="Total 4" xfId="6896" xr:uid="{00000000-0005-0000-0000-0000F11A0000}"/>
    <cellStyle name="Total 4 2" xfId="6897" xr:uid="{00000000-0005-0000-0000-0000F21A0000}"/>
    <cellStyle name="Total 4 2 2" xfId="6898" xr:uid="{00000000-0005-0000-0000-0000F31A0000}"/>
    <cellStyle name="Total 4 2 2 2" xfId="6899" xr:uid="{00000000-0005-0000-0000-0000F41A0000}"/>
    <cellStyle name="Total 4 2 2 2 2" xfId="6900" xr:uid="{00000000-0005-0000-0000-0000F51A0000}"/>
    <cellStyle name="Total 4 2 2 2 2 2" xfId="6901" xr:uid="{00000000-0005-0000-0000-0000F61A0000}"/>
    <cellStyle name="Total 4 2 2 2 2 2 2" xfId="6902" xr:uid="{00000000-0005-0000-0000-0000F71A0000}"/>
    <cellStyle name="Total 4 2 2 2 2 3" xfId="6903" xr:uid="{00000000-0005-0000-0000-0000F81A0000}"/>
    <cellStyle name="Total 4 2 2 2 3" xfId="6904" xr:uid="{00000000-0005-0000-0000-0000F91A0000}"/>
    <cellStyle name="Total 4 2 2 2 3 2" xfId="6905" xr:uid="{00000000-0005-0000-0000-0000FA1A0000}"/>
    <cellStyle name="Total 4 2 2 2 4" xfId="6906" xr:uid="{00000000-0005-0000-0000-0000FB1A0000}"/>
    <cellStyle name="Total 4 2 2 3" xfId="6907" xr:uid="{00000000-0005-0000-0000-0000FC1A0000}"/>
    <cellStyle name="Total 4 2 2 3 2" xfId="6908" xr:uid="{00000000-0005-0000-0000-0000FD1A0000}"/>
    <cellStyle name="Total 4 2 2 3 2 2" xfId="6909" xr:uid="{00000000-0005-0000-0000-0000FE1A0000}"/>
    <cellStyle name="Total 4 2 2 3 3" xfId="6910" xr:uid="{00000000-0005-0000-0000-0000FF1A0000}"/>
    <cellStyle name="Total 4 2 2 3 4" xfId="6911" xr:uid="{00000000-0005-0000-0000-0000001B0000}"/>
    <cellStyle name="Total 4 2 2 4" xfId="6912" xr:uid="{00000000-0005-0000-0000-0000011B0000}"/>
    <cellStyle name="Total 4 2 2 4 2" xfId="6913" xr:uid="{00000000-0005-0000-0000-0000021B0000}"/>
    <cellStyle name="Total 4 2 2 4 2 2" xfId="6914" xr:uid="{00000000-0005-0000-0000-0000031B0000}"/>
    <cellStyle name="Total 4 2 2 4 3" xfId="6915" xr:uid="{00000000-0005-0000-0000-0000041B0000}"/>
    <cellStyle name="Total 4 2 2 5" xfId="6916" xr:uid="{00000000-0005-0000-0000-0000051B0000}"/>
    <cellStyle name="Total 4 2 2 5 2" xfId="6917" xr:uid="{00000000-0005-0000-0000-0000061B0000}"/>
    <cellStyle name="Total 4 2 2 6" xfId="6918" xr:uid="{00000000-0005-0000-0000-0000071B0000}"/>
    <cellStyle name="Total 4 2 3" xfId="6919" xr:uid="{00000000-0005-0000-0000-0000081B0000}"/>
    <cellStyle name="Total 4 2 3 2" xfId="6920" xr:uid="{00000000-0005-0000-0000-0000091B0000}"/>
    <cellStyle name="Total 4 2 3 2 2" xfId="6921" xr:uid="{00000000-0005-0000-0000-00000A1B0000}"/>
    <cellStyle name="Total 4 2 3 2 2 2" xfId="6922" xr:uid="{00000000-0005-0000-0000-00000B1B0000}"/>
    <cellStyle name="Total 4 2 3 2 2 2 2" xfId="6923" xr:uid="{00000000-0005-0000-0000-00000C1B0000}"/>
    <cellStyle name="Total 4 2 3 2 2 3" xfId="6924" xr:uid="{00000000-0005-0000-0000-00000D1B0000}"/>
    <cellStyle name="Total 4 2 3 2 3" xfId="6925" xr:uid="{00000000-0005-0000-0000-00000E1B0000}"/>
    <cellStyle name="Total 4 2 3 2 3 2" xfId="6926" xr:uid="{00000000-0005-0000-0000-00000F1B0000}"/>
    <cellStyle name="Total 4 2 3 2 4" xfId="6927" xr:uid="{00000000-0005-0000-0000-0000101B0000}"/>
    <cellStyle name="Total 4 2 3 3" xfId="6928" xr:uid="{00000000-0005-0000-0000-0000111B0000}"/>
    <cellStyle name="Total 4 2 3 3 2" xfId="6929" xr:uid="{00000000-0005-0000-0000-0000121B0000}"/>
    <cellStyle name="Total 4 2 3 3 2 2" xfId="6930" xr:uid="{00000000-0005-0000-0000-0000131B0000}"/>
    <cellStyle name="Total 4 2 3 3 3" xfId="6931" xr:uid="{00000000-0005-0000-0000-0000141B0000}"/>
    <cellStyle name="Total 4 2 3 3 4" xfId="6932" xr:uid="{00000000-0005-0000-0000-0000151B0000}"/>
    <cellStyle name="Total 4 2 3 4" xfId="6933" xr:uid="{00000000-0005-0000-0000-0000161B0000}"/>
    <cellStyle name="Total 4 2 3 4 2" xfId="6934" xr:uid="{00000000-0005-0000-0000-0000171B0000}"/>
    <cellStyle name="Total 4 2 3 4 2 2" xfId="6935" xr:uid="{00000000-0005-0000-0000-0000181B0000}"/>
    <cellStyle name="Total 4 2 3 4 3" xfId="6936" xr:uid="{00000000-0005-0000-0000-0000191B0000}"/>
    <cellStyle name="Total 4 2 3 5" xfId="6937" xr:uid="{00000000-0005-0000-0000-00001A1B0000}"/>
    <cellStyle name="Total 4 2 3 5 2" xfId="6938" xr:uid="{00000000-0005-0000-0000-00001B1B0000}"/>
    <cellStyle name="Total 4 2 3 6" xfId="6939" xr:uid="{00000000-0005-0000-0000-00001C1B0000}"/>
    <cellStyle name="Total 4 2 4" xfId="6940" xr:uid="{00000000-0005-0000-0000-00001D1B0000}"/>
    <cellStyle name="Total 4 2 4 2" xfId="6941" xr:uid="{00000000-0005-0000-0000-00001E1B0000}"/>
    <cellStyle name="Total 4 2 4 2 2" xfId="6942" xr:uid="{00000000-0005-0000-0000-00001F1B0000}"/>
    <cellStyle name="Total 4 2 4 2 2 2" xfId="6943" xr:uid="{00000000-0005-0000-0000-0000201B0000}"/>
    <cellStyle name="Total 4 2 4 2 2 2 2" xfId="6944" xr:uid="{00000000-0005-0000-0000-0000211B0000}"/>
    <cellStyle name="Total 4 2 4 2 2 3" xfId="6945" xr:uid="{00000000-0005-0000-0000-0000221B0000}"/>
    <cellStyle name="Total 4 2 4 2 3" xfId="6946" xr:uid="{00000000-0005-0000-0000-0000231B0000}"/>
    <cellStyle name="Total 4 2 4 2 3 2" xfId="6947" xr:uid="{00000000-0005-0000-0000-0000241B0000}"/>
    <cellStyle name="Total 4 2 4 2 4" xfId="6948" xr:uid="{00000000-0005-0000-0000-0000251B0000}"/>
    <cellStyle name="Total 4 2 4 3" xfId="6949" xr:uid="{00000000-0005-0000-0000-0000261B0000}"/>
    <cellStyle name="Total 4 2 4 3 2" xfId="6950" xr:uid="{00000000-0005-0000-0000-0000271B0000}"/>
    <cellStyle name="Total 4 2 4 3 2 2" xfId="6951" xr:uid="{00000000-0005-0000-0000-0000281B0000}"/>
    <cellStyle name="Total 4 2 4 3 3" xfId="6952" xr:uid="{00000000-0005-0000-0000-0000291B0000}"/>
    <cellStyle name="Total 4 2 4 3 4" xfId="6953" xr:uid="{00000000-0005-0000-0000-00002A1B0000}"/>
    <cellStyle name="Total 4 2 4 4" xfId="6954" xr:uid="{00000000-0005-0000-0000-00002B1B0000}"/>
    <cellStyle name="Total 4 2 4 4 2" xfId="6955" xr:uid="{00000000-0005-0000-0000-00002C1B0000}"/>
    <cellStyle name="Total 4 2 4 4 2 2" xfId="6956" xr:uid="{00000000-0005-0000-0000-00002D1B0000}"/>
    <cellStyle name="Total 4 2 4 4 3" xfId="6957" xr:uid="{00000000-0005-0000-0000-00002E1B0000}"/>
    <cellStyle name="Total 4 2 4 5" xfId="6958" xr:uid="{00000000-0005-0000-0000-00002F1B0000}"/>
    <cellStyle name="Total 4 2 4 5 2" xfId="6959" xr:uid="{00000000-0005-0000-0000-0000301B0000}"/>
    <cellStyle name="Total 4 2 4 6" xfId="6960" xr:uid="{00000000-0005-0000-0000-0000311B0000}"/>
    <cellStyle name="Total 4 2 5" xfId="6961" xr:uid="{00000000-0005-0000-0000-0000321B0000}"/>
    <cellStyle name="Total 4 2 5 2" xfId="6962" xr:uid="{00000000-0005-0000-0000-0000331B0000}"/>
    <cellStyle name="Total 4 3" xfId="6963" xr:uid="{00000000-0005-0000-0000-0000341B0000}"/>
    <cellStyle name="Total 4 3 2" xfId="6964" xr:uid="{00000000-0005-0000-0000-0000351B0000}"/>
    <cellStyle name="Total 4 3 2 2" xfId="6965" xr:uid="{00000000-0005-0000-0000-0000361B0000}"/>
    <cellStyle name="Total 4 3 2 2 2" xfId="6966" xr:uid="{00000000-0005-0000-0000-0000371B0000}"/>
    <cellStyle name="Total 4 3 2 2 2 2" xfId="6967" xr:uid="{00000000-0005-0000-0000-0000381B0000}"/>
    <cellStyle name="Total 4 3 2 2 2 2 2" xfId="6968" xr:uid="{00000000-0005-0000-0000-0000391B0000}"/>
    <cellStyle name="Total 4 3 2 2 2 3" xfId="6969" xr:uid="{00000000-0005-0000-0000-00003A1B0000}"/>
    <cellStyle name="Total 4 3 2 2 3" xfId="6970" xr:uid="{00000000-0005-0000-0000-00003B1B0000}"/>
    <cellStyle name="Total 4 3 2 2 3 2" xfId="6971" xr:uid="{00000000-0005-0000-0000-00003C1B0000}"/>
    <cellStyle name="Total 4 3 2 2 4" xfId="6972" xr:uid="{00000000-0005-0000-0000-00003D1B0000}"/>
    <cellStyle name="Total 4 3 2 3" xfId="6973" xr:uid="{00000000-0005-0000-0000-00003E1B0000}"/>
    <cellStyle name="Total 4 3 2 3 2" xfId="6974" xr:uid="{00000000-0005-0000-0000-00003F1B0000}"/>
    <cellStyle name="Total 4 3 2 3 2 2" xfId="6975" xr:uid="{00000000-0005-0000-0000-0000401B0000}"/>
    <cellStyle name="Total 4 3 2 3 3" xfId="6976" xr:uid="{00000000-0005-0000-0000-0000411B0000}"/>
    <cellStyle name="Total 4 3 2 3 4" xfId="6977" xr:uid="{00000000-0005-0000-0000-0000421B0000}"/>
    <cellStyle name="Total 4 3 2 4" xfId="6978" xr:uid="{00000000-0005-0000-0000-0000431B0000}"/>
    <cellStyle name="Total 4 3 2 4 2" xfId="6979" xr:uid="{00000000-0005-0000-0000-0000441B0000}"/>
    <cellStyle name="Total 4 3 2 4 2 2" xfId="6980" xr:uid="{00000000-0005-0000-0000-0000451B0000}"/>
    <cellStyle name="Total 4 3 2 4 3" xfId="6981" xr:uid="{00000000-0005-0000-0000-0000461B0000}"/>
    <cellStyle name="Total 4 3 2 5" xfId="6982" xr:uid="{00000000-0005-0000-0000-0000471B0000}"/>
    <cellStyle name="Total 4 3 2 5 2" xfId="6983" xr:uid="{00000000-0005-0000-0000-0000481B0000}"/>
    <cellStyle name="Total 4 3 2 6" xfId="6984" xr:uid="{00000000-0005-0000-0000-0000491B0000}"/>
    <cellStyle name="Total 4 3 3" xfId="6985" xr:uid="{00000000-0005-0000-0000-00004A1B0000}"/>
    <cellStyle name="Total 4 3 3 2" xfId="6986" xr:uid="{00000000-0005-0000-0000-00004B1B0000}"/>
    <cellStyle name="Total 4 3 3 2 2" xfId="6987" xr:uid="{00000000-0005-0000-0000-00004C1B0000}"/>
    <cellStyle name="Total 4 3 3 2 2 2" xfId="6988" xr:uid="{00000000-0005-0000-0000-00004D1B0000}"/>
    <cellStyle name="Total 4 3 3 2 2 2 2" xfId="6989" xr:uid="{00000000-0005-0000-0000-00004E1B0000}"/>
    <cellStyle name="Total 4 3 3 2 2 3" xfId="6990" xr:uid="{00000000-0005-0000-0000-00004F1B0000}"/>
    <cellStyle name="Total 4 3 3 2 3" xfId="6991" xr:uid="{00000000-0005-0000-0000-0000501B0000}"/>
    <cellStyle name="Total 4 3 3 2 3 2" xfId="6992" xr:uid="{00000000-0005-0000-0000-0000511B0000}"/>
    <cellStyle name="Total 4 3 3 2 4" xfId="6993" xr:uid="{00000000-0005-0000-0000-0000521B0000}"/>
    <cellStyle name="Total 4 3 3 3" xfId="6994" xr:uid="{00000000-0005-0000-0000-0000531B0000}"/>
    <cellStyle name="Total 4 3 3 3 2" xfId="6995" xr:uid="{00000000-0005-0000-0000-0000541B0000}"/>
    <cellStyle name="Total 4 3 3 3 2 2" xfId="6996" xr:uid="{00000000-0005-0000-0000-0000551B0000}"/>
    <cellStyle name="Total 4 3 3 3 3" xfId="6997" xr:uid="{00000000-0005-0000-0000-0000561B0000}"/>
    <cellStyle name="Total 4 3 3 3 4" xfId="6998" xr:uid="{00000000-0005-0000-0000-0000571B0000}"/>
    <cellStyle name="Total 4 3 3 4" xfId="6999" xr:uid="{00000000-0005-0000-0000-0000581B0000}"/>
    <cellStyle name="Total 4 3 3 4 2" xfId="7000" xr:uid="{00000000-0005-0000-0000-0000591B0000}"/>
    <cellStyle name="Total 4 3 3 4 2 2" xfId="7001" xr:uid="{00000000-0005-0000-0000-00005A1B0000}"/>
    <cellStyle name="Total 4 3 3 4 3" xfId="7002" xr:uid="{00000000-0005-0000-0000-00005B1B0000}"/>
    <cellStyle name="Total 4 3 3 5" xfId="7003" xr:uid="{00000000-0005-0000-0000-00005C1B0000}"/>
    <cellStyle name="Total 4 3 3 5 2" xfId="7004" xr:uid="{00000000-0005-0000-0000-00005D1B0000}"/>
    <cellStyle name="Total 4 3 3 6" xfId="7005" xr:uid="{00000000-0005-0000-0000-00005E1B0000}"/>
    <cellStyle name="Total 4 3 4" xfId="7006" xr:uid="{00000000-0005-0000-0000-00005F1B0000}"/>
    <cellStyle name="Total 4 3 4 2" xfId="7007" xr:uid="{00000000-0005-0000-0000-0000601B0000}"/>
    <cellStyle name="Total 4 3 4 2 2" xfId="7008" xr:uid="{00000000-0005-0000-0000-0000611B0000}"/>
    <cellStyle name="Total 4 3 4 2 2 2" xfId="7009" xr:uid="{00000000-0005-0000-0000-0000621B0000}"/>
    <cellStyle name="Total 4 3 4 2 3" xfId="7010" xr:uid="{00000000-0005-0000-0000-0000631B0000}"/>
    <cellStyle name="Total 4 3 4 3" xfId="7011" xr:uid="{00000000-0005-0000-0000-0000641B0000}"/>
    <cellStyle name="Total 4 3 4 3 2" xfId="7012" xr:uid="{00000000-0005-0000-0000-0000651B0000}"/>
    <cellStyle name="Total 4 3 4 4" xfId="7013" xr:uid="{00000000-0005-0000-0000-0000661B0000}"/>
    <cellStyle name="Total 4 3 5" xfId="7014" xr:uid="{00000000-0005-0000-0000-0000671B0000}"/>
    <cellStyle name="Total 4 3 5 2" xfId="7015" xr:uid="{00000000-0005-0000-0000-0000681B0000}"/>
    <cellStyle name="Total 4 3 5 2 2" xfId="7016" xr:uid="{00000000-0005-0000-0000-0000691B0000}"/>
    <cellStyle name="Total 4 3 5 3" xfId="7017" xr:uid="{00000000-0005-0000-0000-00006A1B0000}"/>
    <cellStyle name="Total 4 3 5 4" xfId="7018" xr:uid="{00000000-0005-0000-0000-00006B1B0000}"/>
    <cellStyle name="Total 4 3 6" xfId="7019" xr:uid="{00000000-0005-0000-0000-00006C1B0000}"/>
    <cellStyle name="Total 4 3 6 2" xfId="7020" xr:uid="{00000000-0005-0000-0000-00006D1B0000}"/>
    <cellStyle name="Total 4 3 6 2 2" xfId="7021" xr:uid="{00000000-0005-0000-0000-00006E1B0000}"/>
    <cellStyle name="Total 4 3 6 3" xfId="7022" xr:uid="{00000000-0005-0000-0000-00006F1B0000}"/>
    <cellStyle name="Total 4 3 7" xfId="7023" xr:uid="{00000000-0005-0000-0000-0000701B0000}"/>
    <cellStyle name="Total 4 3 7 2" xfId="7024" xr:uid="{00000000-0005-0000-0000-0000711B0000}"/>
    <cellStyle name="Total 4 3 8" xfId="7025" xr:uid="{00000000-0005-0000-0000-0000721B0000}"/>
    <cellStyle name="Total 4 4" xfId="7026" xr:uid="{00000000-0005-0000-0000-0000731B0000}"/>
    <cellStyle name="Total 4 4 2" xfId="7027" xr:uid="{00000000-0005-0000-0000-0000741B0000}"/>
    <cellStyle name="Total 4 4 2 2" xfId="7028" xr:uid="{00000000-0005-0000-0000-0000751B0000}"/>
    <cellStyle name="Total 4 4 2 2 2" xfId="7029" xr:uid="{00000000-0005-0000-0000-0000761B0000}"/>
    <cellStyle name="Total 4 4 2 2 2 2" xfId="7030" xr:uid="{00000000-0005-0000-0000-0000771B0000}"/>
    <cellStyle name="Total 4 4 2 2 3" xfId="7031" xr:uid="{00000000-0005-0000-0000-0000781B0000}"/>
    <cellStyle name="Total 4 4 2 3" xfId="7032" xr:uid="{00000000-0005-0000-0000-0000791B0000}"/>
    <cellStyle name="Total 4 4 2 3 2" xfId="7033" xr:uid="{00000000-0005-0000-0000-00007A1B0000}"/>
    <cellStyle name="Total 4 4 2 4" xfId="7034" xr:uid="{00000000-0005-0000-0000-00007B1B0000}"/>
    <cellStyle name="Total 4 4 3" xfId="7035" xr:uid="{00000000-0005-0000-0000-00007C1B0000}"/>
    <cellStyle name="Total 4 4 3 2" xfId="7036" xr:uid="{00000000-0005-0000-0000-00007D1B0000}"/>
    <cellStyle name="Total 4 4 3 2 2" xfId="7037" xr:uid="{00000000-0005-0000-0000-00007E1B0000}"/>
    <cellStyle name="Total 4 4 3 3" xfId="7038" xr:uid="{00000000-0005-0000-0000-00007F1B0000}"/>
    <cellStyle name="Total 4 4 3 4" xfId="7039" xr:uid="{00000000-0005-0000-0000-0000801B0000}"/>
    <cellStyle name="Total 4 4 4" xfId="7040" xr:uid="{00000000-0005-0000-0000-0000811B0000}"/>
    <cellStyle name="Total 4 4 4 2" xfId="7041" xr:uid="{00000000-0005-0000-0000-0000821B0000}"/>
    <cellStyle name="Total 4 4 4 2 2" xfId="7042" xr:uid="{00000000-0005-0000-0000-0000831B0000}"/>
    <cellStyle name="Total 4 4 4 3" xfId="7043" xr:uid="{00000000-0005-0000-0000-0000841B0000}"/>
    <cellStyle name="Total 4 4 5" xfId="7044" xr:uid="{00000000-0005-0000-0000-0000851B0000}"/>
    <cellStyle name="Total 4 4 5 2" xfId="7045" xr:uid="{00000000-0005-0000-0000-0000861B0000}"/>
    <cellStyle name="Total 4 4 6" xfId="7046" xr:uid="{00000000-0005-0000-0000-0000871B0000}"/>
    <cellStyle name="Total 5" xfId="7047" xr:uid="{00000000-0005-0000-0000-0000881B0000}"/>
    <cellStyle name="Total 5 2" xfId="7048" xr:uid="{00000000-0005-0000-0000-0000891B0000}"/>
    <cellStyle name="Total 5 2 2" xfId="7049" xr:uid="{00000000-0005-0000-0000-00008A1B0000}"/>
    <cellStyle name="Total 5 2 2 2" xfId="7050" xr:uid="{00000000-0005-0000-0000-00008B1B0000}"/>
    <cellStyle name="Total 5 2 2 2 2" xfId="7051" xr:uid="{00000000-0005-0000-0000-00008C1B0000}"/>
    <cellStyle name="Total 5 2 2 2 2 2" xfId="7052" xr:uid="{00000000-0005-0000-0000-00008D1B0000}"/>
    <cellStyle name="Total 5 2 2 2 2 2 2" xfId="7053" xr:uid="{00000000-0005-0000-0000-00008E1B0000}"/>
    <cellStyle name="Total 5 2 2 2 2 3" xfId="7054" xr:uid="{00000000-0005-0000-0000-00008F1B0000}"/>
    <cellStyle name="Total 5 2 2 2 3" xfId="7055" xr:uid="{00000000-0005-0000-0000-0000901B0000}"/>
    <cellStyle name="Total 5 2 2 2 3 2" xfId="7056" xr:uid="{00000000-0005-0000-0000-0000911B0000}"/>
    <cellStyle name="Total 5 2 2 2 4" xfId="7057" xr:uid="{00000000-0005-0000-0000-0000921B0000}"/>
    <cellStyle name="Total 5 2 2 3" xfId="7058" xr:uid="{00000000-0005-0000-0000-0000931B0000}"/>
    <cellStyle name="Total 5 2 2 3 2" xfId="7059" xr:uid="{00000000-0005-0000-0000-0000941B0000}"/>
    <cellStyle name="Total 5 2 2 3 2 2" xfId="7060" xr:uid="{00000000-0005-0000-0000-0000951B0000}"/>
    <cellStyle name="Total 5 2 2 3 3" xfId="7061" xr:uid="{00000000-0005-0000-0000-0000961B0000}"/>
    <cellStyle name="Total 5 2 2 3 4" xfId="7062" xr:uid="{00000000-0005-0000-0000-0000971B0000}"/>
    <cellStyle name="Total 5 2 2 4" xfId="7063" xr:uid="{00000000-0005-0000-0000-0000981B0000}"/>
    <cellStyle name="Total 5 2 2 4 2" xfId="7064" xr:uid="{00000000-0005-0000-0000-0000991B0000}"/>
    <cellStyle name="Total 5 2 2 4 2 2" xfId="7065" xr:uid="{00000000-0005-0000-0000-00009A1B0000}"/>
    <cellStyle name="Total 5 2 2 4 3" xfId="7066" xr:uid="{00000000-0005-0000-0000-00009B1B0000}"/>
    <cellStyle name="Total 5 2 2 5" xfId="7067" xr:uid="{00000000-0005-0000-0000-00009C1B0000}"/>
    <cellStyle name="Total 5 2 2 5 2" xfId="7068" xr:uid="{00000000-0005-0000-0000-00009D1B0000}"/>
    <cellStyle name="Total 5 2 2 6" xfId="7069" xr:uid="{00000000-0005-0000-0000-00009E1B0000}"/>
    <cellStyle name="Total 5 2 3" xfId="7070" xr:uid="{00000000-0005-0000-0000-00009F1B0000}"/>
    <cellStyle name="Total 5 2 3 2" xfId="7071" xr:uid="{00000000-0005-0000-0000-0000A01B0000}"/>
    <cellStyle name="Total 5 2 3 2 2" xfId="7072" xr:uid="{00000000-0005-0000-0000-0000A11B0000}"/>
    <cellStyle name="Total 5 2 3 2 2 2" xfId="7073" xr:uid="{00000000-0005-0000-0000-0000A21B0000}"/>
    <cellStyle name="Total 5 2 3 2 2 2 2" xfId="7074" xr:uid="{00000000-0005-0000-0000-0000A31B0000}"/>
    <cellStyle name="Total 5 2 3 2 2 3" xfId="7075" xr:uid="{00000000-0005-0000-0000-0000A41B0000}"/>
    <cellStyle name="Total 5 2 3 2 3" xfId="7076" xr:uid="{00000000-0005-0000-0000-0000A51B0000}"/>
    <cellStyle name="Total 5 2 3 2 3 2" xfId="7077" xr:uid="{00000000-0005-0000-0000-0000A61B0000}"/>
    <cellStyle name="Total 5 2 3 2 4" xfId="7078" xr:uid="{00000000-0005-0000-0000-0000A71B0000}"/>
    <cellStyle name="Total 5 2 3 3" xfId="7079" xr:uid="{00000000-0005-0000-0000-0000A81B0000}"/>
    <cellStyle name="Total 5 2 3 3 2" xfId="7080" xr:uid="{00000000-0005-0000-0000-0000A91B0000}"/>
    <cellStyle name="Total 5 2 3 3 2 2" xfId="7081" xr:uid="{00000000-0005-0000-0000-0000AA1B0000}"/>
    <cellStyle name="Total 5 2 3 3 3" xfId="7082" xr:uid="{00000000-0005-0000-0000-0000AB1B0000}"/>
    <cellStyle name="Total 5 2 3 3 4" xfId="7083" xr:uid="{00000000-0005-0000-0000-0000AC1B0000}"/>
    <cellStyle name="Total 5 2 3 4" xfId="7084" xr:uid="{00000000-0005-0000-0000-0000AD1B0000}"/>
    <cellStyle name="Total 5 2 3 4 2" xfId="7085" xr:uid="{00000000-0005-0000-0000-0000AE1B0000}"/>
    <cellStyle name="Total 5 2 3 4 2 2" xfId="7086" xr:uid="{00000000-0005-0000-0000-0000AF1B0000}"/>
    <cellStyle name="Total 5 2 3 4 3" xfId="7087" xr:uid="{00000000-0005-0000-0000-0000B01B0000}"/>
    <cellStyle name="Total 5 2 3 5" xfId="7088" xr:uid="{00000000-0005-0000-0000-0000B11B0000}"/>
    <cellStyle name="Total 5 2 3 5 2" xfId="7089" xr:uid="{00000000-0005-0000-0000-0000B21B0000}"/>
    <cellStyle name="Total 5 2 3 6" xfId="7090" xr:uid="{00000000-0005-0000-0000-0000B31B0000}"/>
    <cellStyle name="Total 5 2 4" xfId="7091" xr:uid="{00000000-0005-0000-0000-0000B41B0000}"/>
    <cellStyle name="Total 5 2 4 2" xfId="7092" xr:uid="{00000000-0005-0000-0000-0000B51B0000}"/>
    <cellStyle name="Total 5 2 4 2 2" xfId="7093" xr:uid="{00000000-0005-0000-0000-0000B61B0000}"/>
    <cellStyle name="Total 5 2 4 2 2 2" xfId="7094" xr:uid="{00000000-0005-0000-0000-0000B71B0000}"/>
    <cellStyle name="Total 5 2 4 2 2 2 2" xfId="7095" xr:uid="{00000000-0005-0000-0000-0000B81B0000}"/>
    <cellStyle name="Total 5 2 4 2 2 3" xfId="7096" xr:uid="{00000000-0005-0000-0000-0000B91B0000}"/>
    <cellStyle name="Total 5 2 4 2 3" xfId="7097" xr:uid="{00000000-0005-0000-0000-0000BA1B0000}"/>
    <cellStyle name="Total 5 2 4 2 3 2" xfId="7098" xr:uid="{00000000-0005-0000-0000-0000BB1B0000}"/>
    <cellStyle name="Total 5 2 4 2 4" xfId="7099" xr:uid="{00000000-0005-0000-0000-0000BC1B0000}"/>
    <cellStyle name="Total 5 2 4 3" xfId="7100" xr:uid="{00000000-0005-0000-0000-0000BD1B0000}"/>
    <cellStyle name="Total 5 2 4 3 2" xfId="7101" xr:uid="{00000000-0005-0000-0000-0000BE1B0000}"/>
    <cellStyle name="Total 5 2 4 3 2 2" xfId="7102" xr:uid="{00000000-0005-0000-0000-0000BF1B0000}"/>
    <cellStyle name="Total 5 2 4 3 3" xfId="7103" xr:uid="{00000000-0005-0000-0000-0000C01B0000}"/>
    <cellStyle name="Total 5 2 4 3 4" xfId="7104" xr:uid="{00000000-0005-0000-0000-0000C11B0000}"/>
    <cellStyle name="Total 5 2 4 4" xfId="7105" xr:uid="{00000000-0005-0000-0000-0000C21B0000}"/>
    <cellStyle name="Total 5 2 4 4 2" xfId="7106" xr:uid="{00000000-0005-0000-0000-0000C31B0000}"/>
    <cellStyle name="Total 5 2 4 4 2 2" xfId="7107" xr:uid="{00000000-0005-0000-0000-0000C41B0000}"/>
    <cellStyle name="Total 5 2 4 4 3" xfId="7108" xr:uid="{00000000-0005-0000-0000-0000C51B0000}"/>
    <cellStyle name="Total 5 2 4 5" xfId="7109" xr:uid="{00000000-0005-0000-0000-0000C61B0000}"/>
    <cellStyle name="Total 5 2 4 5 2" xfId="7110" xr:uid="{00000000-0005-0000-0000-0000C71B0000}"/>
    <cellStyle name="Total 5 2 4 6" xfId="7111" xr:uid="{00000000-0005-0000-0000-0000C81B0000}"/>
    <cellStyle name="Total 5 2 5" xfId="7112" xr:uid="{00000000-0005-0000-0000-0000C91B0000}"/>
    <cellStyle name="Total 5 2 5 2" xfId="7113" xr:uid="{00000000-0005-0000-0000-0000CA1B0000}"/>
    <cellStyle name="Total 5 3" xfId="7114" xr:uid="{00000000-0005-0000-0000-0000CB1B0000}"/>
    <cellStyle name="Total 5 3 2" xfId="7115" xr:uid="{00000000-0005-0000-0000-0000CC1B0000}"/>
    <cellStyle name="Total 5 3 2 2" xfId="7116" xr:uid="{00000000-0005-0000-0000-0000CD1B0000}"/>
    <cellStyle name="Total 5 3 2 2 2" xfId="7117" xr:uid="{00000000-0005-0000-0000-0000CE1B0000}"/>
    <cellStyle name="Total 5 3 2 2 2 2" xfId="7118" xr:uid="{00000000-0005-0000-0000-0000CF1B0000}"/>
    <cellStyle name="Total 5 3 2 2 2 2 2" xfId="7119" xr:uid="{00000000-0005-0000-0000-0000D01B0000}"/>
    <cellStyle name="Total 5 3 2 2 2 3" xfId="7120" xr:uid="{00000000-0005-0000-0000-0000D11B0000}"/>
    <cellStyle name="Total 5 3 2 2 3" xfId="7121" xr:uid="{00000000-0005-0000-0000-0000D21B0000}"/>
    <cellStyle name="Total 5 3 2 2 3 2" xfId="7122" xr:uid="{00000000-0005-0000-0000-0000D31B0000}"/>
    <cellStyle name="Total 5 3 2 2 4" xfId="7123" xr:uid="{00000000-0005-0000-0000-0000D41B0000}"/>
    <cellStyle name="Total 5 3 2 3" xfId="7124" xr:uid="{00000000-0005-0000-0000-0000D51B0000}"/>
    <cellStyle name="Total 5 3 2 3 2" xfId="7125" xr:uid="{00000000-0005-0000-0000-0000D61B0000}"/>
    <cellStyle name="Total 5 3 2 3 2 2" xfId="7126" xr:uid="{00000000-0005-0000-0000-0000D71B0000}"/>
    <cellStyle name="Total 5 3 2 3 3" xfId="7127" xr:uid="{00000000-0005-0000-0000-0000D81B0000}"/>
    <cellStyle name="Total 5 3 2 3 4" xfId="7128" xr:uid="{00000000-0005-0000-0000-0000D91B0000}"/>
    <cellStyle name="Total 5 3 2 4" xfId="7129" xr:uid="{00000000-0005-0000-0000-0000DA1B0000}"/>
    <cellStyle name="Total 5 3 2 4 2" xfId="7130" xr:uid="{00000000-0005-0000-0000-0000DB1B0000}"/>
    <cellStyle name="Total 5 3 2 4 2 2" xfId="7131" xr:uid="{00000000-0005-0000-0000-0000DC1B0000}"/>
    <cellStyle name="Total 5 3 2 4 3" xfId="7132" xr:uid="{00000000-0005-0000-0000-0000DD1B0000}"/>
    <cellStyle name="Total 5 3 2 5" xfId="7133" xr:uid="{00000000-0005-0000-0000-0000DE1B0000}"/>
    <cellStyle name="Total 5 3 2 5 2" xfId="7134" xr:uid="{00000000-0005-0000-0000-0000DF1B0000}"/>
    <cellStyle name="Total 5 3 2 6" xfId="7135" xr:uid="{00000000-0005-0000-0000-0000E01B0000}"/>
    <cellStyle name="Total 5 3 3" xfId="7136" xr:uid="{00000000-0005-0000-0000-0000E11B0000}"/>
    <cellStyle name="Total 5 3 3 2" xfId="7137" xr:uid="{00000000-0005-0000-0000-0000E21B0000}"/>
    <cellStyle name="Total 5 3 3 2 2" xfId="7138" xr:uid="{00000000-0005-0000-0000-0000E31B0000}"/>
    <cellStyle name="Total 5 3 3 2 2 2" xfId="7139" xr:uid="{00000000-0005-0000-0000-0000E41B0000}"/>
    <cellStyle name="Total 5 3 3 2 2 2 2" xfId="7140" xr:uid="{00000000-0005-0000-0000-0000E51B0000}"/>
    <cellStyle name="Total 5 3 3 2 2 3" xfId="7141" xr:uid="{00000000-0005-0000-0000-0000E61B0000}"/>
    <cellStyle name="Total 5 3 3 2 3" xfId="7142" xr:uid="{00000000-0005-0000-0000-0000E71B0000}"/>
    <cellStyle name="Total 5 3 3 2 3 2" xfId="7143" xr:uid="{00000000-0005-0000-0000-0000E81B0000}"/>
    <cellStyle name="Total 5 3 3 2 4" xfId="7144" xr:uid="{00000000-0005-0000-0000-0000E91B0000}"/>
    <cellStyle name="Total 5 3 3 3" xfId="7145" xr:uid="{00000000-0005-0000-0000-0000EA1B0000}"/>
    <cellStyle name="Total 5 3 3 3 2" xfId="7146" xr:uid="{00000000-0005-0000-0000-0000EB1B0000}"/>
    <cellStyle name="Total 5 3 3 3 2 2" xfId="7147" xr:uid="{00000000-0005-0000-0000-0000EC1B0000}"/>
    <cellStyle name="Total 5 3 3 3 3" xfId="7148" xr:uid="{00000000-0005-0000-0000-0000ED1B0000}"/>
    <cellStyle name="Total 5 3 3 3 4" xfId="7149" xr:uid="{00000000-0005-0000-0000-0000EE1B0000}"/>
    <cellStyle name="Total 5 3 3 4" xfId="7150" xr:uid="{00000000-0005-0000-0000-0000EF1B0000}"/>
    <cellStyle name="Total 5 3 3 4 2" xfId="7151" xr:uid="{00000000-0005-0000-0000-0000F01B0000}"/>
    <cellStyle name="Total 5 3 3 4 2 2" xfId="7152" xr:uid="{00000000-0005-0000-0000-0000F11B0000}"/>
    <cellStyle name="Total 5 3 3 4 3" xfId="7153" xr:uid="{00000000-0005-0000-0000-0000F21B0000}"/>
    <cellStyle name="Total 5 3 3 5" xfId="7154" xr:uid="{00000000-0005-0000-0000-0000F31B0000}"/>
    <cellStyle name="Total 5 3 3 5 2" xfId="7155" xr:uid="{00000000-0005-0000-0000-0000F41B0000}"/>
    <cellStyle name="Total 5 3 3 6" xfId="7156" xr:uid="{00000000-0005-0000-0000-0000F51B0000}"/>
    <cellStyle name="Total 5 3 4" xfId="7157" xr:uid="{00000000-0005-0000-0000-0000F61B0000}"/>
    <cellStyle name="Total 5 3 4 2" xfId="7158" xr:uid="{00000000-0005-0000-0000-0000F71B0000}"/>
    <cellStyle name="Total 5 3 4 2 2" xfId="7159" xr:uid="{00000000-0005-0000-0000-0000F81B0000}"/>
    <cellStyle name="Total 5 3 4 2 2 2" xfId="7160" xr:uid="{00000000-0005-0000-0000-0000F91B0000}"/>
    <cellStyle name="Total 5 3 4 2 3" xfId="7161" xr:uid="{00000000-0005-0000-0000-0000FA1B0000}"/>
    <cellStyle name="Total 5 3 4 3" xfId="7162" xr:uid="{00000000-0005-0000-0000-0000FB1B0000}"/>
    <cellStyle name="Total 5 3 4 3 2" xfId="7163" xr:uid="{00000000-0005-0000-0000-0000FC1B0000}"/>
    <cellStyle name="Total 5 3 4 4" xfId="7164" xr:uid="{00000000-0005-0000-0000-0000FD1B0000}"/>
    <cellStyle name="Total 5 3 5" xfId="7165" xr:uid="{00000000-0005-0000-0000-0000FE1B0000}"/>
    <cellStyle name="Total 5 3 5 2" xfId="7166" xr:uid="{00000000-0005-0000-0000-0000FF1B0000}"/>
    <cellStyle name="Total 5 3 5 2 2" xfId="7167" xr:uid="{00000000-0005-0000-0000-0000001C0000}"/>
    <cellStyle name="Total 5 3 5 3" xfId="7168" xr:uid="{00000000-0005-0000-0000-0000011C0000}"/>
    <cellStyle name="Total 5 3 5 4" xfId="7169" xr:uid="{00000000-0005-0000-0000-0000021C0000}"/>
    <cellStyle name="Total 5 3 6" xfId="7170" xr:uid="{00000000-0005-0000-0000-0000031C0000}"/>
    <cellStyle name="Total 5 3 6 2" xfId="7171" xr:uid="{00000000-0005-0000-0000-0000041C0000}"/>
    <cellStyle name="Total 5 3 6 2 2" xfId="7172" xr:uid="{00000000-0005-0000-0000-0000051C0000}"/>
    <cellStyle name="Total 5 3 6 3" xfId="7173" xr:uid="{00000000-0005-0000-0000-0000061C0000}"/>
    <cellStyle name="Total 5 3 7" xfId="7174" xr:uid="{00000000-0005-0000-0000-0000071C0000}"/>
    <cellStyle name="Total 5 3 7 2" xfId="7175" xr:uid="{00000000-0005-0000-0000-0000081C0000}"/>
    <cellStyle name="Total 5 3 8" xfId="7176" xr:uid="{00000000-0005-0000-0000-0000091C0000}"/>
    <cellStyle name="Total 5 4" xfId="7177" xr:uid="{00000000-0005-0000-0000-00000A1C0000}"/>
    <cellStyle name="Total 5 4 2" xfId="7178" xr:uid="{00000000-0005-0000-0000-00000B1C0000}"/>
    <cellStyle name="Total 5 4 2 2" xfId="7179" xr:uid="{00000000-0005-0000-0000-00000C1C0000}"/>
    <cellStyle name="Total 5 4 2 2 2" xfId="7180" xr:uid="{00000000-0005-0000-0000-00000D1C0000}"/>
    <cellStyle name="Total 5 4 2 2 2 2" xfId="7181" xr:uid="{00000000-0005-0000-0000-00000E1C0000}"/>
    <cellStyle name="Total 5 4 2 2 3" xfId="7182" xr:uid="{00000000-0005-0000-0000-00000F1C0000}"/>
    <cellStyle name="Total 5 4 2 3" xfId="7183" xr:uid="{00000000-0005-0000-0000-0000101C0000}"/>
    <cellStyle name="Total 5 4 2 3 2" xfId="7184" xr:uid="{00000000-0005-0000-0000-0000111C0000}"/>
    <cellStyle name="Total 5 4 2 4" xfId="7185" xr:uid="{00000000-0005-0000-0000-0000121C0000}"/>
    <cellStyle name="Total 5 4 3" xfId="7186" xr:uid="{00000000-0005-0000-0000-0000131C0000}"/>
    <cellStyle name="Total 5 4 3 2" xfId="7187" xr:uid="{00000000-0005-0000-0000-0000141C0000}"/>
    <cellStyle name="Total 5 4 3 2 2" xfId="7188" xr:uid="{00000000-0005-0000-0000-0000151C0000}"/>
    <cellStyle name="Total 5 4 3 3" xfId="7189" xr:uid="{00000000-0005-0000-0000-0000161C0000}"/>
    <cellStyle name="Total 5 4 3 4" xfId="7190" xr:uid="{00000000-0005-0000-0000-0000171C0000}"/>
    <cellStyle name="Total 5 4 4" xfId="7191" xr:uid="{00000000-0005-0000-0000-0000181C0000}"/>
    <cellStyle name="Total 5 4 4 2" xfId="7192" xr:uid="{00000000-0005-0000-0000-0000191C0000}"/>
    <cellStyle name="Total 5 4 4 2 2" xfId="7193" xr:uid="{00000000-0005-0000-0000-00001A1C0000}"/>
    <cellStyle name="Total 5 4 4 3" xfId="7194" xr:uid="{00000000-0005-0000-0000-00001B1C0000}"/>
    <cellStyle name="Total 5 4 5" xfId="7195" xr:uid="{00000000-0005-0000-0000-00001C1C0000}"/>
    <cellStyle name="Total 5 4 5 2" xfId="7196" xr:uid="{00000000-0005-0000-0000-00001D1C0000}"/>
    <cellStyle name="Total 5 4 6" xfId="7197" xr:uid="{00000000-0005-0000-0000-00001E1C0000}"/>
    <cellStyle name="Total 5 5" xfId="7198" xr:uid="{00000000-0005-0000-0000-00001F1C0000}"/>
    <cellStyle name="Total 5 5 2" xfId="7199" xr:uid="{00000000-0005-0000-0000-0000201C0000}"/>
    <cellStyle name="Total 6" xfId="7200" xr:uid="{00000000-0005-0000-0000-0000211C0000}"/>
    <cellStyle name="Total 6 2" xfId="7201" xr:uid="{00000000-0005-0000-0000-0000221C0000}"/>
    <cellStyle name="Total 6 2 2" xfId="7202" xr:uid="{00000000-0005-0000-0000-0000231C0000}"/>
    <cellStyle name="Total 6 2 2 2" xfId="7203" xr:uid="{00000000-0005-0000-0000-0000241C0000}"/>
    <cellStyle name="Total 6 2 2 2 2" xfId="7204" xr:uid="{00000000-0005-0000-0000-0000251C0000}"/>
    <cellStyle name="Total 6 2 2 2 2 2" xfId="7205" xr:uid="{00000000-0005-0000-0000-0000261C0000}"/>
    <cellStyle name="Total 6 2 2 2 2 2 2" xfId="7206" xr:uid="{00000000-0005-0000-0000-0000271C0000}"/>
    <cellStyle name="Total 6 2 2 2 2 3" xfId="7207" xr:uid="{00000000-0005-0000-0000-0000281C0000}"/>
    <cellStyle name="Total 6 2 2 2 3" xfId="7208" xr:uid="{00000000-0005-0000-0000-0000291C0000}"/>
    <cellStyle name="Total 6 2 2 2 3 2" xfId="7209" xr:uid="{00000000-0005-0000-0000-00002A1C0000}"/>
    <cellStyle name="Total 6 2 2 2 4" xfId="7210" xr:uid="{00000000-0005-0000-0000-00002B1C0000}"/>
    <cellStyle name="Total 6 2 2 3" xfId="7211" xr:uid="{00000000-0005-0000-0000-00002C1C0000}"/>
    <cellStyle name="Total 6 2 2 3 2" xfId="7212" xr:uid="{00000000-0005-0000-0000-00002D1C0000}"/>
    <cellStyle name="Total 6 2 2 3 2 2" xfId="7213" xr:uid="{00000000-0005-0000-0000-00002E1C0000}"/>
    <cellStyle name="Total 6 2 2 3 3" xfId="7214" xr:uid="{00000000-0005-0000-0000-00002F1C0000}"/>
    <cellStyle name="Total 6 2 2 3 4" xfId="7215" xr:uid="{00000000-0005-0000-0000-0000301C0000}"/>
    <cellStyle name="Total 6 2 2 4" xfId="7216" xr:uid="{00000000-0005-0000-0000-0000311C0000}"/>
    <cellStyle name="Total 6 2 2 4 2" xfId="7217" xr:uid="{00000000-0005-0000-0000-0000321C0000}"/>
    <cellStyle name="Total 6 2 2 4 2 2" xfId="7218" xr:uid="{00000000-0005-0000-0000-0000331C0000}"/>
    <cellStyle name="Total 6 2 2 4 3" xfId="7219" xr:uid="{00000000-0005-0000-0000-0000341C0000}"/>
    <cellStyle name="Total 6 2 2 5" xfId="7220" xr:uid="{00000000-0005-0000-0000-0000351C0000}"/>
    <cellStyle name="Total 6 2 2 5 2" xfId="7221" xr:uid="{00000000-0005-0000-0000-0000361C0000}"/>
    <cellStyle name="Total 6 2 2 6" xfId="7222" xr:uid="{00000000-0005-0000-0000-0000371C0000}"/>
    <cellStyle name="Total 6 2 3" xfId="7223" xr:uid="{00000000-0005-0000-0000-0000381C0000}"/>
    <cellStyle name="Total 6 2 3 2" xfId="7224" xr:uid="{00000000-0005-0000-0000-0000391C0000}"/>
    <cellStyle name="Total 6 2 3 2 2" xfId="7225" xr:uid="{00000000-0005-0000-0000-00003A1C0000}"/>
    <cellStyle name="Total 6 2 3 2 2 2" xfId="7226" xr:uid="{00000000-0005-0000-0000-00003B1C0000}"/>
    <cellStyle name="Total 6 2 3 2 2 2 2" xfId="7227" xr:uid="{00000000-0005-0000-0000-00003C1C0000}"/>
    <cellStyle name="Total 6 2 3 2 2 3" xfId="7228" xr:uid="{00000000-0005-0000-0000-00003D1C0000}"/>
    <cellStyle name="Total 6 2 3 2 3" xfId="7229" xr:uid="{00000000-0005-0000-0000-00003E1C0000}"/>
    <cellStyle name="Total 6 2 3 2 3 2" xfId="7230" xr:uid="{00000000-0005-0000-0000-00003F1C0000}"/>
    <cellStyle name="Total 6 2 3 2 4" xfId="7231" xr:uid="{00000000-0005-0000-0000-0000401C0000}"/>
    <cellStyle name="Total 6 2 3 3" xfId="7232" xr:uid="{00000000-0005-0000-0000-0000411C0000}"/>
    <cellStyle name="Total 6 2 3 3 2" xfId="7233" xr:uid="{00000000-0005-0000-0000-0000421C0000}"/>
    <cellStyle name="Total 6 2 3 3 2 2" xfId="7234" xr:uid="{00000000-0005-0000-0000-0000431C0000}"/>
    <cellStyle name="Total 6 2 3 3 3" xfId="7235" xr:uid="{00000000-0005-0000-0000-0000441C0000}"/>
    <cellStyle name="Total 6 2 3 3 4" xfId="7236" xr:uid="{00000000-0005-0000-0000-0000451C0000}"/>
    <cellStyle name="Total 6 2 3 4" xfId="7237" xr:uid="{00000000-0005-0000-0000-0000461C0000}"/>
    <cellStyle name="Total 6 2 3 4 2" xfId="7238" xr:uid="{00000000-0005-0000-0000-0000471C0000}"/>
    <cellStyle name="Total 6 2 3 4 2 2" xfId="7239" xr:uid="{00000000-0005-0000-0000-0000481C0000}"/>
    <cellStyle name="Total 6 2 3 4 3" xfId="7240" xr:uid="{00000000-0005-0000-0000-0000491C0000}"/>
    <cellStyle name="Total 6 2 3 5" xfId="7241" xr:uid="{00000000-0005-0000-0000-00004A1C0000}"/>
    <cellStyle name="Total 6 2 3 5 2" xfId="7242" xr:uid="{00000000-0005-0000-0000-00004B1C0000}"/>
    <cellStyle name="Total 6 2 3 6" xfId="7243" xr:uid="{00000000-0005-0000-0000-00004C1C0000}"/>
    <cellStyle name="Total 6 2 4" xfId="7244" xr:uid="{00000000-0005-0000-0000-00004D1C0000}"/>
    <cellStyle name="Total 6 2 4 2" xfId="7245" xr:uid="{00000000-0005-0000-0000-00004E1C0000}"/>
    <cellStyle name="Total 6 2 4 2 2" xfId="7246" xr:uid="{00000000-0005-0000-0000-00004F1C0000}"/>
    <cellStyle name="Total 6 2 4 2 2 2" xfId="7247" xr:uid="{00000000-0005-0000-0000-0000501C0000}"/>
    <cellStyle name="Total 6 2 4 2 3" xfId="7248" xr:uid="{00000000-0005-0000-0000-0000511C0000}"/>
    <cellStyle name="Total 6 2 4 3" xfId="7249" xr:uid="{00000000-0005-0000-0000-0000521C0000}"/>
    <cellStyle name="Total 6 2 4 3 2" xfId="7250" xr:uid="{00000000-0005-0000-0000-0000531C0000}"/>
    <cellStyle name="Total 6 2 4 4" xfId="7251" xr:uid="{00000000-0005-0000-0000-0000541C0000}"/>
    <cellStyle name="Total 6 2 5" xfId="7252" xr:uid="{00000000-0005-0000-0000-0000551C0000}"/>
    <cellStyle name="Total 6 2 5 2" xfId="7253" xr:uid="{00000000-0005-0000-0000-0000561C0000}"/>
    <cellStyle name="Total 6 2 5 2 2" xfId="7254" xr:uid="{00000000-0005-0000-0000-0000571C0000}"/>
    <cellStyle name="Total 6 2 5 3" xfId="7255" xr:uid="{00000000-0005-0000-0000-0000581C0000}"/>
    <cellStyle name="Total 6 2 5 4" xfId="7256" xr:uid="{00000000-0005-0000-0000-0000591C0000}"/>
    <cellStyle name="Total 6 2 6" xfId="7257" xr:uid="{00000000-0005-0000-0000-00005A1C0000}"/>
    <cellStyle name="Total 6 2 6 2" xfId="7258" xr:uid="{00000000-0005-0000-0000-00005B1C0000}"/>
    <cellStyle name="Total 6 2 6 2 2" xfId="7259" xr:uid="{00000000-0005-0000-0000-00005C1C0000}"/>
    <cellStyle name="Total 6 2 6 3" xfId="7260" xr:uid="{00000000-0005-0000-0000-00005D1C0000}"/>
    <cellStyle name="Total 6 2 7" xfId="7261" xr:uid="{00000000-0005-0000-0000-00005E1C0000}"/>
    <cellStyle name="Total 6 2 7 2" xfId="7262" xr:uid="{00000000-0005-0000-0000-00005F1C0000}"/>
    <cellStyle name="Total 6 2 8" xfId="7263" xr:uid="{00000000-0005-0000-0000-0000601C0000}"/>
    <cellStyle name="Total 6 3" xfId="7264" xr:uid="{00000000-0005-0000-0000-0000611C0000}"/>
    <cellStyle name="Total 6 3 2" xfId="7265" xr:uid="{00000000-0005-0000-0000-0000621C0000}"/>
    <cellStyle name="Total 6 3 2 2" xfId="7266" xr:uid="{00000000-0005-0000-0000-0000631C0000}"/>
    <cellStyle name="Total 6 3 2 2 2" xfId="7267" xr:uid="{00000000-0005-0000-0000-0000641C0000}"/>
    <cellStyle name="Total 6 3 2 2 2 2" xfId="7268" xr:uid="{00000000-0005-0000-0000-0000651C0000}"/>
    <cellStyle name="Total 6 3 2 2 3" xfId="7269" xr:uid="{00000000-0005-0000-0000-0000661C0000}"/>
    <cellStyle name="Total 6 3 2 3" xfId="7270" xr:uid="{00000000-0005-0000-0000-0000671C0000}"/>
    <cellStyle name="Total 6 3 2 3 2" xfId="7271" xr:uid="{00000000-0005-0000-0000-0000681C0000}"/>
    <cellStyle name="Total 6 3 2 4" xfId="7272" xr:uid="{00000000-0005-0000-0000-0000691C0000}"/>
    <cellStyle name="Total 6 3 3" xfId="7273" xr:uid="{00000000-0005-0000-0000-00006A1C0000}"/>
    <cellStyle name="Total 6 3 3 2" xfId="7274" xr:uid="{00000000-0005-0000-0000-00006B1C0000}"/>
    <cellStyle name="Total 6 3 3 2 2" xfId="7275" xr:uid="{00000000-0005-0000-0000-00006C1C0000}"/>
    <cellStyle name="Total 6 3 3 3" xfId="7276" xr:uid="{00000000-0005-0000-0000-00006D1C0000}"/>
    <cellStyle name="Total 6 3 3 4" xfId="7277" xr:uid="{00000000-0005-0000-0000-00006E1C0000}"/>
    <cellStyle name="Total 6 3 4" xfId="7278" xr:uid="{00000000-0005-0000-0000-00006F1C0000}"/>
    <cellStyle name="Total 6 3 4 2" xfId="7279" xr:uid="{00000000-0005-0000-0000-0000701C0000}"/>
    <cellStyle name="Total 6 3 4 2 2" xfId="7280" xr:uid="{00000000-0005-0000-0000-0000711C0000}"/>
    <cellStyle name="Total 6 3 4 3" xfId="7281" xr:uid="{00000000-0005-0000-0000-0000721C0000}"/>
    <cellStyle name="Total 6 3 5" xfId="7282" xr:uid="{00000000-0005-0000-0000-0000731C0000}"/>
    <cellStyle name="Total 6 3 5 2" xfId="7283" xr:uid="{00000000-0005-0000-0000-0000741C0000}"/>
    <cellStyle name="Total 6 3 6" xfId="7284" xr:uid="{00000000-0005-0000-0000-0000751C0000}"/>
    <cellStyle name="Total 6 4" xfId="7285" xr:uid="{00000000-0005-0000-0000-0000761C0000}"/>
    <cellStyle name="Total 6 4 2" xfId="7286" xr:uid="{00000000-0005-0000-0000-0000771C0000}"/>
    <cellStyle name="Total 7" xfId="7287" xr:uid="{00000000-0005-0000-0000-0000781C0000}"/>
    <cellStyle name="Total 7 2" xfId="7288" xr:uid="{00000000-0005-0000-0000-0000791C0000}"/>
    <cellStyle name="Total 7 2 2" xfId="7289" xr:uid="{00000000-0005-0000-0000-00007A1C0000}"/>
    <cellStyle name="Total 7 2 2 2" xfId="7290" xr:uid="{00000000-0005-0000-0000-00007B1C0000}"/>
    <cellStyle name="Total 7 2 2 2 2" xfId="7291" xr:uid="{00000000-0005-0000-0000-00007C1C0000}"/>
    <cellStyle name="Total 7 2 2 2 2 2" xfId="7292" xr:uid="{00000000-0005-0000-0000-00007D1C0000}"/>
    <cellStyle name="Total 7 2 2 2 3" xfId="7293" xr:uid="{00000000-0005-0000-0000-00007E1C0000}"/>
    <cellStyle name="Total 7 2 2 3" xfId="7294" xr:uid="{00000000-0005-0000-0000-00007F1C0000}"/>
    <cellStyle name="Total 7 2 2 3 2" xfId="7295" xr:uid="{00000000-0005-0000-0000-0000801C0000}"/>
    <cellStyle name="Total 7 2 2 4" xfId="7296" xr:uid="{00000000-0005-0000-0000-0000811C0000}"/>
    <cellStyle name="Total 7 2 3" xfId="7297" xr:uid="{00000000-0005-0000-0000-0000821C0000}"/>
    <cellStyle name="Total 7 2 3 2" xfId="7298" xr:uid="{00000000-0005-0000-0000-0000831C0000}"/>
    <cellStyle name="Total 7 2 3 2 2" xfId="7299" xr:uid="{00000000-0005-0000-0000-0000841C0000}"/>
    <cellStyle name="Total 7 2 3 3" xfId="7300" xr:uid="{00000000-0005-0000-0000-0000851C0000}"/>
    <cellStyle name="Total 7 2 3 4" xfId="7301" xr:uid="{00000000-0005-0000-0000-0000861C0000}"/>
    <cellStyle name="Total 7 2 4" xfId="7302" xr:uid="{00000000-0005-0000-0000-0000871C0000}"/>
    <cellStyle name="Total 7 2 4 2" xfId="7303" xr:uid="{00000000-0005-0000-0000-0000881C0000}"/>
    <cellStyle name="Total 7 2 4 2 2" xfId="7304" xr:uid="{00000000-0005-0000-0000-0000891C0000}"/>
    <cellStyle name="Total 7 2 4 3" xfId="7305" xr:uid="{00000000-0005-0000-0000-00008A1C0000}"/>
    <cellStyle name="Total 7 2 5" xfId="7306" xr:uid="{00000000-0005-0000-0000-00008B1C0000}"/>
    <cellStyle name="Total 7 2 5 2" xfId="7307" xr:uid="{00000000-0005-0000-0000-00008C1C0000}"/>
    <cellStyle name="Total 7 2 6" xfId="7308" xr:uid="{00000000-0005-0000-0000-00008D1C0000}"/>
    <cellStyle name="Total 7 3" xfId="7309" xr:uid="{00000000-0005-0000-0000-00008E1C0000}"/>
    <cellStyle name="Total 7 3 2" xfId="7310" xr:uid="{00000000-0005-0000-0000-00008F1C0000}"/>
    <cellStyle name="Total 7 3 2 2" xfId="7311" xr:uid="{00000000-0005-0000-0000-0000901C0000}"/>
    <cellStyle name="Total 7 3 2 2 2" xfId="7312" xr:uid="{00000000-0005-0000-0000-0000911C0000}"/>
    <cellStyle name="Total 7 3 2 2 2 2" xfId="7313" xr:uid="{00000000-0005-0000-0000-0000921C0000}"/>
    <cellStyle name="Total 7 3 2 2 3" xfId="7314" xr:uid="{00000000-0005-0000-0000-0000931C0000}"/>
    <cellStyle name="Total 7 3 2 3" xfId="7315" xr:uid="{00000000-0005-0000-0000-0000941C0000}"/>
    <cellStyle name="Total 7 3 2 3 2" xfId="7316" xr:uid="{00000000-0005-0000-0000-0000951C0000}"/>
    <cellStyle name="Total 7 3 2 4" xfId="7317" xr:uid="{00000000-0005-0000-0000-0000961C0000}"/>
    <cellStyle name="Total 7 3 3" xfId="7318" xr:uid="{00000000-0005-0000-0000-0000971C0000}"/>
    <cellStyle name="Total 7 3 3 2" xfId="7319" xr:uid="{00000000-0005-0000-0000-0000981C0000}"/>
    <cellStyle name="Total 7 3 3 2 2" xfId="7320" xr:uid="{00000000-0005-0000-0000-0000991C0000}"/>
    <cellStyle name="Total 7 3 3 3" xfId="7321" xr:uid="{00000000-0005-0000-0000-00009A1C0000}"/>
    <cellStyle name="Total 7 3 3 4" xfId="7322" xr:uid="{00000000-0005-0000-0000-00009B1C0000}"/>
    <cellStyle name="Total 7 3 4" xfId="7323" xr:uid="{00000000-0005-0000-0000-00009C1C0000}"/>
    <cellStyle name="Total 7 3 4 2" xfId="7324" xr:uid="{00000000-0005-0000-0000-00009D1C0000}"/>
    <cellStyle name="Total 7 3 4 2 2" xfId="7325" xr:uid="{00000000-0005-0000-0000-00009E1C0000}"/>
    <cellStyle name="Total 7 3 4 3" xfId="7326" xr:uid="{00000000-0005-0000-0000-00009F1C0000}"/>
    <cellStyle name="Total 7 3 5" xfId="7327" xr:uid="{00000000-0005-0000-0000-0000A01C0000}"/>
    <cellStyle name="Total 7 3 5 2" xfId="7328" xr:uid="{00000000-0005-0000-0000-0000A11C0000}"/>
    <cellStyle name="Total 7 3 6" xfId="7329" xr:uid="{00000000-0005-0000-0000-0000A21C0000}"/>
    <cellStyle name="Total 7 4" xfId="7330" xr:uid="{00000000-0005-0000-0000-0000A31C0000}"/>
    <cellStyle name="Total 7 4 2" xfId="7331" xr:uid="{00000000-0005-0000-0000-0000A41C0000}"/>
    <cellStyle name="Total 7 4 2 2" xfId="7332" xr:uid="{00000000-0005-0000-0000-0000A51C0000}"/>
    <cellStyle name="Total 7 4 2 2 2" xfId="7333" xr:uid="{00000000-0005-0000-0000-0000A61C0000}"/>
    <cellStyle name="Total 7 4 2 3" xfId="7334" xr:uid="{00000000-0005-0000-0000-0000A71C0000}"/>
    <cellStyle name="Total 7 4 3" xfId="7335" xr:uid="{00000000-0005-0000-0000-0000A81C0000}"/>
    <cellStyle name="Total 7 4 3 2" xfId="7336" xr:uid="{00000000-0005-0000-0000-0000A91C0000}"/>
    <cellStyle name="Total 7 4 4" xfId="7337" xr:uid="{00000000-0005-0000-0000-0000AA1C0000}"/>
    <cellStyle name="Total 7 5" xfId="7338" xr:uid="{00000000-0005-0000-0000-0000AB1C0000}"/>
    <cellStyle name="Total 7 5 2" xfId="7339" xr:uid="{00000000-0005-0000-0000-0000AC1C0000}"/>
    <cellStyle name="Total 7 5 2 2" xfId="7340" xr:uid="{00000000-0005-0000-0000-0000AD1C0000}"/>
    <cellStyle name="Total 7 5 3" xfId="7341" xr:uid="{00000000-0005-0000-0000-0000AE1C0000}"/>
    <cellStyle name="Total 7 5 4" xfId="7342" xr:uid="{00000000-0005-0000-0000-0000AF1C0000}"/>
    <cellStyle name="Total 7 6" xfId="7343" xr:uid="{00000000-0005-0000-0000-0000B01C0000}"/>
    <cellStyle name="Total 7 6 2" xfId="7344" xr:uid="{00000000-0005-0000-0000-0000B11C0000}"/>
    <cellStyle name="Total 7 6 2 2" xfId="7345" xr:uid="{00000000-0005-0000-0000-0000B21C0000}"/>
    <cellStyle name="Total 7 6 3" xfId="7346" xr:uid="{00000000-0005-0000-0000-0000B31C0000}"/>
    <cellStyle name="Total 7 7" xfId="7347" xr:uid="{00000000-0005-0000-0000-0000B41C0000}"/>
    <cellStyle name="Total 7 7 2" xfId="7348" xr:uid="{00000000-0005-0000-0000-0000B51C0000}"/>
    <cellStyle name="Total 7 8" xfId="7349" xr:uid="{00000000-0005-0000-0000-0000B61C0000}"/>
    <cellStyle name="toto" xfId="7350" xr:uid="{00000000-0005-0000-0000-0000B71C0000}"/>
    <cellStyle name="Warning Text 2" xfId="7351" xr:uid="{00000000-0005-0000-0000-0000B81C0000}"/>
    <cellStyle name="Warning Text 3" xfId="7352" xr:uid="{00000000-0005-0000-0000-0000B91C0000}"/>
    <cellStyle name="パーセント 2" xfId="7353" xr:uid="{00000000-0005-0000-0000-0000BA1C0000}"/>
    <cellStyle name="桁区切り 2" xfId="7354" xr:uid="{00000000-0005-0000-0000-0000BB1C0000}"/>
    <cellStyle name="桁区切り_DegitalOption_test" xfId="7355" xr:uid="{00000000-0005-0000-0000-0000BC1C0000}"/>
    <cellStyle name="標準 2" xfId="7356" xr:uid="{00000000-0005-0000-0000-0000BD1C0000}"/>
    <cellStyle name="標準 3" xfId="7357" xr:uid="{00000000-0005-0000-0000-0000BE1C0000}"/>
    <cellStyle name="標準 4" xfId="7358" xr:uid="{00000000-0005-0000-0000-0000BF1C0000}"/>
    <cellStyle name="標準_examplePortfolio" xfId="7359" xr:uid="{00000000-0005-0000-0000-0000C01C0000}"/>
  </cellStyles>
  <dxfs count="1"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6600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+mn-lt"/>
              </a:rPr>
              <a:t>Credit</a:t>
            </a:r>
            <a:r>
              <a:rPr lang="en-US" baseline="0">
                <a:latin typeface="+mn-lt"/>
              </a:rPr>
              <a:t> Survival Function</a:t>
            </a:r>
            <a:endParaRPr lang="en-US">
              <a:latin typeface="Symbol" panose="05050102010706020507" pitchFamily="18" charset="2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09256992527906"/>
          <c:y val="0.16546226114259083"/>
          <c:w val="0.76277131251864982"/>
          <c:h val="0.656185640346358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'CDS-MC'!$C$12</c:f>
              <c:strCache>
                <c:ptCount val="1"/>
                <c:pt idx="0">
                  <c:v>P(Survival)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'CDS-MC'!$B$13:$B$133</c:f>
              <c:numCache>
                <c:formatCode>#,##0.00</c:formatCode>
                <c:ptCount val="1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</c:numCache>
            </c:numRef>
          </c:xVal>
          <c:yVal>
            <c:numRef>
              <c:f>'CDS-MC'!$C$13:$C$133</c:f>
              <c:numCache>
                <c:formatCode>#,##0.000000</c:formatCode>
                <c:ptCount val="121"/>
                <c:pt idx="0">
                  <c:v>1</c:v>
                </c:pt>
                <c:pt idx="1">
                  <c:v>0.99750312239746008</c:v>
                </c:pt>
                <c:pt idx="2">
                  <c:v>0.99501247919268232</c:v>
                </c:pt>
                <c:pt idx="3">
                  <c:v>0.99252805481913842</c:v>
                </c:pt>
                <c:pt idx="4">
                  <c:v>0.99004983374916811</c:v>
                </c:pt>
                <c:pt idx="5">
                  <c:v>0.98757780049388144</c:v>
                </c:pt>
                <c:pt idx="6">
                  <c:v>0.98511193960306265</c:v>
                </c:pt>
                <c:pt idx="7">
                  <c:v>0.9826522356650732</c:v>
                </c:pt>
                <c:pt idx="8">
                  <c:v>0.98019867330675525</c:v>
                </c:pt>
                <c:pt idx="9">
                  <c:v>0.97775123719333634</c:v>
                </c:pt>
                <c:pt idx="10">
                  <c:v>0.97530991202833262</c:v>
                </c:pt>
                <c:pt idx="11">
                  <c:v>0.972874682553454</c:v>
                </c:pt>
                <c:pt idx="12">
                  <c:v>0.97044553354850815</c:v>
                </c:pt>
                <c:pt idx="13">
                  <c:v>0.96802244983130603</c:v>
                </c:pt>
                <c:pt idx="14">
                  <c:v>0.96560541625756646</c:v>
                </c:pt>
                <c:pt idx="15">
                  <c:v>0.96319441772082182</c:v>
                </c:pt>
                <c:pt idx="16">
                  <c:v>0.96078943915232318</c:v>
                </c:pt>
                <c:pt idx="17">
                  <c:v>0.95839046552094698</c:v>
                </c:pt>
                <c:pt idx="18">
                  <c:v>0.95599748183309996</c:v>
                </c:pt>
                <c:pt idx="19">
                  <c:v>0.95361047313262637</c:v>
                </c:pt>
                <c:pt idx="20">
                  <c:v>0.95122942450071402</c:v>
                </c:pt>
                <c:pt idx="21">
                  <c:v>0.94885432105580125</c:v>
                </c:pt>
                <c:pt idx="22">
                  <c:v>0.94648514795348382</c:v>
                </c:pt>
                <c:pt idx="23">
                  <c:v>0.94412189038642214</c:v>
                </c:pt>
                <c:pt idx="24">
                  <c:v>0.94176453358424872</c:v>
                </c:pt>
                <c:pt idx="25">
                  <c:v>0.93941306281347581</c:v>
                </c:pt>
                <c:pt idx="26">
                  <c:v>0.93706746337740343</c:v>
                </c:pt>
                <c:pt idx="27">
                  <c:v>0.93472772061602749</c:v>
                </c:pt>
                <c:pt idx="28">
                  <c:v>0.93239381990594827</c:v>
                </c:pt>
                <c:pt idx="29">
                  <c:v>0.93006574666027853</c:v>
                </c:pt>
                <c:pt idx="30">
                  <c:v>0.92774348632855286</c:v>
                </c:pt>
                <c:pt idx="31">
                  <c:v>0.92542702439663682</c:v>
                </c:pt>
                <c:pt idx="32">
                  <c:v>0.92311634638663576</c:v>
                </c:pt>
                <c:pt idx="33">
                  <c:v>0.92081143785680453</c:v>
                </c:pt>
                <c:pt idx="34">
                  <c:v>0.91851228440145738</c:v>
                </c:pt>
                <c:pt idx="35">
                  <c:v>0.91621887165087756</c:v>
                </c:pt>
                <c:pt idx="36">
                  <c:v>0.91393118527122819</c:v>
                </c:pt>
                <c:pt idx="37">
                  <c:v>0.91164921096446172</c:v>
                </c:pt>
                <c:pt idx="38">
                  <c:v>0.90937293446823142</c:v>
                </c:pt>
                <c:pt idx="39">
                  <c:v>0.90710234155580172</c:v>
                </c:pt>
                <c:pt idx="40">
                  <c:v>0.90483741803595952</c:v>
                </c:pt>
                <c:pt idx="41">
                  <c:v>0.90257814975292561</c:v>
                </c:pt>
                <c:pt idx="42">
                  <c:v>0.90032452258626561</c:v>
                </c:pt>
                <c:pt idx="43">
                  <c:v>0.89807652245080261</c:v>
                </c:pt>
                <c:pt idx="44">
                  <c:v>0.89583413529652822</c:v>
                </c:pt>
                <c:pt idx="45">
                  <c:v>0.89359734710851568</c:v>
                </c:pt>
                <c:pt idx="46">
                  <c:v>0.89136614390683133</c:v>
                </c:pt>
                <c:pt idx="47">
                  <c:v>0.88914051174644804</c:v>
                </c:pt>
                <c:pt idx="48">
                  <c:v>0.88692043671715748</c:v>
                </c:pt>
                <c:pt idx="49">
                  <c:v>0.88470590494348356</c:v>
                </c:pt>
                <c:pt idx="50">
                  <c:v>0.88249690258459546</c:v>
                </c:pt>
                <c:pt idx="51">
                  <c:v>0.88029341583422116</c:v>
                </c:pt>
                <c:pt idx="52">
                  <c:v>0.8780954309205613</c:v>
                </c:pt>
                <c:pt idx="53">
                  <c:v>0.87590293410620312</c:v>
                </c:pt>
                <c:pt idx="54">
                  <c:v>0.87371591168803442</c:v>
                </c:pt>
                <c:pt idx="55">
                  <c:v>0.87153434999715784</c:v>
                </c:pt>
                <c:pt idx="56">
                  <c:v>0.86935823539880586</c:v>
                </c:pt>
                <c:pt idx="57">
                  <c:v>0.86718755429225491</c:v>
                </c:pt>
                <c:pt idx="58">
                  <c:v>0.8650222931107413</c:v>
                </c:pt>
                <c:pt idx="59">
                  <c:v>0.86286243832137544</c:v>
                </c:pt>
                <c:pt idx="60">
                  <c:v>0.86070797642505781</c:v>
                </c:pt>
                <c:pt idx="61">
                  <c:v>0.85855889395639462</c:v>
                </c:pt>
                <c:pt idx="62">
                  <c:v>0.85641517748361351</c:v>
                </c:pt>
                <c:pt idx="63">
                  <c:v>0.85427681360847951</c:v>
                </c:pt>
                <c:pt idx="64">
                  <c:v>0.85214378896621135</c:v>
                </c:pt>
                <c:pt idx="65">
                  <c:v>0.85001609022539815</c:v>
                </c:pt>
                <c:pt idx="66">
                  <c:v>0.84789370408791587</c:v>
                </c:pt>
                <c:pt idx="67">
                  <c:v>0.84577661728884412</c:v>
                </c:pt>
                <c:pt idx="68">
                  <c:v>0.8436648165963837</c:v>
                </c:pt>
                <c:pt idx="69">
                  <c:v>0.84155828881177319</c:v>
                </c:pt>
                <c:pt idx="70">
                  <c:v>0.83945702076920736</c:v>
                </c:pt>
                <c:pt idx="71">
                  <c:v>0.83736099933575392</c:v>
                </c:pt>
                <c:pt idx="72">
                  <c:v>0.835270211411272</c:v>
                </c:pt>
                <c:pt idx="73">
                  <c:v>0.83318464392833047</c:v>
                </c:pt>
                <c:pt idx="74">
                  <c:v>0.83110428385212565</c:v>
                </c:pt>
                <c:pt idx="75">
                  <c:v>0.82902911818040037</c:v>
                </c:pt>
                <c:pt idx="76">
                  <c:v>0.82695913394336229</c:v>
                </c:pt>
                <c:pt idx="77">
                  <c:v>0.82489431820360337</c:v>
                </c:pt>
                <c:pt idx="78">
                  <c:v>0.82283465805601841</c:v>
                </c:pt>
                <c:pt idx="79">
                  <c:v>0.82078014062772475</c:v>
                </c:pt>
                <c:pt idx="80">
                  <c:v>0.81873075307798182</c:v>
                </c:pt>
                <c:pt idx="81">
                  <c:v>0.81668648259811083</c:v>
                </c:pt>
                <c:pt idx="82">
                  <c:v>0.81464731641141452</c:v>
                </c:pt>
                <c:pt idx="83">
                  <c:v>0.81261324177309768</c:v>
                </c:pt>
                <c:pt idx="84">
                  <c:v>0.81058424597018708</c:v>
                </c:pt>
                <c:pt idx="85">
                  <c:v>0.80856031632145242</c:v>
                </c:pt>
                <c:pt idx="86">
                  <c:v>0.80654144017732687</c:v>
                </c:pt>
                <c:pt idx="87">
                  <c:v>0.80452760491982789</c:v>
                </c:pt>
                <c:pt idx="88">
                  <c:v>0.80251879796247849</c:v>
                </c:pt>
                <c:pt idx="89">
                  <c:v>0.8005150067502288</c:v>
                </c:pt>
                <c:pt idx="90">
                  <c:v>0.79851621875937706</c:v>
                </c:pt>
                <c:pt idx="91">
                  <c:v>0.79652242149749186</c:v>
                </c:pt>
                <c:pt idx="92">
                  <c:v>0.79453360250333405</c:v>
                </c:pt>
                <c:pt idx="93">
                  <c:v>0.79254974934677813</c:v>
                </c:pt>
                <c:pt idx="94">
                  <c:v>0.79057084962873558</c:v>
                </c:pt>
                <c:pt idx="95">
                  <c:v>0.78859689098107666</c:v>
                </c:pt>
                <c:pt idx="96">
                  <c:v>0.78662786106655347</c:v>
                </c:pt>
                <c:pt idx="97">
                  <c:v>0.78466374757872248</c:v>
                </c:pt>
                <c:pt idx="98">
                  <c:v>0.78270453824186814</c:v>
                </c:pt>
                <c:pt idx="99">
                  <c:v>0.78075022081092571</c:v>
                </c:pt>
                <c:pt idx="100">
                  <c:v>0.77880078307140488</c:v>
                </c:pt>
                <c:pt idx="101">
                  <c:v>0.77685621283931339</c:v>
                </c:pt>
                <c:pt idx="102">
                  <c:v>0.77491649796108097</c:v>
                </c:pt>
                <c:pt idx="103">
                  <c:v>0.77298162631348322</c:v>
                </c:pt>
                <c:pt idx="104">
                  <c:v>0.77105158580356625</c:v>
                </c:pt>
                <c:pt idx="105">
                  <c:v>0.76912636436857051</c:v>
                </c:pt>
                <c:pt idx="106">
                  <c:v>0.76720594997585567</c:v>
                </c:pt>
                <c:pt idx="107">
                  <c:v>0.7652903306228257</c:v>
                </c:pt>
                <c:pt idx="108">
                  <c:v>0.76337949433685315</c:v>
                </c:pt>
                <c:pt idx="109">
                  <c:v>0.76147342917520522</c:v>
                </c:pt>
                <c:pt idx="110">
                  <c:v>0.75957212322496848</c:v>
                </c:pt>
                <c:pt idx="111">
                  <c:v>0.75767556460297436</c:v>
                </c:pt>
                <c:pt idx="112">
                  <c:v>0.75578374145572547</c:v>
                </c:pt>
                <c:pt idx="113">
                  <c:v>0.75389664195932082</c:v>
                </c:pt>
                <c:pt idx="114">
                  <c:v>0.75201425431938262</c:v>
                </c:pt>
                <c:pt idx="115">
                  <c:v>0.75013656677098184</c:v>
                </c:pt>
                <c:pt idx="116">
                  <c:v>0.74826356757856527</c:v>
                </c:pt>
                <c:pt idx="117">
                  <c:v>0.74639524503588173</c:v>
                </c:pt>
                <c:pt idx="118">
                  <c:v>0.74453158746590942</c:v>
                </c:pt>
                <c:pt idx="119">
                  <c:v>0.74267258322078233</c:v>
                </c:pt>
                <c:pt idx="120">
                  <c:v>0.74081822068171788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D-44C9-8D4C-8742D59B4D41}"/>
            </c:ext>
          </c:extLst>
        </c:ser>
        <c:ser>
          <c:idx val="1"/>
          <c:order val="1"/>
          <c:tx>
            <c:strRef>
              <c:f>'CDS-MC'!$D$12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'CDS-MC'!$B$13:$B$133</c:f>
              <c:numCache>
                <c:formatCode>#,##0.00</c:formatCode>
                <c:ptCount val="1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</c:numCache>
            </c:numRef>
          </c:xVal>
          <c:yVal>
            <c:numRef>
              <c:f>'CDS-MC'!$D$13:$D$133</c:f>
              <c:numCache>
                <c:formatCode>#,##0.00</c:formatCode>
                <c:ptCount val="121"/>
                <c:pt idx="0" formatCode="#,##0.000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0.82283465805601841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4D-44C9-8D4C-8742D59B4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486015"/>
        <c:axId val="1198487263"/>
      </c:scatterChart>
      <c:valAx>
        <c:axId val="1198486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 to Default, </a:t>
                </a:r>
                <a:r>
                  <a:rPr lang="en-US" b="1">
                    <a:latin typeface="Symbol" panose="05050102010706020507" pitchFamily="18" charset="2"/>
                  </a:rPr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487263"/>
        <c:crosses val="autoZero"/>
        <c:crossBetween val="midCat"/>
      </c:valAx>
      <c:valAx>
        <c:axId val="119848726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Survival Probability, Q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2570410469524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486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18</xdr:row>
      <xdr:rowOff>28574</xdr:rowOff>
    </xdr:from>
    <xdr:to>
      <xdr:col>11</xdr:col>
      <xdr:colOff>361950</xdr:colOff>
      <xdr:row>34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104775</xdr:rowOff>
        </xdr:from>
        <xdr:to>
          <xdr:col>2</xdr:col>
          <xdr:colOff>838200</xdr:colOff>
          <xdr:row>2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AC47"/>
  <sheetViews>
    <sheetView showGridLines="0" zoomScaleNormal="100" workbookViewId="0"/>
  </sheetViews>
  <sheetFormatPr defaultRowHeight="15" outlineLevelCol="1"/>
  <cols>
    <col min="1" max="1" width="4.7109375" customWidth="1"/>
    <col min="2" max="2" width="29" bestFit="1" customWidth="1"/>
    <col min="3" max="3" width="12.7109375" customWidth="1"/>
    <col min="4" max="4" width="4.7109375" customWidth="1"/>
    <col min="5" max="5" width="14.85546875" hidden="1" customWidth="1" outlineLevel="1"/>
    <col min="6" max="6" width="14.5703125" hidden="1" customWidth="1" outlineLevel="1"/>
    <col min="7" max="7" width="21.5703125" hidden="1" customWidth="1" outlineLevel="1"/>
    <col min="8" max="9" width="18.7109375" hidden="1" customWidth="1" outlineLevel="1"/>
    <col min="10" max="10" width="22.7109375" hidden="1" customWidth="1" outlineLevel="1"/>
    <col min="11" max="11" width="14.140625" hidden="1" customWidth="1" outlineLevel="1"/>
    <col min="12" max="12" width="12.7109375" hidden="1" customWidth="1" outlineLevel="1"/>
    <col min="13" max="13" width="18.7109375" customWidth="1" collapsed="1"/>
    <col min="14" max="14" width="13.42578125" hidden="1" customWidth="1" outlineLevel="1"/>
    <col min="15" max="15" width="11.140625" hidden="1" customWidth="1" outlineLevel="1"/>
    <col min="16" max="18" width="21.5703125" hidden="1" customWidth="1" outlineLevel="1"/>
    <col min="19" max="19" width="21.85546875" hidden="1" customWidth="1" outlineLevel="1"/>
    <col min="20" max="20" width="14.140625" hidden="1" customWidth="1" outlineLevel="1"/>
    <col min="21" max="21" width="12.7109375" hidden="1" customWidth="1" outlineLevel="1"/>
    <col min="22" max="22" width="18.7109375" customWidth="1" collapsed="1"/>
    <col min="23" max="23" width="12.7109375" hidden="1" customWidth="1" outlineLevel="1"/>
    <col min="24" max="24" width="11.85546875" hidden="1" customWidth="1" outlineLevel="1"/>
    <col min="25" max="25" width="21.5703125" hidden="1" customWidth="1" outlineLevel="1"/>
    <col min="26" max="26" width="21.85546875" hidden="1" customWidth="1" outlineLevel="1"/>
    <col min="27" max="27" width="14.140625" hidden="1" customWidth="1" outlineLevel="1"/>
    <col min="28" max="28" width="12.7109375" hidden="1" customWidth="1" outlineLevel="1"/>
    <col min="29" max="29" width="18.7109375" customWidth="1" collapsed="1"/>
  </cols>
  <sheetData>
    <row r="1" spans="2:29" s="1" customFormat="1">
      <c r="E1" s="2"/>
      <c r="M1" s="3" t="s">
        <v>14</v>
      </c>
      <c r="S1" s="49"/>
      <c r="V1" s="3" t="s">
        <v>13</v>
      </c>
      <c r="Y1" s="46"/>
      <c r="AC1" s="3" t="s">
        <v>15</v>
      </c>
    </row>
    <row r="2" spans="2:29">
      <c r="B2" s="2" t="s">
        <v>24</v>
      </c>
      <c r="E2" s="32" t="s">
        <v>11</v>
      </c>
      <c r="F2" s="33" t="s">
        <v>0</v>
      </c>
      <c r="G2" s="32" t="s">
        <v>35</v>
      </c>
      <c r="H2" s="32" t="s">
        <v>34</v>
      </c>
      <c r="I2" s="32" t="s">
        <v>16</v>
      </c>
      <c r="J2" s="32" t="s">
        <v>12</v>
      </c>
      <c r="K2" s="32" t="s">
        <v>10</v>
      </c>
      <c r="L2" s="32" t="s">
        <v>1</v>
      </c>
      <c r="N2" s="32" t="s">
        <v>11</v>
      </c>
      <c r="O2" s="33" t="s">
        <v>0</v>
      </c>
      <c r="P2" s="32" t="s">
        <v>35</v>
      </c>
      <c r="Q2" s="32" t="s">
        <v>34</v>
      </c>
      <c r="R2" s="32" t="s">
        <v>17</v>
      </c>
      <c r="S2" s="32" t="s">
        <v>27</v>
      </c>
      <c r="T2" s="32" t="s">
        <v>10</v>
      </c>
      <c r="U2" s="32" t="s">
        <v>1</v>
      </c>
      <c r="W2" s="32" t="s">
        <v>11</v>
      </c>
      <c r="X2" s="33" t="s">
        <v>0</v>
      </c>
      <c r="Y2" s="32" t="s">
        <v>5</v>
      </c>
      <c r="Z2" s="32" t="s">
        <v>27</v>
      </c>
      <c r="AA2" s="32" t="s">
        <v>10</v>
      </c>
      <c r="AB2" s="32" t="s">
        <v>1</v>
      </c>
    </row>
    <row r="3" spans="2:29">
      <c r="B3" s="11" t="s">
        <v>28</v>
      </c>
      <c r="C3" s="4" t="s">
        <v>30</v>
      </c>
      <c r="E3" s="34">
        <f>YearFraction</f>
        <v>0.25</v>
      </c>
      <c r="F3" s="18">
        <f t="shared" ref="F3:F44" si="0">IF(E3&gt;Maturity,"-",-Phi*Notional)</f>
        <v>-1000000</v>
      </c>
      <c r="G3" s="20">
        <f t="shared" ref="G3:G44" si="1">IF(E3&gt;Maturity,"-",Premium)</f>
        <v>6.0000000000000001E-3</v>
      </c>
      <c r="H3" s="35">
        <f t="shared" ref="H3:H44" si="2">IF(E3&gt;Maturity,"-",YearFraction)</f>
        <v>0.25</v>
      </c>
      <c r="I3" s="18">
        <f>IF(E3&gt;Maturity,"-",F3*G3*H3)</f>
        <v>-1500</v>
      </c>
      <c r="J3" s="19">
        <f t="shared" ref="J3:J44" si="3">IF(E3&gt;Maturity,"-",EXP(-HazardRate*E3))</f>
        <v>0.99750312239746008</v>
      </c>
      <c r="K3" s="19">
        <f t="shared" ref="K3:K44" si="4">IF(E3&gt;Maturity,"-",EXP(-ZeroRate*E3))</f>
        <v>0.99536079451202497</v>
      </c>
      <c r="L3" s="21">
        <f t="shared" ref="L3:L44" si="5">IF(E3&gt;Maturity,"-",I3*J3*K3)</f>
        <v>-1489.3132506566421</v>
      </c>
      <c r="N3" s="17">
        <f>YearFraction</f>
        <v>0.25</v>
      </c>
      <c r="O3" s="18">
        <f t="shared" ref="O3:O22" si="6">IF(N3&gt;Maturity,"-",-Phi*Notional)</f>
        <v>-1000000</v>
      </c>
      <c r="P3" s="20">
        <f t="shared" ref="P3:P22" si="7">IF(N3&gt;Maturity,"-",Premium)</f>
        <v>6.0000000000000001E-3</v>
      </c>
      <c r="Q3" s="42">
        <f t="shared" ref="Q3:Q22" si="8">IF(N3&gt;Maturity,"-",YearFraction/2)</f>
        <v>0.125</v>
      </c>
      <c r="R3" s="18">
        <f t="shared" ref="R3:R22" si="9">IF(N3&gt;Maturity,"-",O3*P3*Q3)</f>
        <v>-750</v>
      </c>
      <c r="S3" s="19">
        <f>IF(N3&gt;Maturity,"-",1-EXP(-HazardRate*N3))</f>
        <v>2.4968776025399153E-3</v>
      </c>
      <c r="T3" s="19">
        <f t="shared" ref="T3:T44" si="10">IF(N3&gt;Maturity,"-",EXP(-ZeroRate*N3))</f>
        <v>0.99536079451202497</v>
      </c>
      <c r="U3" s="21">
        <f t="shared" ref="U3:U22" si="11">IF(N3&gt;Maturity,"-",R3*S3*T3)</f>
        <v>-1.8639705556975577</v>
      </c>
      <c r="W3" s="17">
        <f>YearFraction</f>
        <v>0.25</v>
      </c>
      <c r="X3" s="18">
        <f t="shared" ref="X3:X22" si="12">IF(W3&gt;Maturity,"-",Phi*Notional)</f>
        <v>1000000</v>
      </c>
      <c r="Y3" s="18">
        <f t="shared" ref="Y3:Y22" si="13">IF(W3&gt;Maturity,"-",Phi*Notional*(1-RecoveryRate))</f>
        <v>600000</v>
      </c>
      <c r="Z3" s="19">
        <f>IF(W3&gt;Maturity,"-",1-EXP(-HazardRate*W3))</f>
        <v>2.4968776025399153E-3</v>
      </c>
      <c r="AA3" s="19">
        <f t="shared" ref="AA3:AA44" si="14">IF(W3&gt;Maturity,"-",EXP(-ZeroRate*W3))</f>
        <v>0.99536079451202497</v>
      </c>
      <c r="AB3" s="21">
        <f t="shared" ref="AB3:AB22" si="15">IF(W3&gt;Maturity,"-",Y3*Z3*AA3)</f>
        <v>1491.1764445580461</v>
      </c>
    </row>
    <row r="4" spans="2:29">
      <c r="B4" s="12" t="s">
        <v>29</v>
      </c>
      <c r="C4" s="9">
        <f>IF(UPPER(C3)="BUY",1,-1)</f>
        <v>1</v>
      </c>
      <c r="E4" s="36">
        <f t="shared" ref="E4:E10" si="16">E3+YearFraction</f>
        <v>0.5</v>
      </c>
      <c r="F4" s="23">
        <f t="shared" si="0"/>
        <v>-1000000</v>
      </c>
      <c r="G4" s="25">
        <f t="shared" si="1"/>
        <v>6.0000000000000001E-3</v>
      </c>
      <c r="H4" s="37">
        <f t="shared" si="2"/>
        <v>0.25</v>
      </c>
      <c r="I4" s="23">
        <f t="shared" ref="I4:I44" si="17">IF(E4&gt;Maturity,"-",F4*G4*H4)</f>
        <v>-1500</v>
      </c>
      <c r="J4" s="24">
        <f t="shared" si="3"/>
        <v>0.99501247919268232</v>
      </c>
      <c r="K4" s="24">
        <f t="shared" si="4"/>
        <v>0.99074311125160952</v>
      </c>
      <c r="L4" s="26">
        <f t="shared" si="5"/>
        <v>-1478.7026390543033</v>
      </c>
      <c r="N4" s="22">
        <f t="shared" ref="N4:N10" si="18">N3+YearFraction</f>
        <v>0.5</v>
      </c>
      <c r="O4" s="23">
        <f t="shared" si="6"/>
        <v>-1000000</v>
      </c>
      <c r="P4" s="25">
        <f t="shared" si="7"/>
        <v>6.0000000000000001E-3</v>
      </c>
      <c r="Q4" s="43">
        <f t="shared" si="8"/>
        <v>0.125</v>
      </c>
      <c r="R4" s="23">
        <f t="shared" si="9"/>
        <v>-750</v>
      </c>
      <c r="S4" s="24">
        <f t="shared" ref="S4:S22" si="19">IF(N4&gt;Maturity,"-",EXP(-HazardRate*N3)-EXP(-HazardRate*N4))</f>
        <v>2.4906432047777649E-3</v>
      </c>
      <c r="T4" s="24">
        <f t="shared" si="10"/>
        <v>0.99074311125160952</v>
      </c>
      <c r="U4" s="26">
        <f t="shared" si="11"/>
        <v>-1.8506906982894018</v>
      </c>
      <c r="W4" s="22">
        <f t="shared" ref="W4:W10" si="20">W3+YearFraction</f>
        <v>0.5</v>
      </c>
      <c r="X4" s="23">
        <f t="shared" si="12"/>
        <v>1000000</v>
      </c>
      <c r="Y4" s="23">
        <f t="shared" si="13"/>
        <v>600000</v>
      </c>
      <c r="Z4" s="24">
        <f t="shared" ref="Z4:Z22" si="21">IF(W4&gt;Maturity,"-",EXP(-HazardRate*W3)-EXP(-HazardRate*W4))</f>
        <v>2.4906432047777649E-3</v>
      </c>
      <c r="AA4" s="24">
        <f t="shared" si="14"/>
        <v>0.99074311125160952</v>
      </c>
      <c r="AB4" s="26">
        <f t="shared" si="15"/>
        <v>1480.5525586315216</v>
      </c>
    </row>
    <row r="5" spans="2:29">
      <c r="B5" s="12" t="s">
        <v>0</v>
      </c>
      <c r="C5" s="6">
        <v>1000000</v>
      </c>
      <c r="E5" s="36">
        <f t="shared" si="16"/>
        <v>0.75</v>
      </c>
      <c r="F5" s="23">
        <f t="shared" si="0"/>
        <v>-1000000</v>
      </c>
      <c r="G5" s="25">
        <f t="shared" si="1"/>
        <v>6.0000000000000001E-3</v>
      </c>
      <c r="H5" s="37">
        <f t="shared" si="2"/>
        <v>0.25</v>
      </c>
      <c r="I5" s="23">
        <f t="shared" si="17"/>
        <v>-1500</v>
      </c>
      <c r="J5" s="24">
        <f t="shared" si="3"/>
        <v>0.99252805481913842</v>
      </c>
      <c r="K5" s="24">
        <f t="shared" si="4"/>
        <v>0.98614685037271754</v>
      </c>
      <c r="L5" s="26">
        <f t="shared" si="5"/>
        <v>-1468.1676227496798</v>
      </c>
      <c r="N5" s="22">
        <f t="shared" si="18"/>
        <v>0.75</v>
      </c>
      <c r="O5" s="23">
        <f t="shared" si="6"/>
        <v>-1000000</v>
      </c>
      <c r="P5" s="25">
        <f t="shared" si="7"/>
        <v>6.0000000000000001E-3</v>
      </c>
      <c r="Q5" s="43">
        <f t="shared" si="8"/>
        <v>0.125</v>
      </c>
      <c r="R5" s="23">
        <f t="shared" si="9"/>
        <v>-750</v>
      </c>
      <c r="S5" s="24">
        <f t="shared" si="19"/>
        <v>2.4844243735439031E-3</v>
      </c>
      <c r="T5" s="24">
        <f t="shared" si="10"/>
        <v>0.98614685037271754</v>
      </c>
      <c r="U5" s="26">
        <f t="shared" si="11"/>
        <v>-1.8375054532196489</v>
      </c>
      <c r="W5" s="22">
        <f t="shared" si="20"/>
        <v>0.75</v>
      </c>
      <c r="X5" s="23">
        <f t="shared" si="12"/>
        <v>1000000</v>
      </c>
      <c r="Y5" s="23">
        <f t="shared" si="13"/>
        <v>600000</v>
      </c>
      <c r="Z5" s="24">
        <f t="shared" si="21"/>
        <v>2.4844243735439031E-3</v>
      </c>
      <c r="AA5" s="24">
        <f t="shared" si="14"/>
        <v>0.98614685037271754</v>
      </c>
      <c r="AB5" s="26">
        <f t="shared" si="15"/>
        <v>1470.0043625757191</v>
      </c>
    </row>
    <row r="6" spans="2:29">
      <c r="B6" s="12" t="s">
        <v>32</v>
      </c>
      <c r="C6" s="8">
        <v>0.01</v>
      </c>
      <c r="E6" s="36">
        <f t="shared" si="16"/>
        <v>1</v>
      </c>
      <c r="F6" s="23">
        <f t="shared" si="0"/>
        <v>-1000000</v>
      </c>
      <c r="G6" s="25">
        <f t="shared" si="1"/>
        <v>6.0000000000000001E-3</v>
      </c>
      <c r="H6" s="37">
        <f t="shared" si="2"/>
        <v>0.25</v>
      </c>
      <c r="I6" s="23">
        <f t="shared" si="17"/>
        <v>-1500</v>
      </c>
      <c r="J6" s="24">
        <f t="shared" si="3"/>
        <v>0.99004983374916811</v>
      </c>
      <c r="K6" s="24">
        <f t="shared" si="4"/>
        <v>0.98157191249251907</v>
      </c>
      <c r="L6" s="26">
        <f t="shared" si="5"/>
        <v>-1457.7076631641073</v>
      </c>
      <c r="N6" s="22">
        <f t="shared" si="18"/>
        <v>1</v>
      </c>
      <c r="O6" s="23">
        <f t="shared" si="6"/>
        <v>-1000000</v>
      </c>
      <c r="P6" s="25">
        <f t="shared" si="7"/>
        <v>6.0000000000000001E-3</v>
      </c>
      <c r="Q6" s="43">
        <f t="shared" si="8"/>
        <v>0.125</v>
      </c>
      <c r="R6" s="23">
        <f t="shared" si="9"/>
        <v>-750</v>
      </c>
      <c r="S6" s="24">
        <f t="shared" si="19"/>
        <v>2.47822106997031E-3</v>
      </c>
      <c r="T6" s="24">
        <f t="shared" si="10"/>
        <v>0.98157191249251907</v>
      </c>
      <c r="U6" s="26">
        <f t="shared" si="11"/>
        <v>-1.8244141464225105</v>
      </c>
      <c r="W6" s="22">
        <f t="shared" si="20"/>
        <v>1</v>
      </c>
      <c r="X6" s="23">
        <f t="shared" si="12"/>
        <v>1000000</v>
      </c>
      <c r="Y6" s="23">
        <f t="shared" si="13"/>
        <v>600000</v>
      </c>
      <c r="Z6" s="24">
        <f t="shared" si="21"/>
        <v>2.47822106997031E-3</v>
      </c>
      <c r="AA6" s="24">
        <f t="shared" si="14"/>
        <v>0.98157191249251907</v>
      </c>
      <c r="AB6" s="26">
        <f t="shared" si="15"/>
        <v>1459.5313171380085</v>
      </c>
    </row>
    <row r="7" spans="2:29">
      <c r="B7" s="12" t="s">
        <v>31</v>
      </c>
      <c r="C7" s="41">
        <v>0.4</v>
      </c>
      <c r="E7" s="36">
        <f t="shared" si="16"/>
        <v>1.25</v>
      </c>
      <c r="F7" s="23">
        <f t="shared" si="0"/>
        <v>-1000000</v>
      </c>
      <c r="G7" s="25">
        <f t="shared" si="1"/>
        <v>6.0000000000000001E-3</v>
      </c>
      <c r="H7" s="37">
        <f t="shared" si="2"/>
        <v>0.25</v>
      </c>
      <c r="I7" s="23">
        <f t="shared" si="17"/>
        <v>-1500</v>
      </c>
      <c r="J7" s="24">
        <f t="shared" si="3"/>
        <v>0.98757780049388144</v>
      </c>
      <c r="K7" s="24">
        <f t="shared" si="4"/>
        <v>0.97701819868924156</v>
      </c>
      <c r="L7" s="26">
        <f t="shared" si="5"/>
        <v>-1447.3222255560229</v>
      </c>
      <c r="N7" s="22">
        <f t="shared" si="18"/>
        <v>1.25</v>
      </c>
      <c r="O7" s="23">
        <f t="shared" si="6"/>
        <v>-1000000</v>
      </c>
      <c r="P7" s="25">
        <f t="shared" si="7"/>
        <v>6.0000000000000001E-3</v>
      </c>
      <c r="Q7" s="43">
        <f t="shared" si="8"/>
        <v>0.125</v>
      </c>
      <c r="R7" s="23">
        <f t="shared" si="9"/>
        <v>-750</v>
      </c>
      <c r="S7" s="24">
        <f t="shared" si="19"/>
        <v>2.4720332552866653E-3</v>
      </c>
      <c r="T7" s="24">
        <f t="shared" si="10"/>
        <v>0.97701819868924156</v>
      </c>
      <c r="U7" s="26">
        <f t="shared" si="11"/>
        <v>-1.8114161086350598</v>
      </c>
      <c r="W7" s="22">
        <f t="shared" si="20"/>
        <v>1.25</v>
      </c>
      <c r="X7" s="23">
        <f t="shared" si="12"/>
        <v>1000000</v>
      </c>
      <c r="Y7" s="23">
        <f t="shared" si="13"/>
        <v>600000</v>
      </c>
      <c r="Z7" s="24">
        <f t="shared" si="21"/>
        <v>2.4720332552866653E-3</v>
      </c>
      <c r="AA7" s="24">
        <f t="shared" si="14"/>
        <v>0.97701819868924156</v>
      </c>
      <c r="AB7" s="26">
        <f t="shared" si="15"/>
        <v>1449.1328869080478</v>
      </c>
    </row>
    <row r="8" spans="2:29">
      <c r="B8" s="12" t="s">
        <v>35</v>
      </c>
      <c r="C8" s="8">
        <v>6.0000000000000001E-3</v>
      </c>
      <c r="E8" s="36">
        <f t="shared" si="16"/>
        <v>1.5</v>
      </c>
      <c r="F8" s="23">
        <f t="shared" si="0"/>
        <v>-1000000</v>
      </c>
      <c r="G8" s="25">
        <f t="shared" si="1"/>
        <v>6.0000000000000001E-3</v>
      </c>
      <c r="H8" s="37">
        <f t="shared" si="2"/>
        <v>0.25</v>
      </c>
      <c r="I8" s="23">
        <f t="shared" si="17"/>
        <v>-1500</v>
      </c>
      <c r="J8" s="24">
        <f t="shared" si="3"/>
        <v>0.98511193960306265</v>
      </c>
      <c r="K8" s="24">
        <f t="shared" si="4"/>
        <v>0.97248561050003091</v>
      </c>
      <c r="L8" s="26">
        <f t="shared" si="5"/>
        <v>-1437.010778993631</v>
      </c>
      <c r="N8" s="22">
        <f t="shared" si="18"/>
        <v>1.5</v>
      </c>
      <c r="O8" s="23">
        <f t="shared" si="6"/>
        <v>-1000000</v>
      </c>
      <c r="P8" s="25">
        <f t="shared" si="7"/>
        <v>6.0000000000000001E-3</v>
      </c>
      <c r="Q8" s="43">
        <f t="shared" si="8"/>
        <v>0.125</v>
      </c>
      <c r="R8" s="23">
        <f t="shared" si="9"/>
        <v>-750</v>
      </c>
      <c r="S8" s="24">
        <f t="shared" si="19"/>
        <v>2.465860890818794E-3</v>
      </c>
      <c r="T8" s="24">
        <f t="shared" si="10"/>
        <v>0.97248561050003091</v>
      </c>
      <c r="U8" s="26">
        <f t="shared" si="11"/>
        <v>-1.7985106753620488</v>
      </c>
      <c r="W8" s="22">
        <f t="shared" si="20"/>
        <v>1.5</v>
      </c>
      <c r="X8" s="23">
        <f t="shared" si="12"/>
        <v>1000000</v>
      </c>
      <c r="Y8" s="23">
        <f t="shared" si="13"/>
        <v>600000</v>
      </c>
      <c r="Z8" s="24">
        <f t="shared" si="21"/>
        <v>2.465860890818794E-3</v>
      </c>
      <c r="AA8" s="24">
        <f t="shared" si="14"/>
        <v>0.97248561050003091</v>
      </c>
      <c r="AB8" s="26">
        <f t="shared" si="15"/>
        <v>1438.808540289639</v>
      </c>
    </row>
    <row r="9" spans="2:29">
      <c r="B9" s="12" t="s">
        <v>6</v>
      </c>
      <c r="C9" s="5" t="s">
        <v>23</v>
      </c>
      <c r="E9" s="36">
        <f t="shared" si="16"/>
        <v>1.75</v>
      </c>
      <c r="F9" s="23">
        <f t="shared" si="0"/>
        <v>-1000000</v>
      </c>
      <c r="G9" s="25">
        <f t="shared" si="1"/>
        <v>6.0000000000000001E-3</v>
      </c>
      <c r="H9" s="37">
        <f t="shared" si="2"/>
        <v>0.25</v>
      </c>
      <c r="I9" s="23">
        <f t="shared" si="17"/>
        <v>-1500</v>
      </c>
      <c r="J9" s="24">
        <f t="shared" si="3"/>
        <v>0.9826522356650732</v>
      </c>
      <c r="K9" s="24">
        <f t="shared" si="4"/>
        <v>0.96797404991882241</v>
      </c>
      <c r="L9" s="26">
        <f t="shared" si="5"/>
        <v>-1426.7727963277589</v>
      </c>
      <c r="N9" s="22">
        <f t="shared" si="18"/>
        <v>1.75</v>
      </c>
      <c r="O9" s="23">
        <f t="shared" si="6"/>
        <v>-1000000</v>
      </c>
      <c r="P9" s="25">
        <f t="shared" si="7"/>
        <v>6.0000000000000001E-3</v>
      </c>
      <c r="Q9" s="43">
        <f t="shared" si="8"/>
        <v>0.125</v>
      </c>
      <c r="R9" s="23">
        <f t="shared" si="9"/>
        <v>-750</v>
      </c>
      <c r="S9" s="24">
        <f t="shared" si="19"/>
        <v>2.4597039379894436E-3</v>
      </c>
      <c r="T9" s="24">
        <f t="shared" si="10"/>
        <v>0.96797404991882241</v>
      </c>
      <c r="U9" s="26">
        <f t="shared" si="11"/>
        <v>-1.7856971868426883</v>
      </c>
      <c r="W9" s="22">
        <f t="shared" si="20"/>
        <v>1.75</v>
      </c>
      <c r="X9" s="23">
        <f t="shared" si="12"/>
        <v>1000000</v>
      </c>
      <c r="Y9" s="23">
        <f t="shared" si="13"/>
        <v>600000</v>
      </c>
      <c r="Z9" s="24">
        <f t="shared" si="21"/>
        <v>2.4597039379894436E-3</v>
      </c>
      <c r="AA9" s="24">
        <f t="shared" si="14"/>
        <v>0.96797404991882241</v>
      </c>
      <c r="AB9" s="26">
        <f t="shared" si="15"/>
        <v>1428.5577494741506</v>
      </c>
    </row>
    <row r="10" spans="2:29">
      <c r="B10" s="12" t="s">
        <v>37</v>
      </c>
      <c r="C10" s="10">
        <f>IF(Frequency="ANNUAL",1,IF(Frequency="SEMI-ANNUAL",0.5,0.25))</f>
        <v>0.25</v>
      </c>
      <c r="E10" s="36">
        <f t="shared" si="16"/>
        <v>2</v>
      </c>
      <c r="F10" s="23">
        <f t="shared" si="0"/>
        <v>-1000000</v>
      </c>
      <c r="G10" s="25">
        <f t="shared" si="1"/>
        <v>6.0000000000000001E-3</v>
      </c>
      <c r="H10" s="37">
        <f t="shared" si="2"/>
        <v>0.25</v>
      </c>
      <c r="I10" s="23">
        <f t="shared" si="17"/>
        <v>-1500</v>
      </c>
      <c r="J10" s="24">
        <f t="shared" si="3"/>
        <v>0.98019867330675525</v>
      </c>
      <c r="K10" s="24">
        <f t="shared" si="4"/>
        <v>0.96348341939422155</v>
      </c>
      <c r="L10" s="26">
        <f t="shared" si="5"/>
        <v>-1416.6077541649081</v>
      </c>
      <c r="N10" s="22">
        <f t="shared" si="18"/>
        <v>2</v>
      </c>
      <c r="O10" s="23">
        <f t="shared" si="6"/>
        <v>-1000000</v>
      </c>
      <c r="P10" s="25">
        <f t="shared" si="7"/>
        <v>6.0000000000000001E-3</v>
      </c>
      <c r="Q10" s="43">
        <f t="shared" si="8"/>
        <v>0.125</v>
      </c>
      <c r="R10" s="23">
        <f t="shared" si="9"/>
        <v>-750</v>
      </c>
      <c r="S10" s="24">
        <f t="shared" si="19"/>
        <v>2.4535623583179511E-3</v>
      </c>
      <c r="T10" s="24">
        <f t="shared" si="10"/>
        <v>0.96348341939422155</v>
      </c>
      <c r="U10" s="26">
        <f t="shared" si="11"/>
        <v>-1.7729749880168473</v>
      </c>
      <c r="W10" s="22">
        <f t="shared" si="20"/>
        <v>2</v>
      </c>
      <c r="X10" s="23">
        <f t="shared" si="12"/>
        <v>1000000</v>
      </c>
      <c r="Y10" s="23">
        <f t="shared" si="13"/>
        <v>600000</v>
      </c>
      <c r="Z10" s="24">
        <f t="shared" si="21"/>
        <v>2.4535623583179511E-3</v>
      </c>
      <c r="AA10" s="24">
        <f t="shared" si="14"/>
        <v>0.96348341939422155</v>
      </c>
      <c r="AB10" s="26">
        <f t="shared" si="15"/>
        <v>1418.3799904134778</v>
      </c>
    </row>
    <row r="11" spans="2:29">
      <c r="B11" s="12" t="s">
        <v>36</v>
      </c>
      <c r="C11" s="10">
        <v>5</v>
      </c>
      <c r="E11" s="36">
        <f t="shared" ref="E11:E44" si="22">E10+YearFraction</f>
        <v>2.25</v>
      </c>
      <c r="F11" s="23">
        <f t="shared" si="0"/>
        <v>-1000000</v>
      </c>
      <c r="G11" s="25">
        <f t="shared" si="1"/>
        <v>6.0000000000000001E-3</v>
      </c>
      <c r="H11" s="37">
        <f t="shared" si="2"/>
        <v>0.25</v>
      </c>
      <c r="I11" s="23">
        <f t="shared" si="17"/>
        <v>-1500</v>
      </c>
      <c r="J11" s="24">
        <f t="shared" si="3"/>
        <v>0.97775123719333634</v>
      </c>
      <c r="K11" s="24">
        <f t="shared" si="4"/>
        <v>0.9590136218273948</v>
      </c>
      <c r="L11" s="26">
        <f t="shared" si="5"/>
        <v>-1406.5151328404966</v>
      </c>
      <c r="N11" s="22">
        <f t="shared" ref="N11:N44" si="23">N10+YearFraction</f>
        <v>2.25</v>
      </c>
      <c r="O11" s="23">
        <f t="shared" si="6"/>
        <v>-1000000</v>
      </c>
      <c r="P11" s="25">
        <f t="shared" si="7"/>
        <v>6.0000000000000001E-3</v>
      </c>
      <c r="Q11" s="43">
        <f t="shared" si="8"/>
        <v>0.125</v>
      </c>
      <c r="R11" s="23">
        <f t="shared" si="9"/>
        <v>-750</v>
      </c>
      <c r="S11" s="24">
        <f t="shared" si="19"/>
        <v>2.4474361134189104E-3</v>
      </c>
      <c r="T11" s="24">
        <f t="shared" si="10"/>
        <v>0.9590136218273948</v>
      </c>
      <c r="U11" s="26">
        <f t="shared" si="11"/>
        <v>-1.760343428490774</v>
      </c>
      <c r="W11" s="22">
        <f t="shared" ref="W11:W44" si="24">W10+YearFraction</f>
        <v>2.25</v>
      </c>
      <c r="X11" s="23">
        <f t="shared" si="12"/>
        <v>1000000</v>
      </c>
      <c r="Y11" s="23">
        <f t="shared" si="13"/>
        <v>600000</v>
      </c>
      <c r="Z11" s="24">
        <f t="shared" si="21"/>
        <v>2.4474361134189104E-3</v>
      </c>
      <c r="AA11" s="24">
        <f t="shared" si="14"/>
        <v>0.9590136218273948</v>
      </c>
      <c r="AB11" s="26">
        <f t="shared" si="15"/>
        <v>1408.2747427926192</v>
      </c>
    </row>
    <row r="12" spans="2:29">
      <c r="B12" s="13" t="s">
        <v>7</v>
      </c>
      <c r="C12" s="7">
        <v>1.8599999999999998E-2</v>
      </c>
      <c r="E12" s="36">
        <f t="shared" si="22"/>
        <v>2.5</v>
      </c>
      <c r="F12" s="23">
        <f t="shared" si="0"/>
        <v>-1000000</v>
      </c>
      <c r="G12" s="25">
        <f t="shared" si="1"/>
        <v>6.0000000000000001E-3</v>
      </c>
      <c r="H12" s="37">
        <f t="shared" si="2"/>
        <v>0.25</v>
      </c>
      <c r="I12" s="23">
        <f t="shared" si="17"/>
        <v>-1500</v>
      </c>
      <c r="J12" s="24">
        <f t="shared" si="3"/>
        <v>0.97530991202833262</v>
      </c>
      <c r="K12" s="24">
        <f t="shared" si="4"/>
        <v>0.9545645605699703</v>
      </c>
      <c r="L12" s="26">
        <f t="shared" si="5"/>
        <v>-1396.4944163922926</v>
      </c>
      <c r="N12" s="22">
        <f t="shared" si="23"/>
        <v>2.5</v>
      </c>
      <c r="O12" s="23">
        <f t="shared" si="6"/>
        <v>-1000000</v>
      </c>
      <c r="P12" s="25">
        <f t="shared" si="7"/>
        <v>6.0000000000000001E-3</v>
      </c>
      <c r="Q12" s="43">
        <f t="shared" si="8"/>
        <v>0.125</v>
      </c>
      <c r="R12" s="23">
        <f t="shared" si="9"/>
        <v>-750</v>
      </c>
      <c r="S12" s="24">
        <f t="shared" si="19"/>
        <v>2.4413251650037271E-3</v>
      </c>
      <c r="T12" s="24">
        <f t="shared" si="10"/>
        <v>0.9545645605699703</v>
      </c>
      <c r="U12" s="26">
        <f t="shared" si="11"/>
        <v>-1.7478018625051448</v>
      </c>
      <c r="W12" s="22">
        <f t="shared" si="24"/>
        <v>2.5</v>
      </c>
      <c r="X12" s="23">
        <f t="shared" si="12"/>
        <v>1000000</v>
      </c>
      <c r="Y12" s="23">
        <f t="shared" si="13"/>
        <v>600000</v>
      </c>
      <c r="Z12" s="24">
        <f t="shared" si="21"/>
        <v>2.4413251650037271E-3</v>
      </c>
      <c r="AA12" s="24">
        <f t="shared" si="14"/>
        <v>0.9545645605699703</v>
      </c>
      <c r="AB12" s="26">
        <f t="shared" si="15"/>
        <v>1398.2414900041158</v>
      </c>
    </row>
    <row r="13" spans="2:29">
      <c r="E13" s="36">
        <f t="shared" si="22"/>
        <v>2.75</v>
      </c>
      <c r="F13" s="23">
        <f t="shared" si="0"/>
        <v>-1000000</v>
      </c>
      <c r="G13" s="25">
        <f t="shared" si="1"/>
        <v>6.0000000000000001E-3</v>
      </c>
      <c r="H13" s="37">
        <f t="shared" si="2"/>
        <v>0.25</v>
      </c>
      <c r="I13" s="23">
        <f t="shared" si="17"/>
        <v>-1500</v>
      </c>
      <c r="J13" s="24">
        <f t="shared" si="3"/>
        <v>0.972874682553454</v>
      </c>
      <c r="K13" s="24">
        <f t="shared" si="4"/>
        <v>0.95013613942194763</v>
      </c>
      <c r="L13" s="26">
        <f t="shared" si="5"/>
        <v>-1386.5450925340374</v>
      </c>
      <c r="N13" s="22">
        <f t="shared" si="23"/>
        <v>2.75</v>
      </c>
      <c r="O13" s="23">
        <f t="shared" si="6"/>
        <v>-1000000</v>
      </c>
      <c r="P13" s="25">
        <f t="shared" si="7"/>
        <v>6.0000000000000001E-3</v>
      </c>
      <c r="Q13" s="43">
        <f t="shared" si="8"/>
        <v>0.125</v>
      </c>
      <c r="R13" s="23">
        <f t="shared" si="9"/>
        <v>-750</v>
      </c>
      <c r="S13" s="24">
        <f t="shared" si="19"/>
        <v>2.4352294748786196E-3</v>
      </c>
      <c r="T13" s="24">
        <f t="shared" si="10"/>
        <v>0.95013613942194763</v>
      </c>
      <c r="U13" s="26">
        <f t="shared" si="11"/>
        <v>-1.7353496489007814</v>
      </c>
      <c r="W13" s="22">
        <f t="shared" si="24"/>
        <v>2.75</v>
      </c>
      <c r="X13" s="23">
        <f t="shared" si="12"/>
        <v>1000000</v>
      </c>
      <c r="Y13" s="23">
        <f t="shared" si="13"/>
        <v>600000</v>
      </c>
      <c r="Z13" s="24">
        <f t="shared" si="21"/>
        <v>2.4352294748786196E-3</v>
      </c>
      <c r="AA13" s="24">
        <f t="shared" si="14"/>
        <v>0.95013613942194763</v>
      </c>
      <c r="AB13" s="26">
        <f t="shared" si="15"/>
        <v>1388.279719120625</v>
      </c>
    </row>
    <row r="14" spans="2:29">
      <c r="B14" s="2" t="s">
        <v>4</v>
      </c>
      <c r="E14" s="36">
        <f t="shared" si="22"/>
        <v>3</v>
      </c>
      <c r="F14" s="23">
        <f t="shared" si="0"/>
        <v>-1000000</v>
      </c>
      <c r="G14" s="25">
        <f t="shared" si="1"/>
        <v>6.0000000000000001E-3</v>
      </c>
      <c r="H14" s="37">
        <f t="shared" si="2"/>
        <v>0.25</v>
      </c>
      <c r="I14" s="23">
        <f t="shared" si="17"/>
        <v>-1500</v>
      </c>
      <c r="J14" s="24">
        <f t="shared" si="3"/>
        <v>0.97044553354850815</v>
      </c>
      <c r="K14" s="24">
        <f t="shared" si="4"/>
        <v>0.94572826262961784</v>
      </c>
      <c r="L14" s="26">
        <f t="shared" si="5"/>
        <v>-1376.6666526292547</v>
      </c>
      <c r="N14" s="22">
        <f t="shared" si="23"/>
        <v>3</v>
      </c>
      <c r="O14" s="23">
        <f t="shared" si="6"/>
        <v>-1000000</v>
      </c>
      <c r="P14" s="25">
        <f t="shared" si="7"/>
        <v>6.0000000000000001E-3</v>
      </c>
      <c r="Q14" s="43">
        <f t="shared" si="8"/>
        <v>0.125</v>
      </c>
      <c r="R14" s="23">
        <f t="shared" si="9"/>
        <v>-750</v>
      </c>
      <c r="S14" s="24">
        <f t="shared" si="19"/>
        <v>2.4291490049458409E-3</v>
      </c>
      <c r="T14" s="24">
        <f t="shared" si="10"/>
        <v>0.94572826262961784</v>
      </c>
      <c r="U14" s="26">
        <f t="shared" si="11"/>
        <v>-1.7229861510869213</v>
      </c>
      <c r="W14" s="22">
        <f t="shared" si="24"/>
        <v>3</v>
      </c>
      <c r="X14" s="23">
        <f t="shared" si="12"/>
        <v>1000000</v>
      </c>
      <c r="Y14" s="23">
        <f t="shared" si="13"/>
        <v>600000</v>
      </c>
      <c r="Z14" s="24">
        <f t="shared" si="21"/>
        <v>2.4291490049458409E-3</v>
      </c>
      <c r="AA14" s="24">
        <f t="shared" si="14"/>
        <v>0.94572826262961784</v>
      </c>
      <c r="AB14" s="26">
        <f t="shared" si="15"/>
        <v>1378.3889208695371</v>
      </c>
    </row>
    <row r="15" spans="2:29">
      <c r="B15" s="11" t="s">
        <v>8</v>
      </c>
      <c r="C15" s="14">
        <f>SUM(C16:C18)</f>
        <v>-1.4525374972436111E-2</v>
      </c>
      <c r="E15" s="36">
        <f t="shared" si="22"/>
        <v>3.25</v>
      </c>
      <c r="F15" s="23">
        <f t="shared" si="0"/>
        <v>-1000000</v>
      </c>
      <c r="G15" s="25">
        <f t="shared" si="1"/>
        <v>6.0000000000000001E-3</v>
      </c>
      <c r="H15" s="37">
        <f t="shared" si="2"/>
        <v>0.25</v>
      </c>
      <c r="I15" s="23">
        <f t="shared" si="17"/>
        <v>-1500</v>
      </c>
      <c r="J15" s="24">
        <f t="shared" si="3"/>
        <v>0.96802244983130603</v>
      </c>
      <c r="K15" s="24">
        <f t="shared" si="4"/>
        <v>0.9413408348834934</v>
      </c>
      <c r="L15" s="26">
        <f t="shared" si="5"/>
        <v>-1366.8585916652494</v>
      </c>
      <c r="N15" s="22">
        <f t="shared" si="23"/>
        <v>3.25</v>
      </c>
      <c r="O15" s="23">
        <f t="shared" si="6"/>
        <v>-1000000</v>
      </c>
      <c r="P15" s="25">
        <f t="shared" si="7"/>
        <v>6.0000000000000001E-3</v>
      </c>
      <c r="Q15" s="43">
        <f t="shared" si="8"/>
        <v>0.125</v>
      </c>
      <c r="R15" s="23">
        <f t="shared" si="9"/>
        <v>-750</v>
      </c>
      <c r="S15" s="24">
        <f t="shared" si="19"/>
        <v>2.4230837172021236E-3</v>
      </c>
      <c r="T15" s="24">
        <f t="shared" si="10"/>
        <v>0.9413408348834934</v>
      </c>
      <c r="U15" s="26">
        <f t="shared" si="11"/>
        <v>-1.7107107370077341</v>
      </c>
      <c r="W15" s="22">
        <f t="shared" si="24"/>
        <v>3.25</v>
      </c>
      <c r="X15" s="23">
        <f t="shared" si="12"/>
        <v>1000000</v>
      </c>
      <c r="Y15" s="23">
        <f t="shared" si="13"/>
        <v>600000</v>
      </c>
      <c r="Z15" s="24">
        <f t="shared" si="21"/>
        <v>2.4230837172021236E-3</v>
      </c>
      <c r="AA15" s="24">
        <f t="shared" si="14"/>
        <v>0.9413408348834934</v>
      </c>
      <c r="AB15" s="26">
        <f t="shared" si="15"/>
        <v>1368.5685896061875</v>
      </c>
    </row>
    <row r="16" spans="2:29">
      <c r="B16" s="12" t="s">
        <v>2</v>
      </c>
      <c r="C16" s="15">
        <f>PremiumLegTotalPV</f>
        <v>-27853.876480228279</v>
      </c>
      <c r="E16" s="36">
        <f t="shared" si="22"/>
        <v>3.5</v>
      </c>
      <c r="F16" s="23">
        <f t="shared" si="0"/>
        <v>-1000000</v>
      </c>
      <c r="G16" s="25">
        <f t="shared" si="1"/>
        <v>6.0000000000000001E-3</v>
      </c>
      <c r="H16" s="37">
        <f t="shared" si="2"/>
        <v>0.25</v>
      </c>
      <c r="I16" s="23">
        <f t="shared" si="17"/>
        <v>-1500</v>
      </c>
      <c r="J16" s="24">
        <f t="shared" si="3"/>
        <v>0.96560541625756646</v>
      </c>
      <c r="K16" s="24">
        <f t="shared" si="4"/>
        <v>0.93697376131624688</v>
      </c>
      <c r="L16" s="26">
        <f t="shared" si="5"/>
        <v>-1357.1204082272884</v>
      </c>
      <c r="N16" s="22">
        <f t="shared" si="23"/>
        <v>3.5</v>
      </c>
      <c r="O16" s="23">
        <f t="shared" si="6"/>
        <v>-1000000</v>
      </c>
      <c r="P16" s="25">
        <f t="shared" si="7"/>
        <v>6.0000000000000001E-3</v>
      </c>
      <c r="Q16" s="43">
        <f t="shared" si="8"/>
        <v>0.125</v>
      </c>
      <c r="R16" s="23">
        <f t="shared" si="9"/>
        <v>-750</v>
      </c>
      <c r="S16" s="24">
        <f t="shared" si="19"/>
        <v>2.4170335737395687E-3</v>
      </c>
      <c r="T16" s="24">
        <f t="shared" si="10"/>
        <v>0.93697376131624688</v>
      </c>
      <c r="U16" s="26">
        <f t="shared" si="11"/>
        <v>-1.6985227791108104</v>
      </c>
      <c r="W16" s="22">
        <f t="shared" si="24"/>
        <v>3.5</v>
      </c>
      <c r="X16" s="23">
        <f t="shared" si="12"/>
        <v>1000000</v>
      </c>
      <c r="Y16" s="23">
        <f t="shared" si="13"/>
        <v>600000</v>
      </c>
      <c r="Z16" s="24">
        <f t="shared" si="21"/>
        <v>2.4170335737395687E-3</v>
      </c>
      <c r="AA16" s="24">
        <f t="shared" si="14"/>
        <v>0.93697376131624688</v>
      </c>
      <c r="AB16" s="26">
        <f t="shared" si="15"/>
        <v>1358.8182232886484</v>
      </c>
    </row>
    <row r="17" spans="2:28">
      <c r="B17" s="12" t="s">
        <v>18</v>
      </c>
      <c r="C17" s="15">
        <f>AccruedInterestTotalPV</f>
        <v>-34.860903573032921</v>
      </c>
      <c r="E17" s="36">
        <f t="shared" si="22"/>
        <v>3.75</v>
      </c>
      <c r="F17" s="23">
        <f t="shared" si="0"/>
        <v>-1000000</v>
      </c>
      <c r="G17" s="25">
        <f t="shared" si="1"/>
        <v>6.0000000000000001E-3</v>
      </c>
      <c r="H17" s="37">
        <f t="shared" si="2"/>
        <v>0.25</v>
      </c>
      <c r="I17" s="23">
        <f t="shared" si="17"/>
        <v>-1500</v>
      </c>
      <c r="J17" s="24">
        <f t="shared" si="3"/>
        <v>0.96319441772082182</v>
      </c>
      <c r="K17" s="24">
        <f t="shared" si="4"/>
        <v>0.93262694750065989</v>
      </c>
      <c r="L17" s="26">
        <f t="shared" si="5"/>
        <v>-1347.4516044729685</v>
      </c>
      <c r="N17" s="22">
        <f t="shared" si="23"/>
        <v>3.75</v>
      </c>
      <c r="O17" s="23">
        <f t="shared" si="6"/>
        <v>-1000000</v>
      </c>
      <c r="P17" s="25">
        <f t="shared" si="7"/>
        <v>6.0000000000000001E-3</v>
      </c>
      <c r="Q17" s="43">
        <f t="shared" si="8"/>
        <v>0.125</v>
      </c>
      <c r="R17" s="23">
        <f t="shared" si="9"/>
        <v>-750</v>
      </c>
      <c r="S17" s="24">
        <f t="shared" si="19"/>
        <v>2.4109985367446463E-3</v>
      </c>
      <c r="T17" s="24">
        <f t="shared" si="10"/>
        <v>0.93262694750065989</v>
      </c>
      <c r="U17" s="26">
        <f t="shared" si="11"/>
        <v>-1.6864216543145378</v>
      </c>
      <c r="W17" s="22">
        <f t="shared" si="24"/>
        <v>3.75</v>
      </c>
      <c r="X17" s="23">
        <f t="shared" si="12"/>
        <v>1000000</v>
      </c>
      <c r="Y17" s="23">
        <f t="shared" si="13"/>
        <v>600000</v>
      </c>
      <c r="Z17" s="24">
        <f t="shared" si="21"/>
        <v>2.4109985367446463E-3</v>
      </c>
      <c r="AA17" s="24">
        <f t="shared" si="14"/>
        <v>0.93262694750065989</v>
      </c>
      <c r="AB17" s="26">
        <f t="shared" si="15"/>
        <v>1349.1373234516302</v>
      </c>
    </row>
    <row r="18" spans="2:28">
      <c r="B18" s="13" t="s">
        <v>3</v>
      </c>
      <c r="C18" s="16">
        <f>ProtectionLegTotalPV</f>
        <v>27888.722858426339</v>
      </c>
      <c r="E18" s="36">
        <f t="shared" si="22"/>
        <v>4</v>
      </c>
      <c r="F18" s="23">
        <f t="shared" si="0"/>
        <v>-1000000</v>
      </c>
      <c r="G18" s="25">
        <f t="shared" si="1"/>
        <v>6.0000000000000001E-3</v>
      </c>
      <c r="H18" s="37">
        <f t="shared" si="2"/>
        <v>0.25</v>
      </c>
      <c r="I18" s="23">
        <f t="shared" si="17"/>
        <v>-1500</v>
      </c>
      <c r="J18" s="24">
        <f t="shared" si="3"/>
        <v>0.96078943915232318</v>
      </c>
      <c r="K18" s="24">
        <f t="shared" si="4"/>
        <v>0.9283002994475813</v>
      </c>
      <c r="L18" s="26">
        <f t="shared" si="5"/>
        <v>-1337.8516861067631</v>
      </c>
      <c r="N18" s="22">
        <f t="shared" si="23"/>
        <v>4</v>
      </c>
      <c r="O18" s="23">
        <f t="shared" si="6"/>
        <v>-1000000</v>
      </c>
      <c r="P18" s="25">
        <f t="shared" si="7"/>
        <v>6.0000000000000001E-3</v>
      </c>
      <c r="Q18" s="43">
        <f t="shared" si="8"/>
        <v>0.125</v>
      </c>
      <c r="R18" s="23">
        <f t="shared" si="9"/>
        <v>-750</v>
      </c>
      <c r="S18" s="24">
        <f t="shared" si="19"/>
        <v>2.4049785684986391E-3</v>
      </c>
      <c r="T18" s="24">
        <f t="shared" si="10"/>
        <v>0.9283002994475813</v>
      </c>
      <c r="U18" s="26">
        <f t="shared" si="11"/>
        <v>-1.6744067439767265</v>
      </c>
      <c r="W18" s="22">
        <f t="shared" si="24"/>
        <v>4</v>
      </c>
      <c r="X18" s="23">
        <f t="shared" si="12"/>
        <v>1000000</v>
      </c>
      <c r="Y18" s="23">
        <f t="shared" si="13"/>
        <v>600000</v>
      </c>
      <c r="Z18" s="24">
        <f t="shared" si="21"/>
        <v>2.4049785684986391E-3</v>
      </c>
      <c r="AA18" s="24">
        <f t="shared" si="14"/>
        <v>0.9283002994475813</v>
      </c>
      <c r="AB18" s="26">
        <f t="shared" si="15"/>
        <v>1339.5253951813813</v>
      </c>
    </row>
    <row r="19" spans="2:28">
      <c r="E19" s="36">
        <f t="shared" si="22"/>
        <v>4.25</v>
      </c>
      <c r="F19" s="23">
        <f t="shared" si="0"/>
        <v>-1000000</v>
      </c>
      <c r="G19" s="25">
        <f t="shared" si="1"/>
        <v>6.0000000000000001E-3</v>
      </c>
      <c r="H19" s="37">
        <f t="shared" si="2"/>
        <v>0.25</v>
      </c>
      <c r="I19" s="23">
        <f t="shared" si="17"/>
        <v>-1500</v>
      </c>
      <c r="J19" s="24">
        <f t="shared" si="3"/>
        <v>0.95839046552094698</v>
      </c>
      <c r="K19" s="24">
        <f t="shared" si="4"/>
        <v>0.9239937236038952</v>
      </c>
      <c r="L19" s="26">
        <f t="shared" si="5"/>
        <v>-1328.3201623547554</v>
      </c>
      <c r="N19" s="22">
        <f t="shared" si="23"/>
        <v>4.25</v>
      </c>
      <c r="O19" s="23">
        <f t="shared" si="6"/>
        <v>-1000000</v>
      </c>
      <c r="P19" s="25">
        <f t="shared" si="7"/>
        <v>6.0000000000000001E-3</v>
      </c>
      <c r="Q19" s="43">
        <f t="shared" si="8"/>
        <v>0.125</v>
      </c>
      <c r="R19" s="23">
        <f t="shared" si="9"/>
        <v>-750</v>
      </c>
      <c r="S19" s="24">
        <f t="shared" si="19"/>
        <v>2.3989736313762E-3</v>
      </c>
      <c r="T19" s="24">
        <f t="shared" si="10"/>
        <v>0.9239937236038952</v>
      </c>
      <c r="U19" s="26">
        <f t="shared" si="11"/>
        <v>-1.66247743386214</v>
      </c>
      <c r="W19" s="22">
        <f t="shared" si="24"/>
        <v>4.25</v>
      </c>
      <c r="X19" s="23">
        <f t="shared" si="12"/>
        <v>1000000</v>
      </c>
      <c r="Y19" s="23">
        <f t="shared" si="13"/>
        <v>600000</v>
      </c>
      <c r="Z19" s="24">
        <f t="shared" si="21"/>
        <v>2.3989736313762E-3</v>
      </c>
      <c r="AA19" s="24">
        <f t="shared" si="14"/>
        <v>0.9239937236038952</v>
      </c>
      <c r="AB19" s="26">
        <f t="shared" si="15"/>
        <v>1329.9819470897121</v>
      </c>
    </row>
    <row r="20" spans="2:28">
      <c r="B20" s="2" t="s">
        <v>25</v>
      </c>
      <c r="E20" s="36">
        <f t="shared" si="22"/>
        <v>4.5</v>
      </c>
      <c r="F20" s="23">
        <f t="shared" si="0"/>
        <v>-1000000</v>
      </c>
      <c r="G20" s="25">
        <f t="shared" si="1"/>
        <v>6.0000000000000001E-3</v>
      </c>
      <c r="H20" s="37">
        <f t="shared" si="2"/>
        <v>0.25</v>
      </c>
      <c r="I20" s="23">
        <f t="shared" si="17"/>
        <v>-1500</v>
      </c>
      <c r="J20" s="24">
        <f t="shared" si="3"/>
        <v>0.95599748183309996</v>
      </c>
      <c r="K20" s="24">
        <f t="shared" si="4"/>
        <v>0.91970712685049749</v>
      </c>
      <c r="L20" s="26">
        <f t="shared" si="5"/>
        <v>-1318.8565459395465</v>
      </c>
      <c r="N20" s="22">
        <f t="shared" si="23"/>
        <v>4.5</v>
      </c>
      <c r="O20" s="23">
        <f t="shared" si="6"/>
        <v>-1000000</v>
      </c>
      <c r="P20" s="25">
        <f t="shared" si="7"/>
        <v>6.0000000000000001E-3</v>
      </c>
      <c r="Q20" s="43">
        <f t="shared" si="8"/>
        <v>0.125</v>
      </c>
      <c r="R20" s="23">
        <f t="shared" si="9"/>
        <v>-750</v>
      </c>
      <c r="S20" s="24">
        <f t="shared" si="19"/>
        <v>2.3929836878470168E-3</v>
      </c>
      <c r="T20" s="24">
        <f t="shared" si="10"/>
        <v>0.91970712685049749</v>
      </c>
      <c r="U20" s="26">
        <f t="shared" si="11"/>
        <v>-1.6506331141124158</v>
      </c>
      <c r="W20" s="22">
        <f t="shared" si="24"/>
        <v>4.5</v>
      </c>
      <c r="X20" s="23">
        <f t="shared" si="12"/>
        <v>1000000</v>
      </c>
      <c r="Y20" s="23">
        <f t="shared" si="13"/>
        <v>600000</v>
      </c>
      <c r="Z20" s="24">
        <f t="shared" si="21"/>
        <v>2.3929836878470168E-3</v>
      </c>
      <c r="AA20" s="24">
        <f t="shared" si="14"/>
        <v>0.91970712685049749</v>
      </c>
      <c r="AB20" s="26">
        <f t="shared" si="15"/>
        <v>1320.5064912899325</v>
      </c>
    </row>
    <row r="21" spans="2:28">
      <c r="B21" s="11" t="s">
        <v>26</v>
      </c>
      <c r="C21" s="40">
        <f>C22/C23</f>
        <v>5.9999968710908189E-3</v>
      </c>
      <c r="E21" s="36">
        <f t="shared" si="22"/>
        <v>4.75</v>
      </c>
      <c r="F21" s="23">
        <f t="shared" si="0"/>
        <v>-1000000</v>
      </c>
      <c r="G21" s="25">
        <f t="shared" si="1"/>
        <v>6.0000000000000001E-3</v>
      </c>
      <c r="H21" s="37">
        <f t="shared" si="2"/>
        <v>0.25</v>
      </c>
      <c r="I21" s="23">
        <f t="shared" si="17"/>
        <v>-1500</v>
      </c>
      <c r="J21" s="24">
        <f t="shared" si="3"/>
        <v>0.95361047313262637</v>
      </c>
      <c r="K21" s="24">
        <f t="shared" si="4"/>
        <v>0.91544041650028285</v>
      </c>
      <c r="L21" s="26">
        <f t="shared" si="5"/>
        <v>-1309.460353055345</v>
      </c>
      <c r="N21" s="22">
        <f t="shared" si="23"/>
        <v>4.75</v>
      </c>
      <c r="O21" s="23">
        <f t="shared" si="6"/>
        <v>-1000000</v>
      </c>
      <c r="P21" s="25">
        <f t="shared" si="7"/>
        <v>6.0000000000000001E-3</v>
      </c>
      <c r="Q21" s="43">
        <f t="shared" si="8"/>
        <v>0.125</v>
      </c>
      <c r="R21" s="23">
        <f t="shared" si="9"/>
        <v>-750</v>
      </c>
      <c r="S21" s="24">
        <f t="shared" si="19"/>
        <v>2.3870087004735918E-3</v>
      </c>
      <c r="T21" s="24">
        <f t="shared" si="10"/>
        <v>0.91544041650028285</v>
      </c>
      <c r="U21" s="26">
        <f t="shared" si="11"/>
        <v>-1.6388731792135078</v>
      </c>
      <c r="W21" s="22">
        <f t="shared" si="24"/>
        <v>4.75</v>
      </c>
      <c r="X21" s="23">
        <f t="shared" si="12"/>
        <v>1000000</v>
      </c>
      <c r="Y21" s="23">
        <f t="shared" si="13"/>
        <v>600000</v>
      </c>
      <c r="Z21" s="24">
        <f t="shared" si="21"/>
        <v>2.3870087004735918E-3</v>
      </c>
      <c r="AA21" s="24">
        <f t="shared" si="14"/>
        <v>0.91544041650028285</v>
      </c>
      <c r="AB21" s="26">
        <f t="shared" si="15"/>
        <v>1311.0985433708063</v>
      </c>
    </row>
    <row r="22" spans="2:28">
      <c r="B22" s="12" t="s">
        <v>19</v>
      </c>
      <c r="C22" s="15">
        <f>-ProtectionLegTotalPV-AccruedInterestTotalPV</f>
        <v>-27853.861954853306</v>
      </c>
      <c r="E22" s="36">
        <f t="shared" si="22"/>
        <v>5</v>
      </c>
      <c r="F22" s="23">
        <f t="shared" si="0"/>
        <v>-1000000</v>
      </c>
      <c r="G22" s="25">
        <f t="shared" si="1"/>
        <v>6.0000000000000001E-3</v>
      </c>
      <c r="H22" s="37">
        <f t="shared" si="2"/>
        <v>0.25</v>
      </c>
      <c r="I22" s="23">
        <f t="shared" si="17"/>
        <v>-1500</v>
      </c>
      <c r="J22" s="24">
        <f t="shared" si="3"/>
        <v>0.95122942450071402</v>
      </c>
      <c r="K22" s="24">
        <f t="shared" si="4"/>
        <v>0.91119350029614055</v>
      </c>
      <c r="L22" s="26">
        <f t="shared" si="5"/>
        <v>-1300.1311033432335</v>
      </c>
      <c r="N22" s="22">
        <f t="shared" si="23"/>
        <v>5</v>
      </c>
      <c r="O22" s="23">
        <f t="shared" si="6"/>
        <v>-1000000</v>
      </c>
      <c r="P22" s="25">
        <f t="shared" si="7"/>
        <v>6.0000000000000001E-3</v>
      </c>
      <c r="Q22" s="43">
        <f t="shared" si="8"/>
        <v>0.125</v>
      </c>
      <c r="R22" s="23">
        <f t="shared" si="9"/>
        <v>-750</v>
      </c>
      <c r="S22" s="24">
        <f t="shared" si="19"/>
        <v>2.3810486319123525E-3</v>
      </c>
      <c r="T22" s="24">
        <f t="shared" si="10"/>
        <v>0.91119350029614055</v>
      </c>
      <c r="U22" s="26">
        <f t="shared" si="11"/>
        <v>-1.6271970279656649</v>
      </c>
      <c r="W22" s="22">
        <f t="shared" si="24"/>
        <v>5</v>
      </c>
      <c r="X22" s="23">
        <f t="shared" si="12"/>
        <v>1000000</v>
      </c>
      <c r="Y22" s="23">
        <f t="shared" si="13"/>
        <v>600000</v>
      </c>
      <c r="Z22" s="24">
        <f t="shared" si="21"/>
        <v>2.3810486319123525E-3</v>
      </c>
      <c r="AA22" s="24">
        <f t="shared" si="14"/>
        <v>0.91119350029614055</v>
      </c>
      <c r="AB22" s="26">
        <f t="shared" si="15"/>
        <v>1301.7576223725321</v>
      </c>
    </row>
    <row r="23" spans="2:28">
      <c r="B23" s="13" t="s">
        <v>9</v>
      </c>
      <c r="C23" s="16">
        <f>C16/Premium</f>
        <v>-4642312.7467047134</v>
      </c>
      <c r="E23" s="36">
        <f t="shared" si="22"/>
        <v>5.25</v>
      </c>
      <c r="F23" s="23" t="str">
        <f t="shared" si="0"/>
        <v>-</v>
      </c>
      <c r="G23" s="25" t="str">
        <f t="shared" si="1"/>
        <v>-</v>
      </c>
      <c r="H23" s="37" t="str">
        <f t="shared" si="2"/>
        <v>-</v>
      </c>
      <c r="I23" s="23" t="str">
        <f t="shared" si="17"/>
        <v>-</v>
      </c>
      <c r="J23" s="24" t="str">
        <f t="shared" si="3"/>
        <v>-</v>
      </c>
      <c r="K23" s="24" t="str">
        <f t="shared" si="4"/>
        <v>-</v>
      </c>
      <c r="L23" s="26" t="str">
        <f t="shared" si="5"/>
        <v>-</v>
      </c>
      <c r="N23" s="22">
        <f t="shared" si="23"/>
        <v>5.25</v>
      </c>
      <c r="O23" s="23" t="str">
        <f t="shared" ref="O23:O44" si="25">IF(N23&gt;Maturity,"-",-Phi*Notional)</f>
        <v>-</v>
      </c>
      <c r="P23" s="25" t="str">
        <f t="shared" ref="P23:P44" si="26">IF(N23&gt;Maturity,"-",Premium)</f>
        <v>-</v>
      </c>
      <c r="Q23" s="43" t="str">
        <f t="shared" ref="Q23:Q44" si="27">IF(N23&gt;Maturity,"-",YearFraction/2)</f>
        <v>-</v>
      </c>
      <c r="R23" s="23" t="str">
        <f t="shared" ref="R23:R44" si="28">IF(N23&gt;Maturity,"-",O23*P23*Q23)</f>
        <v>-</v>
      </c>
      <c r="S23" s="24" t="str">
        <f t="shared" ref="S23:S44" si="29">IF(N23&gt;Maturity,"-",EXP(-HazardRate*N22)-EXP(-HazardRate*N23))</f>
        <v>-</v>
      </c>
      <c r="T23" s="24" t="str">
        <f t="shared" si="10"/>
        <v>-</v>
      </c>
      <c r="U23" s="26" t="str">
        <f t="shared" ref="U23:U44" si="30">IF(N23&gt;Maturity,"-",R23*S23*T23)</f>
        <v>-</v>
      </c>
      <c r="W23" s="22">
        <f t="shared" si="24"/>
        <v>5.25</v>
      </c>
      <c r="X23" s="23" t="str">
        <f t="shared" ref="X23:X44" si="31">IF(W23&gt;Maturity,"-",Phi*Notional)</f>
        <v>-</v>
      </c>
      <c r="Y23" s="23" t="str">
        <f t="shared" ref="Y23:Y44" si="32">IF(W23&gt;Maturity,"-",Phi*Notional*(1-RecoveryRate))</f>
        <v>-</v>
      </c>
      <c r="Z23" s="24" t="str">
        <f t="shared" ref="Z23:Z44" si="33">IF(W23&gt;Maturity,"-",EXP(-HazardRate*W22)-EXP(-HazardRate*W23))</f>
        <v>-</v>
      </c>
      <c r="AA23" s="24" t="str">
        <f t="shared" si="14"/>
        <v>-</v>
      </c>
      <c r="AB23" s="26" t="str">
        <f t="shared" ref="AB23:AB44" si="34">IF(W23&gt;Maturity,"-",Y23*Z23*AA23)</f>
        <v>-</v>
      </c>
    </row>
    <row r="24" spans="2:28">
      <c r="E24" s="36">
        <f t="shared" si="22"/>
        <v>5.5</v>
      </c>
      <c r="F24" s="23" t="str">
        <f t="shared" si="0"/>
        <v>-</v>
      </c>
      <c r="G24" s="25" t="str">
        <f t="shared" si="1"/>
        <v>-</v>
      </c>
      <c r="H24" s="37" t="str">
        <f t="shared" si="2"/>
        <v>-</v>
      </c>
      <c r="I24" s="23" t="str">
        <f t="shared" si="17"/>
        <v>-</v>
      </c>
      <c r="J24" s="24" t="str">
        <f t="shared" si="3"/>
        <v>-</v>
      </c>
      <c r="K24" s="24" t="str">
        <f t="shared" si="4"/>
        <v>-</v>
      </c>
      <c r="L24" s="26" t="str">
        <f t="shared" si="5"/>
        <v>-</v>
      </c>
      <c r="N24" s="22">
        <f t="shared" si="23"/>
        <v>5.5</v>
      </c>
      <c r="O24" s="23" t="str">
        <f t="shared" si="25"/>
        <v>-</v>
      </c>
      <c r="P24" s="25" t="str">
        <f t="shared" si="26"/>
        <v>-</v>
      </c>
      <c r="Q24" s="43" t="str">
        <f t="shared" si="27"/>
        <v>-</v>
      </c>
      <c r="R24" s="23" t="str">
        <f t="shared" si="28"/>
        <v>-</v>
      </c>
      <c r="S24" s="24" t="str">
        <f t="shared" si="29"/>
        <v>-</v>
      </c>
      <c r="T24" s="24" t="str">
        <f t="shared" si="10"/>
        <v>-</v>
      </c>
      <c r="U24" s="26" t="str">
        <f t="shared" si="30"/>
        <v>-</v>
      </c>
      <c r="W24" s="22">
        <f t="shared" si="24"/>
        <v>5.5</v>
      </c>
      <c r="X24" s="23" t="str">
        <f t="shared" si="31"/>
        <v>-</v>
      </c>
      <c r="Y24" s="23" t="str">
        <f t="shared" si="32"/>
        <v>-</v>
      </c>
      <c r="Z24" s="24" t="str">
        <f t="shared" si="33"/>
        <v>-</v>
      </c>
      <c r="AA24" s="24" t="str">
        <f t="shared" si="14"/>
        <v>-</v>
      </c>
      <c r="AB24" s="26" t="str">
        <f t="shared" si="34"/>
        <v>-</v>
      </c>
    </row>
    <row r="25" spans="2:28">
      <c r="E25" s="36">
        <f t="shared" si="22"/>
        <v>5.75</v>
      </c>
      <c r="F25" s="23" t="str">
        <f t="shared" si="0"/>
        <v>-</v>
      </c>
      <c r="G25" s="25" t="str">
        <f t="shared" si="1"/>
        <v>-</v>
      </c>
      <c r="H25" s="37" t="str">
        <f t="shared" si="2"/>
        <v>-</v>
      </c>
      <c r="I25" s="23" t="str">
        <f t="shared" si="17"/>
        <v>-</v>
      </c>
      <c r="J25" s="24" t="str">
        <f t="shared" si="3"/>
        <v>-</v>
      </c>
      <c r="K25" s="24" t="str">
        <f t="shared" si="4"/>
        <v>-</v>
      </c>
      <c r="L25" s="26" t="str">
        <f t="shared" si="5"/>
        <v>-</v>
      </c>
      <c r="N25" s="22">
        <f t="shared" si="23"/>
        <v>5.75</v>
      </c>
      <c r="O25" s="23" t="str">
        <f t="shared" si="25"/>
        <v>-</v>
      </c>
      <c r="P25" s="25" t="str">
        <f t="shared" si="26"/>
        <v>-</v>
      </c>
      <c r="Q25" s="43" t="str">
        <f t="shared" si="27"/>
        <v>-</v>
      </c>
      <c r="R25" s="23" t="str">
        <f t="shared" si="28"/>
        <v>-</v>
      </c>
      <c r="S25" s="24" t="str">
        <f t="shared" si="29"/>
        <v>-</v>
      </c>
      <c r="T25" s="24" t="str">
        <f t="shared" si="10"/>
        <v>-</v>
      </c>
      <c r="U25" s="26" t="str">
        <f t="shared" si="30"/>
        <v>-</v>
      </c>
      <c r="W25" s="22">
        <f t="shared" si="24"/>
        <v>5.75</v>
      </c>
      <c r="X25" s="23" t="str">
        <f t="shared" si="31"/>
        <v>-</v>
      </c>
      <c r="Y25" s="23" t="str">
        <f t="shared" si="32"/>
        <v>-</v>
      </c>
      <c r="Z25" s="24" t="str">
        <f t="shared" si="33"/>
        <v>-</v>
      </c>
      <c r="AA25" s="24" t="str">
        <f t="shared" si="14"/>
        <v>-</v>
      </c>
      <c r="AB25" s="26" t="str">
        <f t="shared" si="34"/>
        <v>-</v>
      </c>
    </row>
    <row r="26" spans="2:28">
      <c r="B26" s="48"/>
      <c r="C26" s="47"/>
      <c r="E26" s="36">
        <f t="shared" si="22"/>
        <v>6</v>
      </c>
      <c r="F26" s="23" t="str">
        <f t="shared" si="0"/>
        <v>-</v>
      </c>
      <c r="G26" s="25" t="str">
        <f t="shared" si="1"/>
        <v>-</v>
      </c>
      <c r="H26" s="37" t="str">
        <f t="shared" si="2"/>
        <v>-</v>
      </c>
      <c r="I26" s="23" t="str">
        <f t="shared" si="17"/>
        <v>-</v>
      </c>
      <c r="J26" s="24" t="str">
        <f t="shared" si="3"/>
        <v>-</v>
      </c>
      <c r="K26" s="24" t="str">
        <f t="shared" si="4"/>
        <v>-</v>
      </c>
      <c r="L26" s="26" t="str">
        <f t="shared" si="5"/>
        <v>-</v>
      </c>
      <c r="N26" s="22">
        <f t="shared" si="23"/>
        <v>6</v>
      </c>
      <c r="O26" s="23" t="str">
        <f t="shared" si="25"/>
        <v>-</v>
      </c>
      <c r="P26" s="25" t="str">
        <f t="shared" si="26"/>
        <v>-</v>
      </c>
      <c r="Q26" s="43" t="str">
        <f t="shared" si="27"/>
        <v>-</v>
      </c>
      <c r="R26" s="23" t="str">
        <f t="shared" si="28"/>
        <v>-</v>
      </c>
      <c r="S26" s="24" t="str">
        <f t="shared" si="29"/>
        <v>-</v>
      </c>
      <c r="T26" s="24" t="str">
        <f t="shared" si="10"/>
        <v>-</v>
      </c>
      <c r="U26" s="26" t="str">
        <f t="shared" si="30"/>
        <v>-</v>
      </c>
      <c r="W26" s="22">
        <f t="shared" si="24"/>
        <v>6</v>
      </c>
      <c r="X26" s="23" t="str">
        <f t="shared" si="31"/>
        <v>-</v>
      </c>
      <c r="Y26" s="23" t="str">
        <f t="shared" si="32"/>
        <v>-</v>
      </c>
      <c r="Z26" s="24" t="str">
        <f t="shared" si="33"/>
        <v>-</v>
      </c>
      <c r="AA26" s="24" t="str">
        <f t="shared" si="14"/>
        <v>-</v>
      </c>
      <c r="AB26" s="26" t="str">
        <f t="shared" si="34"/>
        <v>-</v>
      </c>
    </row>
    <row r="27" spans="2:28">
      <c r="C27" s="47"/>
      <c r="E27" s="36">
        <f t="shared" si="22"/>
        <v>6.25</v>
      </c>
      <c r="F27" s="23" t="str">
        <f t="shared" si="0"/>
        <v>-</v>
      </c>
      <c r="G27" s="25" t="str">
        <f t="shared" si="1"/>
        <v>-</v>
      </c>
      <c r="H27" s="37" t="str">
        <f t="shared" si="2"/>
        <v>-</v>
      </c>
      <c r="I27" s="23" t="str">
        <f t="shared" si="17"/>
        <v>-</v>
      </c>
      <c r="J27" s="24" t="str">
        <f t="shared" si="3"/>
        <v>-</v>
      </c>
      <c r="K27" s="24" t="str">
        <f t="shared" si="4"/>
        <v>-</v>
      </c>
      <c r="L27" s="26" t="str">
        <f t="shared" si="5"/>
        <v>-</v>
      </c>
      <c r="N27" s="22">
        <f t="shared" si="23"/>
        <v>6.25</v>
      </c>
      <c r="O27" s="23" t="str">
        <f t="shared" si="25"/>
        <v>-</v>
      </c>
      <c r="P27" s="25" t="str">
        <f t="shared" si="26"/>
        <v>-</v>
      </c>
      <c r="Q27" s="43" t="str">
        <f t="shared" si="27"/>
        <v>-</v>
      </c>
      <c r="R27" s="23" t="str">
        <f t="shared" si="28"/>
        <v>-</v>
      </c>
      <c r="S27" s="24" t="str">
        <f t="shared" si="29"/>
        <v>-</v>
      </c>
      <c r="T27" s="24" t="str">
        <f t="shared" si="10"/>
        <v>-</v>
      </c>
      <c r="U27" s="26" t="str">
        <f t="shared" si="30"/>
        <v>-</v>
      </c>
      <c r="W27" s="22">
        <f t="shared" si="24"/>
        <v>6.25</v>
      </c>
      <c r="X27" s="23" t="str">
        <f t="shared" si="31"/>
        <v>-</v>
      </c>
      <c r="Y27" s="23" t="str">
        <f t="shared" si="32"/>
        <v>-</v>
      </c>
      <c r="Z27" s="24" t="str">
        <f t="shared" si="33"/>
        <v>-</v>
      </c>
      <c r="AA27" s="24" t="str">
        <f t="shared" si="14"/>
        <v>-</v>
      </c>
      <c r="AB27" s="26" t="str">
        <f t="shared" si="34"/>
        <v>-</v>
      </c>
    </row>
    <row r="28" spans="2:28">
      <c r="E28" s="36">
        <f t="shared" si="22"/>
        <v>6.5</v>
      </c>
      <c r="F28" s="23" t="str">
        <f t="shared" si="0"/>
        <v>-</v>
      </c>
      <c r="G28" s="25" t="str">
        <f t="shared" si="1"/>
        <v>-</v>
      </c>
      <c r="H28" s="37" t="str">
        <f t="shared" si="2"/>
        <v>-</v>
      </c>
      <c r="I28" s="23" t="str">
        <f t="shared" si="17"/>
        <v>-</v>
      </c>
      <c r="J28" s="24" t="str">
        <f t="shared" si="3"/>
        <v>-</v>
      </c>
      <c r="K28" s="24" t="str">
        <f t="shared" si="4"/>
        <v>-</v>
      </c>
      <c r="L28" s="26" t="str">
        <f t="shared" si="5"/>
        <v>-</v>
      </c>
      <c r="N28" s="22">
        <f t="shared" si="23"/>
        <v>6.5</v>
      </c>
      <c r="O28" s="23" t="str">
        <f t="shared" si="25"/>
        <v>-</v>
      </c>
      <c r="P28" s="25" t="str">
        <f t="shared" si="26"/>
        <v>-</v>
      </c>
      <c r="Q28" s="43" t="str">
        <f t="shared" si="27"/>
        <v>-</v>
      </c>
      <c r="R28" s="23" t="str">
        <f t="shared" si="28"/>
        <v>-</v>
      </c>
      <c r="S28" s="24" t="str">
        <f t="shared" si="29"/>
        <v>-</v>
      </c>
      <c r="T28" s="24" t="str">
        <f t="shared" si="10"/>
        <v>-</v>
      </c>
      <c r="U28" s="26" t="str">
        <f t="shared" si="30"/>
        <v>-</v>
      </c>
      <c r="W28" s="22">
        <f t="shared" si="24"/>
        <v>6.5</v>
      </c>
      <c r="X28" s="23" t="str">
        <f t="shared" si="31"/>
        <v>-</v>
      </c>
      <c r="Y28" s="23" t="str">
        <f t="shared" si="32"/>
        <v>-</v>
      </c>
      <c r="Z28" s="24" t="str">
        <f t="shared" si="33"/>
        <v>-</v>
      </c>
      <c r="AA28" s="24" t="str">
        <f t="shared" si="14"/>
        <v>-</v>
      </c>
      <c r="AB28" s="26" t="str">
        <f t="shared" si="34"/>
        <v>-</v>
      </c>
    </row>
    <row r="29" spans="2:28">
      <c r="C29" s="47"/>
      <c r="E29" s="36">
        <f t="shared" si="22"/>
        <v>6.75</v>
      </c>
      <c r="F29" s="23" t="str">
        <f t="shared" si="0"/>
        <v>-</v>
      </c>
      <c r="G29" s="25" t="str">
        <f t="shared" si="1"/>
        <v>-</v>
      </c>
      <c r="H29" s="37" t="str">
        <f t="shared" si="2"/>
        <v>-</v>
      </c>
      <c r="I29" s="23" t="str">
        <f t="shared" si="17"/>
        <v>-</v>
      </c>
      <c r="J29" s="24" t="str">
        <f t="shared" si="3"/>
        <v>-</v>
      </c>
      <c r="K29" s="24" t="str">
        <f t="shared" si="4"/>
        <v>-</v>
      </c>
      <c r="L29" s="26" t="str">
        <f t="shared" si="5"/>
        <v>-</v>
      </c>
      <c r="N29" s="22">
        <f t="shared" si="23"/>
        <v>6.75</v>
      </c>
      <c r="O29" s="23" t="str">
        <f t="shared" si="25"/>
        <v>-</v>
      </c>
      <c r="P29" s="25" t="str">
        <f t="shared" si="26"/>
        <v>-</v>
      </c>
      <c r="Q29" s="43" t="str">
        <f t="shared" si="27"/>
        <v>-</v>
      </c>
      <c r="R29" s="23" t="str">
        <f t="shared" si="28"/>
        <v>-</v>
      </c>
      <c r="S29" s="24" t="str">
        <f t="shared" si="29"/>
        <v>-</v>
      </c>
      <c r="T29" s="24" t="str">
        <f t="shared" si="10"/>
        <v>-</v>
      </c>
      <c r="U29" s="26" t="str">
        <f t="shared" si="30"/>
        <v>-</v>
      </c>
      <c r="W29" s="22">
        <f t="shared" si="24"/>
        <v>6.75</v>
      </c>
      <c r="X29" s="23" t="str">
        <f t="shared" si="31"/>
        <v>-</v>
      </c>
      <c r="Y29" s="23" t="str">
        <f t="shared" si="32"/>
        <v>-</v>
      </c>
      <c r="Z29" s="24" t="str">
        <f t="shared" si="33"/>
        <v>-</v>
      </c>
      <c r="AA29" s="24" t="str">
        <f t="shared" si="14"/>
        <v>-</v>
      </c>
      <c r="AB29" s="26" t="str">
        <f t="shared" si="34"/>
        <v>-</v>
      </c>
    </row>
    <row r="30" spans="2:28">
      <c r="B30" s="1"/>
      <c r="C30" s="47"/>
      <c r="E30" s="36">
        <f t="shared" si="22"/>
        <v>7</v>
      </c>
      <c r="F30" s="23" t="str">
        <f t="shared" si="0"/>
        <v>-</v>
      </c>
      <c r="G30" s="25" t="str">
        <f t="shared" si="1"/>
        <v>-</v>
      </c>
      <c r="H30" s="37" t="str">
        <f t="shared" si="2"/>
        <v>-</v>
      </c>
      <c r="I30" s="23" t="str">
        <f t="shared" si="17"/>
        <v>-</v>
      </c>
      <c r="J30" s="24" t="str">
        <f t="shared" si="3"/>
        <v>-</v>
      </c>
      <c r="K30" s="24" t="str">
        <f t="shared" si="4"/>
        <v>-</v>
      </c>
      <c r="L30" s="26" t="str">
        <f t="shared" si="5"/>
        <v>-</v>
      </c>
      <c r="N30" s="22">
        <f t="shared" si="23"/>
        <v>7</v>
      </c>
      <c r="O30" s="23" t="str">
        <f t="shared" si="25"/>
        <v>-</v>
      </c>
      <c r="P30" s="25" t="str">
        <f t="shared" si="26"/>
        <v>-</v>
      </c>
      <c r="Q30" s="43" t="str">
        <f t="shared" si="27"/>
        <v>-</v>
      </c>
      <c r="R30" s="23" t="str">
        <f t="shared" si="28"/>
        <v>-</v>
      </c>
      <c r="S30" s="24" t="str">
        <f t="shared" si="29"/>
        <v>-</v>
      </c>
      <c r="T30" s="24" t="str">
        <f t="shared" si="10"/>
        <v>-</v>
      </c>
      <c r="U30" s="26" t="str">
        <f t="shared" si="30"/>
        <v>-</v>
      </c>
      <c r="W30" s="22">
        <f t="shared" si="24"/>
        <v>7</v>
      </c>
      <c r="X30" s="23" t="str">
        <f t="shared" si="31"/>
        <v>-</v>
      </c>
      <c r="Y30" s="23" t="str">
        <f t="shared" si="32"/>
        <v>-</v>
      </c>
      <c r="Z30" s="24" t="str">
        <f t="shared" si="33"/>
        <v>-</v>
      </c>
      <c r="AA30" s="24" t="str">
        <f t="shared" si="14"/>
        <v>-</v>
      </c>
      <c r="AB30" s="26" t="str">
        <f t="shared" si="34"/>
        <v>-</v>
      </c>
    </row>
    <row r="31" spans="2:28">
      <c r="E31" s="36">
        <f t="shared" si="22"/>
        <v>7.25</v>
      </c>
      <c r="F31" s="23" t="str">
        <f t="shared" si="0"/>
        <v>-</v>
      </c>
      <c r="G31" s="25" t="str">
        <f t="shared" si="1"/>
        <v>-</v>
      </c>
      <c r="H31" s="37" t="str">
        <f t="shared" si="2"/>
        <v>-</v>
      </c>
      <c r="I31" s="23" t="str">
        <f t="shared" si="17"/>
        <v>-</v>
      </c>
      <c r="J31" s="24" t="str">
        <f t="shared" si="3"/>
        <v>-</v>
      </c>
      <c r="K31" s="24" t="str">
        <f t="shared" si="4"/>
        <v>-</v>
      </c>
      <c r="L31" s="26" t="str">
        <f t="shared" si="5"/>
        <v>-</v>
      </c>
      <c r="N31" s="22">
        <f t="shared" si="23"/>
        <v>7.25</v>
      </c>
      <c r="O31" s="23" t="str">
        <f t="shared" si="25"/>
        <v>-</v>
      </c>
      <c r="P31" s="25" t="str">
        <f t="shared" si="26"/>
        <v>-</v>
      </c>
      <c r="Q31" s="43" t="str">
        <f t="shared" si="27"/>
        <v>-</v>
      </c>
      <c r="R31" s="23" t="str">
        <f t="shared" si="28"/>
        <v>-</v>
      </c>
      <c r="S31" s="24" t="str">
        <f t="shared" si="29"/>
        <v>-</v>
      </c>
      <c r="T31" s="24" t="str">
        <f t="shared" si="10"/>
        <v>-</v>
      </c>
      <c r="U31" s="26" t="str">
        <f t="shared" si="30"/>
        <v>-</v>
      </c>
      <c r="W31" s="22">
        <f t="shared" si="24"/>
        <v>7.25</v>
      </c>
      <c r="X31" s="23" t="str">
        <f t="shared" si="31"/>
        <v>-</v>
      </c>
      <c r="Y31" s="23" t="str">
        <f t="shared" si="32"/>
        <v>-</v>
      </c>
      <c r="Z31" s="24" t="str">
        <f t="shared" si="33"/>
        <v>-</v>
      </c>
      <c r="AA31" s="24" t="str">
        <f t="shared" si="14"/>
        <v>-</v>
      </c>
      <c r="AB31" s="26" t="str">
        <f t="shared" si="34"/>
        <v>-</v>
      </c>
    </row>
    <row r="32" spans="2:28">
      <c r="E32" s="36">
        <f t="shared" si="22"/>
        <v>7.5</v>
      </c>
      <c r="F32" s="23" t="str">
        <f t="shared" si="0"/>
        <v>-</v>
      </c>
      <c r="G32" s="25" t="str">
        <f t="shared" si="1"/>
        <v>-</v>
      </c>
      <c r="H32" s="37" t="str">
        <f t="shared" si="2"/>
        <v>-</v>
      </c>
      <c r="I32" s="23" t="str">
        <f t="shared" si="17"/>
        <v>-</v>
      </c>
      <c r="J32" s="24" t="str">
        <f t="shared" si="3"/>
        <v>-</v>
      </c>
      <c r="K32" s="24" t="str">
        <f t="shared" si="4"/>
        <v>-</v>
      </c>
      <c r="L32" s="26" t="str">
        <f t="shared" si="5"/>
        <v>-</v>
      </c>
      <c r="N32" s="22">
        <f t="shared" si="23"/>
        <v>7.5</v>
      </c>
      <c r="O32" s="23" t="str">
        <f t="shared" si="25"/>
        <v>-</v>
      </c>
      <c r="P32" s="25" t="str">
        <f t="shared" si="26"/>
        <v>-</v>
      </c>
      <c r="Q32" s="43" t="str">
        <f t="shared" si="27"/>
        <v>-</v>
      </c>
      <c r="R32" s="23" t="str">
        <f t="shared" si="28"/>
        <v>-</v>
      </c>
      <c r="S32" s="24" t="str">
        <f t="shared" si="29"/>
        <v>-</v>
      </c>
      <c r="T32" s="24" t="str">
        <f t="shared" si="10"/>
        <v>-</v>
      </c>
      <c r="U32" s="26" t="str">
        <f t="shared" si="30"/>
        <v>-</v>
      </c>
      <c r="W32" s="22">
        <f t="shared" si="24"/>
        <v>7.5</v>
      </c>
      <c r="X32" s="23" t="str">
        <f t="shared" si="31"/>
        <v>-</v>
      </c>
      <c r="Y32" s="23" t="str">
        <f t="shared" si="32"/>
        <v>-</v>
      </c>
      <c r="Z32" s="24" t="str">
        <f t="shared" si="33"/>
        <v>-</v>
      </c>
      <c r="AA32" s="24" t="str">
        <f t="shared" si="14"/>
        <v>-</v>
      </c>
      <c r="AB32" s="26" t="str">
        <f t="shared" si="34"/>
        <v>-</v>
      </c>
    </row>
    <row r="33" spans="5:28">
      <c r="E33" s="36">
        <f t="shared" si="22"/>
        <v>7.75</v>
      </c>
      <c r="F33" s="23" t="str">
        <f t="shared" si="0"/>
        <v>-</v>
      </c>
      <c r="G33" s="25" t="str">
        <f t="shared" si="1"/>
        <v>-</v>
      </c>
      <c r="H33" s="37" t="str">
        <f t="shared" si="2"/>
        <v>-</v>
      </c>
      <c r="I33" s="23" t="str">
        <f t="shared" si="17"/>
        <v>-</v>
      </c>
      <c r="J33" s="24" t="str">
        <f t="shared" si="3"/>
        <v>-</v>
      </c>
      <c r="K33" s="24" t="str">
        <f t="shared" si="4"/>
        <v>-</v>
      </c>
      <c r="L33" s="26" t="str">
        <f t="shared" si="5"/>
        <v>-</v>
      </c>
      <c r="N33" s="22">
        <f t="shared" si="23"/>
        <v>7.75</v>
      </c>
      <c r="O33" s="23" t="str">
        <f t="shared" si="25"/>
        <v>-</v>
      </c>
      <c r="P33" s="25" t="str">
        <f t="shared" si="26"/>
        <v>-</v>
      </c>
      <c r="Q33" s="43" t="str">
        <f t="shared" si="27"/>
        <v>-</v>
      </c>
      <c r="R33" s="23" t="str">
        <f t="shared" si="28"/>
        <v>-</v>
      </c>
      <c r="S33" s="24" t="str">
        <f t="shared" si="29"/>
        <v>-</v>
      </c>
      <c r="T33" s="24" t="str">
        <f t="shared" si="10"/>
        <v>-</v>
      </c>
      <c r="U33" s="26" t="str">
        <f t="shared" si="30"/>
        <v>-</v>
      </c>
      <c r="W33" s="22">
        <f t="shared" si="24"/>
        <v>7.75</v>
      </c>
      <c r="X33" s="23" t="str">
        <f t="shared" si="31"/>
        <v>-</v>
      </c>
      <c r="Y33" s="23" t="str">
        <f t="shared" si="32"/>
        <v>-</v>
      </c>
      <c r="Z33" s="24" t="str">
        <f t="shared" si="33"/>
        <v>-</v>
      </c>
      <c r="AA33" s="24" t="str">
        <f t="shared" si="14"/>
        <v>-</v>
      </c>
      <c r="AB33" s="26" t="str">
        <f t="shared" si="34"/>
        <v>-</v>
      </c>
    </row>
    <row r="34" spans="5:28">
      <c r="E34" s="36">
        <f t="shared" si="22"/>
        <v>8</v>
      </c>
      <c r="F34" s="23" t="str">
        <f t="shared" si="0"/>
        <v>-</v>
      </c>
      <c r="G34" s="25" t="str">
        <f t="shared" si="1"/>
        <v>-</v>
      </c>
      <c r="H34" s="37" t="str">
        <f t="shared" si="2"/>
        <v>-</v>
      </c>
      <c r="I34" s="23" t="str">
        <f t="shared" si="17"/>
        <v>-</v>
      </c>
      <c r="J34" s="24" t="str">
        <f t="shared" si="3"/>
        <v>-</v>
      </c>
      <c r="K34" s="24" t="str">
        <f t="shared" si="4"/>
        <v>-</v>
      </c>
      <c r="L34" s="26" t="str">
        <f t="shared" si="5"/>
        <v>-</v>
      </c>
      <c r="N34" s="22">
        <f t="shared" si="23"/>
        <v>8</v>
      </c>
      <c r="O34" s="23" t="str">
        <f t="shared" si="25"/>
        <v>-</v>
      </c>
      <c r="P34" s="25" t="str">
        <f t="shared" si="26"/>
        <v>-</v>
      </c>
      <c r="Q34" s="43" t="str">
        <f t="shared" si="27"/>
        <v>-</v>
      </c>
      <c r="R34" s="23" t="str">
        <f t="shared" si="28"/>
        <v>-</v>
      </c>
      <c r="S34" s="24" t="str">
        <f t="shared" si="29"/>
        <v>-</v>
      </c>
      <c r="T34" s="24" t="str">
        <f t="shared" si="10"/>
        <v>-</v>
      </c>
      <c r="U34" s="26" t="str">
        <f t="shared" si="30"/>
        <v>-</v>
      </c>
      <c r="W34" s="22">
        <f t="shared" si="24"/>
        <v>8</v>
      </c>
      <c r="X34" s="23" t="str">
        <f t="shared" si="31"/>
        <v>-</v>
      </c>
      <c r="Y34" s="23" t="str">
        <f t="shared" si="32"/>
        <v>-</v>
      </c>
      <c r="Z34" s="24" t="str">
        <f t="shared" si="33"/>
        <v>-</v>
      </c>
      <c r="AA34" s="24" t="str">
        <f t="shared" si="14"/>
        <v>-</v>
      </c>
      <c r="AB34" s="26" t="str">
        <f t="shared" si="34"/>
        <v>-</v>
      </c>
    </row>
    <row r="35" spans="5:28">
      <c r="E35" s="36">
        <f t="shared" si="22"/>
        <v>8.25</v>
      </c>
      <c r="F35" s="23" t="str">
        <f t="shared" si="0"/>
        <v>-</v>
      </c>
      <c r="G35" s="25" t="str">
        <f t="shared" si="1"/>
        <v>-</v>
      </c>
      <c r="H35" s="37" t="str">
        <f t="shared" si="2"/>
        <v>-</v>
      </c>
      <c r="I35" s="23" t="str">
        <f t="shared" si="17"/>
        <v>-</v>
      </c>
      <c r="J35" s="24" t="str">
        <f t="shared" si="3"/>
        <v>-</v>
      </c>
      <c r="K35" s="24" t="str">
        <f t="shared" si="4"/>
        <v>-</v>
      </c>
      <c r="L35" s="26" t="str">
        <f t="shared" si="5"/>
        <v>-</v>
      </c>
      <c r="N35" s="22">
        <f t="shared" si="23"/>
        <v>8.25</v>
      </c>
      <c r="O35" s="23" t="str">
        <f t="shared" si="25"/>
        <v>-</v>
      </c>
      <c r="P35" s="25" t="str">
        <f t="shared" si="26"/>
        <v>-</v>
      </c>
      <c r="Q35" s="43" t="str">
        <f t="shared" si="27"/>
        <v>-</v>
      </c>
      <c r="R35" s="23" t="str">
        <f t="shared" si="28"/>
        <v>-</v>
      </c>
      <c r="S35" s="24" t="str">
        <f t="shared" si="29"/>
        <v>-</v>
      </c>
      <c r="T35" s="24" t="str">
        <f t="shared" si="10"/>
        <v>-</v>
      </c>
      <c r="U35" s="26" t="str">
        <f t="shared" si="30"/>
        <v>-</v>
      </c>
      <c r="W35" s="22">
        <f t="shared" si="24"/>
        <v>8.25</v>
      </c>
      <c r="X35" s="23" t="str">
        <f t="shared" si="31"/>
        <v>-</v>
      </c>
      <c r="Y35" s="23" t="str">
        <f t="shared" si="32"/>
        <v>-</v>
      </c>
      <c r="Z35" s="24" t="str">
        <f t="shared" si="33"/>
        <v>-</v>
      </c>
      <c r="AA35" s="24" t="str">
        <f t="shared" si="14"/>
        <v>-</v>
      </c>
      <c r="AB35" s="26" t="str">
        <f t="shared" si="34"/>
        <v>-</v>
      </c>
    </row>
    <row r="36" spans="5:28">
      <c r="E36" s="36">
        <f t="shared" si="22"/>
        <v>8.5</v>
      </c>
      <c r="F36" s="23" t="str">
        <f t="shared" si="0"/>
        <v>-</v>
      </c>
      <c r="G36" s="25" t="str">
        <f t="shared" si="1"/>
        <v>-</v>
      </c>
      <c r="H36" s="37" t="str">
        <f t="shared" si="2"/>
        <v>-</v>
      </c>
      <c r="I36" s="23" t="str">
        <f t="shared" si="17"/>
        <v>-</v>
      </c>
      <c r="J36" s="24" t="str">
        <f t="shared" si="3"/>
        <v>-</v>
      </c>
      <c r="K36" s="24" t="str">
        <f t="shared" si="4"/>
        <v>-</v>
      </c>
      <c r="L36" s="26" t="str">
        <f t="shared" si="5"/>
        <v>-</v>
      </c>
      <c r="N36" s="22">
        <f t="shared" si="23"/>
        <v>8.5</v>
      </c>
      <c r="O36" s="23" t="str">
        <f t="shared" si="25"/>
        <v>-</v>
      </c>
      <c r="P36" s="25" t="str">
        <f t="shared" si="26"/>
        <v>-</v>
      </c>
      <c r="Q36" s="43" t="str">
        <f t="shared" si="27"/>
        <v>-</v>
      </c>
      <c r="R36" s="23" t="str">
        <f t="shared" si="28"/>
        <v>-</v>
      </c>
      <c r="S36" s="24" t="str">
        <f t="shared" si="29"/>
        <v>-</v>
      </c>
      <c r="T36" s="24" t="str">
        <f t="shared" si="10"/>
        <v>-</v>
      </c>
      <c r="U36" s="26" t="str">
        <f t="shared" si="30"/>
        <v>-</v>
      </c>
      <c r="W36" s="22">
        <f t="shared" si="24"/>
        <v>8.5</v>
      </c>
      <c r="X36" s="23" t="str">
        <f t="shared" si="31"/>
        <v>-</v>
      </c>
      <c r="Y36" s="23" t="str">
        <f t="shared" si="32"/>
        <v>-</v>
      </c>
      <c r="Z36" s="24" t="str">
        <f t="shared" si="33"/>
        <v>-</v>
      </c>
      <c r="AA36" s="24" t="str">
        <f t="shared" si="14"/>
        <v>-</v>
      </c>
      <c r="AB36" s="26" t="str">
        <f t="shared" si="34"/>
        <v>-</v>
      </c>
    </row>
    <row r="37" spans="5:28">
      <c r="E37" s="36">
        <f t="shared" si="22"/>
        <v>8.75</v>
      </c>
      <c r="F37" s="23" t="str">
        <f t="shared" si="0"/>
        <v>-</v>
      </c>
      <c r="G37" s="25" t="str">
        <f t="shared" si="1"/>
        <v>-</v>
      </c>
      <c r="H37" s="37" t="str">
        <f t="shared" si="2"/>
        <v>-</v>
      </c>
      <c r="I37" s="23" t="str">
        <f t="shared" si="17"/>
        <v>-</v>
      </c>
      <c r="J37" s="24" t="str">
        <f t="shared" si="3"/>
        <v>-</v>
      </c>
      <c r="K37" s="24" t="str">
        <f t="shared" si="4"/>
        <v>-</v>
      </c>
      <c r="L37" s="26" t="str">
        <f t="shared" si="5"/>
        <v>-</v>
      </c>
      <c r="N37" s="22">
        <f t="shared" si="23"/>
        <v>8.75</v>
      </c>
      <c r="O37" s="23" t="str">
        <f t="shared" si="25"/>
        <v>-</v>
      </c>
      <c r="P37" s="25" t="str">
        <f t="shared" si="26"/>
        <v>-</v>
      </c>
      <c r="Q37" s="43" t="str">
        <f t="shared" si="27"/>
        <v>-</v>
      </c>
      <c r="R37" s="23" t="str">
        <f t="shared" si="28"/>
        <v>-</v>
      </c>
      <c r="S37" s="24" t="str">
        <f t="shared" si="29"/>
        <v>-</v>
      </c>
      <c r="T37" s="24" t="str">
        <f t="shared" si="10"/>
        <v>-</v>
      </c>
      <c r="U37" s="26" t="str">
        <f t="shared" si="30"/>
        <v>-</v>
      </c>
      <c r="W37" s="22">
        <f t="shared" si="24"/>
        <v>8.75</v>
      </c>
      <c r="X37" s="23" t="str">
        <f t="shared" si="31"/>
        <v>-</v>
      </c>
      <c r="Y37" s="23" t="str">
        <f t="shared" si="32"/>
        <v>-</v>
      </c>
      <c r="Z37" s="24" t="str">
        <f t="shared" si="33"/>
        <v>-</v>
      </c>
      <c r="AA37" s="24" t="str">
        <f t="shared" si="14"/>
        <v>-</v>
      </c>
      <c r="AB37" s="26" t="str">
        <f t="shared" si="34"/>
        <v>-</v>
      </c>
    </row>
    <row r="38" spans="5:28">
      <c r="E38" s="36">
        <f t="shared" si="22"/>
        <v>9</v>
      </c>
      <c r="F38" s="23" t="str">
        <f t="shared" si="0"/>
        <v>-</v>
      </c>
      <c r="G38" s="25" t="str">
        <f t="shared" si="1"/>
        <v>-</v>
      </c>
      <c r="H38" s="37" t="str">
        <f t="shared" si="2"/>
        <v>-</v>
      </c>
      <c r="I38" s="23" t="str">
        <f t="shared" si="17"/>
        <v>-</v>
      </c>
      <c r="J38" s="24" t="str">
        <f t="shared" si="3"/>
        <v>-</v>
      </c>
      <c r="K38" s="24" t="str">
        <f t="shared" si="4"/>
        <v>-</v>
      </c>
      <c r="L38" s="26" t="str">
        <f t="shared" si="5"/>
        <v>-</v>
      </c>
      <c r="N38" s="22">
        <f t="shared" si="23"/>
        <v>9</v>
      </c>
      <c r="O38" s="23" t="str">
        <f t="shared" si="25"/>
        <v>-</v>
      </c>
      <c r="P38" s="25" t="str">
        <f t="shared" si="26"/>
        <v>-</v>
      </c>
      <c r="Q38" s="43" t="str">
        <f t="shared" si="27"/>
        <v>-</v>
      </c>
      <c r="R38" s="23" t="str">
        <f t="shared" si="28"/>
        <v>-</v>
      </c>
      <c r="S38" s="24" t="str">
        <f t="shared" si="29"/>
        <v>-</v>
      </c>
      <c r="T38" s="24" t="str">
        <f t="shared" si="10"/>
        <v>-</v>
      </c>
      <c r="U38" s="26" t="str">
        <f t="shared" si="30"/>
        <v>-</v>
      </c>
      <c r="W38" s="22">
        <f t="shared" si="24"/>
        <v>9</v>
      </c>
      <c r="X38" s="23" t="str">
        <f t="shared" si="31"/>
        <v>-</v>
      </c>
      <c r="Y38" s="23" t="str">
        <f t="shared" si="32"/>
        <v>-</v>
      </c>
      <c r="Z38" s="24" t="str">
        <f t="shared" si="33"/>
        <v>-</v>
      </c>
      <c r="AA38" s="24" t="str">
        <f t="shared" si="14"/>
        <v>-</v>
      </c>
      <c r="AB38" s="26" t="str">
        <f t="shared" si="34"/>
        <v>-</v>
      </c>
    </row>
    <row r="39" spans="5:28">
      <c r="E39" s="36">
        <f t="shared" si="22"/>
        <v>9.25</v>
      </c>
      <c r="F39" s="23" t="str">
        <f t="shared" si="0"/>
        <v>-</v>
      </c>
      <c r="G39" s="25" t="str">
        <f t="shared" si="1"/>
        <v>-</v>
      </c>
      <c r="H39" s="37" t="str">
        <f t="shared" si="2"/>
        <v>-</v>
      </c>
      <c r="I39" s="23" t="str">
        <f t="shared" si="17"/>
        <v>-</v>
      </c>
      <c r="J39" s="24" t="str">
        <f t="shared" si="3"/>
        <v>-</v>
      </c>
      <c r="K39" s="24" t="str">
        <f t="shared" si="4"/>
        <v>-</v>
      </c>
      <c r="L39" s="26" t="str">
        <f t="shared" si="5"/>
        <v>-</v>
      </c>
      <c r="N39" s="22">
        <f t="shared" si="23"/>
        <v>9.25</v>
      </c>
      <c r="O39" s="23" t="str">
        <f t="shared" si="25"/>
        <v>-</v>
      </c>
      <c r="P39" s="25" t="str">
        <f t="shared" si="26"/>
        <v>-</v>
      </c>
      <c r="Q39" s="43" t="str">
        <f t="shared" si="27"/>
        <v>-</v>
      </c>
      <c r="R39" s="23" t="str">
        <f t="shared" si="28"/>
        <v>-</v>
      </c>
      <c r="S39" s="24" t="str">
        <f t="shared" si="29"/>
        <v>-</v>
      </c>
      <c r="T39" s="24" t="str">
        <f t="shared" si="10"/>
        <v>-</v>
      </c>
      <c r="U39" s="26" t="str">
        <f t="shared" si="30"/>
        <v>-</v>
      </c>
      <c r="W39" s="22">
        <f t="shared" si="24"/>
        <v>9.25</v>
      </c>
      <c r="X39" s="23" t="str">
        <f t="shared" si="31"/>
        <v>-</v>
      </c>
      <c r="Y39" s="23" t="str">
        <f t="shared" si="32"/>
        <v>-</v>
      </c>
      <c r="Z39" s="24" t="str">
        <f t="shared" si="33"/>
        <v>-</v>
      </c>
      <c r="AA39" s="24" t="str">
        <f t="shared" si="14"/>
        <v>-</v>
      </c>
      <c r="AB39" s="26" t="str">
        <f t="shared" si="34"/>
        <v>-</v>
      </c>
    </row>
    <row r="40" spans="5:28">
      <c r="E40" s="36">
        <f t="shared" si="22"/>
        <v>9.5</v>
      </c>
      <c r="F40" s="23" t="str">
        <f t="shared" si="0"/>
        <v>-</v>
      </c>
      <c r="G40" s="25" t="str">
        <f t="shared" si="1"/>
        <v>-</v>
      </c>
      <c r="H40" s="37" t="str">
        <f t="shared" si="2"/>
        <v>-</v>
      </c>
      <c r="I40" s="23" t="str">
        <f t="shared" si="17"/>
        <v>-</v>
      </c>
      <c r="J40" s="24" t="str">
        <f t="shared" si="3"/>
        <v>-</v>
      </c>
      <c r="K40" s="24" t="str">
        <f t="shared" si="4"/>
        <v>-</v>
      </c>
      <c r="L40" s="26" t="str">
        <f t="shared" si="5"/>
        <v>-</v>
      </c>
      <c r="N40" s="22">
        <f t="shared" si="23"/>
        <v>9.5</v>
      </c>
      <c r="O40" s="23" t="str">
        <f t="shared" si="25"/>
        <v>-</v>
      </c>
      <c r="P40" s="25" t="str">
        <f t="shared" si="26"/>
        <v>-</v>
      </c>
      <c r="Q40" s="43" t="str">
        <f t="shared" si="27"/>
        <v>-</v>
      </c>
      <c r="R40" s="23" t="str">
        <f t="shared" si="28"/>
        <v>-</v>
      </c>
      <c r="S40" s="24" t="str">
        <f t="shared" si="29"/>
        <v>-</v>
      </c>
      <c r="T40" s="24" t="str">
        <f t="shared" si="10"/>
        <v>-</v>
      </c>
      <c r="U40" s="26" t="str">
        <f t="shared" si="30"/>
        <v>-</v>
      </c>
      <c r="W40" s="22">
        <f t="shared" si="24"/>
        <v>9.5</v>
      </c>
      <c r="X40" s="23" t="str">
        <f t="shared" si="31"/>
        <v>-</v>
      </c>
      <c r="Y40" s="23" t="str">
        <f t="shared" si="32"/>
        <v>-</v>
      </c>
      <c r="Z40" s="24" t="str">
        <f t="shared" si="33"/>
        <v>-</v>
      </c>
      <c r="AA40" s="24" t="str">
        <f t="shared" si="14"/>
        <v>-</v>
      </c>
      <c r="AB40" s="26" t="str">
        <f t="shared" si="34"/>
        <v>-</v>
      </c>
    </row>
    <row r="41" spans="5:28">
      <c r="E41" s="36">
        <f t="shared" si="22"/>
        <v>9.75</v>
      </c>
      <c r="F41" s="23" t="str">
        <f t="shared" si="0"/>
        <v>-</v>
      </c>
      <c r="G41" s="25" t="str">
        <f t="shared" si="1"/>
        <v>-</v>
      </c>
      <c r="H41" s="37" t="str">
        <f t="shared" si="2"/>
        <v>-</v>
      </c>
      <c r="I41" s="23" t="str">
        <f t="shared" si="17"/>
        <v>-</v>
      </c>
      <c r="J41" s="24" t="str">
        <f t="shared" si="3"/>
        <v>-</v>
      </c>
      <c r="K41" s="24" t="str">
        <f t="shared" si="4"/>
        <v>-</v>
      </c>
      <c r="L41" s="26" t="str">
        <f t="shared" si="5"/>
        <v>-</v>
      </c>
      <c r="N41" s="22">
        <f t="shared" si="23"/>
        <v>9.75</v>
      </c>
      <c r="O41" s="23" t="str">
        <f t="shared" si="25"/>
        <v>-</v>
      </c>
      <c r="P41" s="25" t="str">
        <f t="shared" si="26"/>
        <v>-</v>
      </c>
      <c r="Q41" s="43" t="str">
        <f t="shared" si="27"/>
        <v>-</v>
      </c>
      <c r="R41" s="23" t="str">
        <f t="shared" si="28"/>
        <v>-</v>
      </c>
      <c r="S41" s="24" t="str">
        <f t="shared" si="29"/>
        <v>-</v>
      </c>
      <c r="T41" s="24" t="str">
        <f t="shared" si="10"/>
        <v>-</v>
      </c>
      <c r="U41" s="26" t="str">
        <f t="shared" si="30"/>
        <v>-</v>
      </c>
      <c r="W41" s="22">
        <f t="shared" si="24"/>
        <v>9.75</v>
      </c>
      <c r="X41" s="23" t="str">
        <f t="shared" si="31"/>
        <v>-</v>
      </c>
      <c r="Y41" s="23" t="str">
        <f t="shared" si="32"/>
        <v>-</v>
      </c>
      <c r="Z41" s="24" t="str">
        <f t="shared" si="33"/>
        <v>-</v>
      </c>
      <c r="AA41" s="24" t="str">
        <f t="shared" si="14"/>
        <v>-</v>
      </c>
      <c r="AB41" s="26" t="str">
        <f t="shared" si="34"/>
        <v>-</v>
      </c>
    </row>
    <row r="42" spans="5:28">
      <c r="E42" s="36">
        <f t="shared" si="22"/>
        <v>10</v>
      </c>
      <c r="F42" s="23" t="str">
        <f t="shared" si="0"/>
        <v>-</v>
      </c>
      <c r="G42" s="25" t="str">
        <f t="shared" si="1"/>
        <v>-</v>
      </c>
      <c r="H42" s="37" t="str">
        <f t="shared" si="2"/>
        <v>-</v>
      </c>
      <c r="I42" s="23" t="str">
        <f t="shared" si="17"/>
        <v>-</v>
      </c>
      <c r="J42" s="24" t="str">
        <f t="shared" si="3"/>
        <v>-</v>
      </c>
      <c r="K42" s="24" t="str">
        <f t="shared" si="4"/>
        <v>-</v>
      </c>
      <c r="L42" s="26" t="str">
        <f t="shared" si="5"/>
        <v>-</v>
      </c>
      <c r="N42" s="22">
        <f t="shared" si="23"/>
        <v>10</v>
      </c>
      <c r="O42" s="23" t="str">
        <f t="shared" si="25"/>
        <v>-</v>
      </c>
      <c r="P42" s="25" t="str">
        <f t="shared" si="26"/>
        <v>-</v>
      </c>
      <c r="Q42" s="43" t="str">
        <f t="shared" si="27"/>
        <v>-</v>
      </c>
      <c r="R42" s="23" t="str">
        <f t="shared" si="28"/>
        <v>-</v>
      </c>
      <c r="S42" s="24" t="str">
        <f t="shared" si="29"/>
        <v>-</v>
      </c>
      <c r="T42" s="24" t="str">
        <f t="shared" si="10"/>
        <v>-</v>
      </c>
      <c r="U42" s="26" t="str">
        <f t="shared" si="30"/>
        <v>-</v>
      </c>
      <c r="W42" s="22">
        <f t="shared" si="24"/>
        <v>10</v>
      </c>
      <c r="X42" s="23" t="str">
        <f t="shared" si="31"/>
        <v>-</v>
      </c>
      <c r="Y42" s="23" t="str">
        <f t="shared" si="32"/>
        <v>-</v>
      </c>
      <c r="Z42" s="24" t="str">
        <f t="shared" si="33"/>
        <v>-</v>
      </c>
      <c r="AA42" s="24" t="str">
        <f t="shared" si="14"/>
        <v>-</v>
      </c>
      <c r="AB42" s="26" t="str">
        <f t="shared" si="34"/>
        <v>-</v>
      </c>
    </row>
    <row r="43" spans="5:28">
      <c r="E43" s="36">
        <f t="shared" si="22"/>
        <v>10.25</v>
      </c>
      <c r="F43" s="23" t="str">
        <f t="shared" si="0"/>
        <v>-</v>
      </c>
      <c r="G43" s="25" t="str">
        <f t="shared" si="1"/>
        <v>-</v>
      </c>
      <c r="H43" s="37" t="str">
        <f t="shared" si="2"/>
        <v>-</v>
      </c>
      <c r="I43" s="23" t="str">
        <f t="shared" si="17"/>
        <v>-</v>
      </c>
      <c r="J43" s="24" t="str">
        <f t="shared" si="3"/>
        <v>-</v>
      </c>
      <c r="K43" s="24" t="str">
        <f t="shared" si="4"/>
        <v>-</v>
      </c>
      <c r="L43" s="26" t="str">
        <f t="shared" si="5"/>
        <v>-</v>
      </c>
      <c r="N43" s="22">
        <f t="shared" si="23"/>
        <v>10.25</v>
      </c>
      <c r="O43" s="23" t="str">
        <f t="shared" si="25"/>
        <v>-</v>
      </c>
      <c r="P43" s="25" t="str">
        <f t="shared" si="26"/>
        <v>-</v>
      </c>
      <c r="Q43" s="43" t="str">
        <f t="shared" si="27"/>
        <v>-</v>
      </c>
      <c r="R43" s="23" t="str">
        <f t="shared" si="28"/>
        <v>-</v>
      </c>
      <c r="S43" s="24" t="str">
        <f t="shared" si="29"/>
        <v>-</v>
      </c>
      <c r="T43" s="24" t="str">
        <f t="shared" si="10"/>
        <v>-</v>
      </c>
      <c r="U43" s="26" t="str">
        <f t="shared" si="30"/>
        <v>-</v>
      </c>
      <c r="W43" s="22">
        <f t="shared" si="24"/>
        <v>10.25</v>
      </c>
      <c r="X43" s="23" t="str">
        <f t="shared" si="31"/>
        <v>-</v>
      </c>
      <c r="Y43" s="23" t="str">
        <f t="shared" si="32"/>
        <v>-</v>
      </c>
      <c r="Z43" s="24" t="str">
        <f t="shared" si="33"/>
        <v>-</v>
      </c>
      <c r="AA43" s="24" t="str">
        <f t="shared" si="14"/>
        <v>-</v>
      </c>
      <c r="AB43" s="26" t="str">
        <f t="shared" si="34"/>
        <v>-</v>
      </c>
    </row>
    <row r="44" spans="5:28">
      <c r="E44" s="38">
        <f t="shared" si="22"/>
        <v>10.5</v>
      </c>
      <c r="F44" s="28" t="str">
        <f t="shared" si="0"/>
        <v>-</v>
      </c>
      <c r="G44" s="30" t="str">
        <f t="shared" si="1"/>
        <v>-</v>
      </c>
      <c r="H44" s="39" t="str">
        <f t="shared" si="2"/>
        <v>-</v>
      </c>
      <c r="I44" s="28" t="str">
        <f t="shared" si="17"/>
        <v>-</v>
      </c>
      <c r="J44" s="29" t="str">
        <f t="shared" si="3"/>
        <v>-</v>
      </c>
      <c r="K44" s="29" t="str">
        <f t="shared" si="4"/>
        <v>-</v>
      </c>
      <c r="L44" s="31" t="str">
        <f t="shared" si="5"/>
        <v>-</v>
      </c>
      <c r="N44" s="27">
        <f t="shared" si="23"/>
        <v>10.5</v>
      </c>
      <c r="O44" s="28" t="str">
        <f t="shared" si="25"/>
        <v>-</v>
      </c>
      <c r="P44" s="30" t="str">
        <f t="shared" si="26"/>
        <v>-</v>
      </c>
      <c r="Q44" s="44" t="str">
        <f t="shared" si="27"/>
        <v>-</v>
      </c>
      <c r="R44" s="28" t="str">
        <f t="shared" si="28"/>
        <v>-</v>
      </c>
      <c r="S44" s="29" t="str">
        <f t="shared" si="29"/>
        <v>-</v>
      </c>
      <c r="T44" s="29" t="str">
        <f t="shared" si="10"/>
        <v>-</v>
      </c>
      <c r="U44" s="31" t="str">
        <f t="shared" si="30"/>
        <v>-</v>
      </c>
      <c r="W44" s="27">
        <f t="shared" si="24"/>
        <v>10.5</v>
      </c>
      <c r="X44" s="28" t="str">
        <f t="shared" si="31"/>
        <v>-</v>
      </c>
      <c r="Y44" s="28" t="str">
        <f t="shared" si="32"/>
        <v>-</v>
      </c>
      <c r="Z44" s="29" t="str">
        <f t="shared" si="33"/>
        <v>-</v>
      </c>
      <c r="AA44" s="29" t="str">
        <f t="shared" si="14"/>
        <v>-</v>
      </c>
      <c r="AB44" s="31" t="str">
        <f t="shared" si="34"/>
        <v>-</v>
      </c>
    </row>
    <row r="46" spans="5:28">
      <c r="L46" s="3" t="s">
        <v>22</v>
      </c>
      <c r="U46" s="3" t="s">
        <v>20</v>
      </c>
      <c r="AB46" s="3" t="s">
        <v>21</v>
      </c>
    </row>
    <row r="47" spans="5:28">
      <c r="L47" s="45">
        <f>SUM(L3:L44)</f>
        <v>-27853.876480228279</v>
      </c>
      <c r="U47" s="45">
        <f>SUM(U3:U44)</f>
        <v>-34.860903573032921</v>
      </c>
      <c r="AB47" s="45">
        <f>SUM(AB3:AB44)</f>
        <v>27888.722858426339</v>
      </c>
    </row>
  </sheetData>
  <dataValidations count="2">
    <dataValidation type="list" allowBlank="1" showInputMessage="1" showErrorMessage="1" sqref="C3" xr:uid="{00000000-0002-0000-0500-000000000000}">
      <formula1>"BUY,SELL"</formula1>
    </dataValidation>
    <dataValidation type="list" allowBlank="1" showInputMessage="1" showErrorMessage="1" sqref="C9" xr:uid="{00000000-0002-0000-0500-000001000000}">
      <formula1>"ANNUAL,SEMI-ANNUAL,QUARTERLY"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B03E-E721-4761-B715-DBC53F82C9E7}">
  <sheetPr codeName="Sheet1"/>
  <dimension ref="B1:AU5011"/>
  <sheetViews>
    <sheetView showGridLines="0" tabSelected="1" zoomScaleNormal="100" workbookViewId="0"/>
  </sheetViews>
  <sheetFormatPr defaultRowHeight="15" outlineLevelCol="1"/>
  <cols>
    <col min="1" max="1" width="4.7109375" customWidth="1"/>
    <col min="2" max="2" width="28.28515625" customWidth="1"/>
    <col min="3" max="3" width="12.7109375" customWidth="1"/>
    <col min="4" max="4" width="6.7109375" customWidth="1"/>
    <col min="5" max="5" width="9.140625" customWidth="1"/>
    <col min="6" max="6" width="9.140625" style="90" customWidth="1"/>
    <col min="7" max="7" width="9.140625" style="91" customWidth="1"/>
    <col min="8" max="8" width="12.7109375" style="23" customWidth="1"/>
    <col min="9" max="10" width="14.140625" style="23" customWidth="1"/>
    <col min="11" max="11" width="15.28515625" style="23" customWidth="1"/>
    <col min="12" max="12" width="9.140625" customWidth="1"/>
    <col min="13" max="13" width="29" bestFit="1" customWidth="1"/>
    <col min="14" max="14" width="12.7109375" customWidth="1"/>
    <col min="15" max="15" width="4.7109375" customWidth="1"/>
    <col min="16" max="16" width="14.85546875" hidden="1" customWidth="1" outlineLevel="1"/>
    <col min="17" max="17" width="14.5703125" hidden="1" customWidth="1" outlineLevel="1"/>
    <col min="18" max="18" width="21.5703125" hidden="1" customWidth="1" outlineLevel="1"/>
    <col min="19" max="20" width="18.7109375" hidden="1" customWidth="1" outlineLevel="1"/>
    <col min="21" max="21" width="22.7109375" hidden="1" customWidth="1" outlineLevel="1"/>
    <col min="22" max="22" width="14.140625" hidden="1" customWidth="1" outlineLevel="1"/>
    <col min="23" max="23" width="12.7109375" hidden="1" customWidth="1" outlineLevel="1"/>
    <col min="24" max="24" width="2.7109375" hidden="1" customWidth="1" outlineLevel="1"/>
    <col min="25" max="26" width="15.7109375" hidden="1" customWidth="1" outlineLevel="1"/>
    <col min="27" max="27" width="18.7109375" customWidth="1" collapsed="1"/>
    <col min="28" max="28" width="13.42578125" hidden="1" customWidth="1" outlineLevel="1"/>
    <col min="29" max="29" width="11.140625" hidden="1" customWidth="1" outlineLevel="1"/>
    <col min="30" max="32" width="21.5703125" hidden="1" customWidth="1" outlineLevel="1"/>
    <col min="33" max="33" width="21.85546875" hidden="1" customWidth="1" outlineLevel="1"/>
    <col min="34" max="34" width="14.140625" hidden="1" customWidth="1" outlineLevel="1"/>
    <col min="35" max="35" width="12.7109375" hidden="1" customWidth="1" outlineLevel="1"/>
    <col min="36" max="36" width="18.7109375" customWidth="1" collapsed="1"/>
    <col min="37" max="37" width="12.7109375" hidden="1" customWidth="1" outlineLevel="1"/>
    <col min="38" max="38" width="11.85546875" hidden="1" customWidth="1" outlineLevel="1"/>
    <col min="39" max="39" width="21.5703125" hidden="1" customWidth="1" outlineLevel="1"/>
    <col min="40" max="40" width="21.85546875" hidden="1" customWidth="1" outlineLevel="1"/>
    <col min="41" max="41" width="14.140625" hidden="1" customWidth="1" outlineLevel="1"/>
    <col min="42" max="42" width="12.7109375" hidden="1" customWidth="1" outlineLevel="1"/>
    <col min="43" max="43" width="18.7109375" customWidth="1" collapsed="1"/>
  </cols>
  <sheetData>
    <row r="1" spans="2:47" s="1" customFormat="1">
      <c r="F1" s="50"/>
      <c r="G1" s="50"/>
      <c r="P1" s="2"/>
      <c r="Y1" s="80" t="s">
        <v>51</v>
      </c>
      <c r="Z1" s="51"/>
      <c r="AA1" s="3" t="s">
        <v>14</v>
      </c>
      <c r="AG1" s="80" t="s">
        <v>51</v>
      </c>
      <c r="AJ1" s="3" t="s">
        <v>13</v>
      </c>
      <c r="AN1" s="80" t="s">
        <v>52</v>
      </c>
      <c r="AQ1" s="3" t="s">
        <v>15</v>
      </c>
    </row>
    <row r="2" spans="2:47">
      <c r="B2" s="2"/>
      <c r="F2" s="50"/>
      <c r="G2" s="50"/>
      <c r="H2" s="77" t="s">
        <v>57</v>
      </c>
      <c r="I2" s="1"/>
      <c r="J2" s="1"/>
      <c r="K2" s="1"/>
      <c r="M2" s="2" t="s">
        <v>24</v>
      </c>
      <c r="P2" s="32" t="s">
        <v>11</v>
      </c>
      <c r="Q2" s="33" t="s">
        <v>0</v>
      </c>
      <c r="R2" s="32" t="s">
        <v>35</v>
      </c>
      <c r="S2" s="32" t="s">
        <v>34</v>
      </c>
      <c r="T2" s="32" t="s">
        <v>16</v>
      </c>
      <c r="U2" s="32" t="s">
        <v>12</v>
      </c>
      <c r="V2" s="32" t="s">
        <v>10</v>
      </c>
      <c r="W2" s="32" t="s">
        <v>1</v>
      </c>
      <c r="X2" s="1"/>
      <c r="Y2" s="32" t="s">
        <v>12</v>
      </c>
      <c r="Z2" s="32" t="s">
        <v>1</v>
      </c>
      <c r="AB2" s="32" t="s">
        <v>11</v>
      </c>
      <c r="AC2" s="33" t="s">
        <v>0</v>
      </c>
      <c r="AD2" s="32" t="s">
        <v>35</v>
      </c>
      <c r="AE2" s="32" t="s">
        <v>34</v>
      </c>
      <c r="AF2" s="32" t="s">
        <v>17</v>
      </c>
      <c r="AG2" s="32" t="s">
        <v>27</v>
      </c>
      <c r="AH2" s="32" t="s">
        <v>10</v>
      </c>
      <c r="AI2" s="32" t="s">
        <v>1</v>
      </c>
      <c r="AJ2" s="46"/>
      <c r="AK2" s="32" t="s">
        <v>11</v>
      </c>
      <c r="AL2" s="33" t="s">
        <v>0</v>
      </c>
      <c r="AM2" s="32" t="s">
        <v>5</v>
      </c>
      <c r="AN2" s="32" t="s">
        <v>27</v>
      </c>
      <c r="AO2" s="32" t="s">
        <v>10</v>
      </c>
      <c r="AP2" s="32" t="s">
        <v>1</v>
      </c>
    </row>
    <row r="3" spans="2:47">
      <c r="F3" s="50"/>
      <c r="G3" s="89" t="s">
        <v>49</v>
      </c>
      <c r="H3" s="84">
        <f>'CDS-Analytical'!C15</f>
        <v>-1.4525374972436111E-2</v>
      </c>
      <c r="I3" s="84">
        <f>'CDS-Analytical'!C16</f>
        <v>-27853.876480228279</v>
      </c>
      <c r="J3" s="84">
        <f>'CDS-Analytical'!C17</f>
        <v>-34.860903573032921</v>
      </c>
      <c r="K3" s="85">
        <f>'CDS-Analytical'!C18</f>
        <v>27888.722858426339</v>
      </c>
      <c r="M3" s="11" t="s">
        <v>28</v>
      </c>
      <c r="N3" s="4" t="s">
        <v>30</v>
      </c>
      <c r="P3" s="34">
        <f>YearFraction</f>
        <v>0.25</v>
      </c>
      <c r="Q3" s="18">
        <f t="shared" ref="Q3:Q44" si="0">IF(P3&gt;Maturity,"-",-Phi*Notional)</f>
        <v>-1000000</v>
      </c>
      <c r="R3" s="20">
        <f t="shared" ref="R3:R44" si="1">IF(P3&gt;Maturity,"-",Premium)</f>
        <v>6.0000000000000001E-3</v>
      </c>
      <c r="S3" s="35">
        <f t="shared" ref="S3:S44" si="2">IF(P3&gt;Maturity,"-",YearFraction)</f>
        <v>0.25</v>
      </c>
      <c r="T3" s="18">
        <f>IF(P3&gt;Maturity,"-",Q3*R3*S3)</f>
        <v>-1500</v>
      </c>
      <c r="U3" s="78">
        <f t="shared" ref="U3:U44" ca="1" si="3">IF(P3&gt;Maturity,"-",IF(DefaultTime&gt;P3,1,0))</f>
        <v>1</v>
      </c>
      <c r="V3" s="19">
        <f t="shared" ref="V3:V44" si="4">IF(P3&gt;Maturity,"-",EXP(-ZeroRate*P3))</f>
        <v>0.99536079451202497</v>
      </c>
      <c r="W3" s="21">
        <f t="shared" ref="W3:W44" ca="1" si="5">IF(P3&gt;Maturity,"-",T3*U3*V3)</f>
        <v>-1493.0411917680374</v>
      </c>
      <c r="X3" s="1"/>
      <c r="Y3" s="34">
        <f t="shared" ref="Y3:Y44" ca="1" si="6">IF(P3&gt;Maturity,"-",IF(DefaultTime2&gt;P3,1,0))</f>
        <v>1</v>
      </c>
      <c r="Z3" s="21">
        <f t="shared" ref="Z3:Z44" ca="1" si="7">IF(P3&gt;Maturity,"-",T3*Y3*V3)</f>
        <v>-1493.0411917680374</v>
      </c>
      <c r="AA3" s="70"/>
      <c r="AB3" s="17">
        <f ca="1">(DefaultTime+YearFraction)-MOD(DefaultTime+YearFraction,YearFraction)</f>
        <v>19.5</v>
      </c>
      <c r="AC3" s="18">
        <f>-Phi*Notional</f>
        <v>-1000000</v>
      </c>
      <c r="AD3" s="20">
        <f>Premium</f>
        <v>6.0000000000000001E-3</v>
      </c>
      <c r="AE3" s="42">
        <f>YearFraction/2</f>
        <v>0.125</v>
      </c>
      <c r="AF3" s="78">
        <f>AC3*AD3*AE3</f>
        <v>-750</v>
      </c>
      <c r="AG3" s="78">
        <f ca="1">IF(DefaultTime&lt;=Maturity,1,0)</f>
        <v>0</v>
      </c>
      <c r="AH3" s="19">
        <f ca="1">EXP(-ZeroRate*AB3)</f>
        <v>0.69579514073366466</v>
      </c>
      <c r="AI3" s="93">
        <f ca="1">AF3*AG3*AH3</f>
        <v>0</v>
      </c>
      <c r="AK3" s="34">
        <f ca="1">AB3</f>
        <v>19.5</v>
      </c>
      <c r="AL3" s="18">
        <f>Phi*Notional</f>
        <v>1000000</v>
      </c>
      <c r="AM3" s="18">
        <f>Phi*Notional*(1-RecoveryRate)</f>
        <v>600000</v>
      </c>
      <c r="AN3" s="78">
        <f ca="1">IF(DefaultTime&lt;=Maturity,1,0)</f>
        <v>0</v>
      </c>
      <c r="AO3" s="19">
        <f ca="1">EXP(-ZeroRate*AK3)</f>
        <v>0.69579514073366466</v>
      </c>
      <c r="AP3" s="21">
        <f ca="1">AM3*AN3*AO3</f>
        <v>0</v>
      </c>
    </row>
    <row r="4" spans="2:47">
      <c r="B4" s="53" t="s">
        <v>32</v>
      </c>
      <c r="C4" s="65">
        <f>'CDS-MC'!HazardRate</f>
        <v>0.01</v>
      </c>
      <c r="D4" s="74" t="s">
        <v>59</v>
      </c>
      <c r="F4" s="70"/>
      <c r="G4" s="87" t="s">
        <v>56</v>
      </c>
      <c r="H4" s="88">
        <f ca="1">H8-H3</f>
        <v>763.12625408021654</v>
      </c>
      <c r="I4" s="88">
        <f ca="1">I8-I3</f>
        <v>33.271128934804437</v>
      </c>
      <c r="J4" s="88">
        <f ca="1">J8-J3</f>
        <v>-0.91346073234723946</v>
      </c>
      <c r="K4" s="88">
        <f ca="1">K8-K3</f>
        <v>730.76858587777315</v>
      </c>
      <c r="M4" s="12" t="s">
        <v>29</v>
      </c>
      <c r="N4" s="9">
        <f>IF(UPPER(N3)="BUY",1,-1)</f>
        <v>1</v>
      </c>
      <c r="P4" s="36">
        <f t="shared" ref="P4:P10" si="8">P3+YearFraction</f>
        <v>0.5</v>
      </c>
      <c r="Q4" s="23">
        <f t="shared" si="0"/>
        <v>-1000000</v>
      </c>
      <c r="R4" s="25">
        <f t="shared" si="1"/>
        <v>6.0000000000000001E-3</v>
      </c>
      <c r="S4" s="37">
        <f t="shared" si="2"/>
        <v>0.25</v>
      </c>
      <c r="T4" s="23">
        <f t="shared" ref="T4:T44" si="9">IF(P4&gt;Maturity,"-",Q4*R4*S4)</f>
        <v>-1500</v>
      </c>
      <c r="U4" s="61">
        <f t="shared" ca="1" si="3"/>
        <v>1</v>
      </c>
      <c r="V4" s="24">
        <f t="shared" si="4"/>
        <v>0.99074311125160952</v>
      </c>
      <c r="W4" s="26">
        <f t="shared" ca="1" si="5"/>
        <v>-1486.1146668774143</v>
      </c>
      <c r="X4" s="1"/>
      <c r="Y4" s="36">
        <f t="shared" ca="1" si="6"/>
        <v>1</v>
      </c>
      <c r="Z4" s="26">
        <f t="shared" ca="1" si="7"/>
        <v>-1486.1146668774143</v>
      </c>
      <c r="AB4" s="27">
        <f ca="1">(DefaultTime2+YearFraction)-MOD(DefaultTime2+YearFraction,YearFraction)</f>
        <v>114.5</v>
      </c>
      <c r="AC4" s="28">
        <f>-Phi*Notional</f>
        <v>-1000000</v>
      </c>
      <c r="AD4" s="30">
        <f>Premium</f>
        <v>6.0000000000000001E-3</v>
      </c>
      <c r="AE4" s="44">
        <f>YearFraction/2</f>
        <v>0.125</v>
      </c>
      <c r="AF4" s="79">
        <f>AC4*AD4*AE4</f>
        <v>-750</v>
      </c>
      <c r="AG4" s="79">
        <f ca="1">IF(DefaultTime2&lt;=Maturity,1,0)</f>
        <v>0</v>
      </c>
      <c r="AH4" s="29">
        <f ca="1">EXP(-ZeroRate*AB4)</f>
        <v>0.11887295038877843</v>
      </c>
      <c r="AI4" s="94">
        <f ca="1">AF4*AG4*AH4</f>
        <v>0</v>
      </c>
      <c r="AK4" s="38">
        <f ca="1">AB4</f>
        <v>114.5</v>
      </c>
      <c r="AL4" s="28">
        <f>Phi*Notional</f>
        <v>1000000</v>
      </c>
      <c r="AM4" s="28">
        <f>Phi*Notional*(1-RecoveryRate)</f>
        <v>600000</v>
      </c>
      <c r="AN4" s="79">
        <f ca="1">IF(DefaultTime2&lt;=Maturity,1,0)</f>
        <v>0</v>
      </c>
      <c r="AO4" s="29">
        <f ca="1">EXP(-ZeroRate*AK4)</f>
        <v>0.11887295038877843</v>
      </c>
      <c r="AP4" s="31">
        <f ca="1">AM4*AN4*AO4</f>
        <v>0</v>
      </c>
    </row>
    <row r="5" spans="2:47">
      <c r="B5" s="54" t="s">
        <v>39</v>
      </c>
      <c r="C5" s="66">
        <f ca="1">RAND()</f>
        <v>0.82483607880345799</v>
      </c>
      <c r="D5" s="75">
        <f ca="1">F14</f>
        <v>0.31896073367508171</v>
      </c>
      <c r="F5" s="70"/>
      <c r="G5" s="70"/>
      <c r="H5" s="70"/>
      <c r="I5" s="70"/>
      <c r="J5" s="70"/>
      <c r="K5" s="70"/>
      <c r="M5" s="12" t="s">
        <v>0</v>
      </c>
      <c r="N5" s="6">
        <v>1000000</v>
      </c>
      <c r="P5" s="36">
        <f t="shared" si="8"/>
        <v>0.75</v>
      </c>
      <c r="Q5" s="23">
        <f t="shared" si="0"/>
        <v>-1000000</v>
      </c>
      <c r="R5" s="25">
        <f t="shared" si="1"/>
        <v>6.0000000000000001E-3</v>
      </c>
      <c r="S5" s="37">
        <f t="shared" si="2"/>
        <v>0.25</v>
      </c>
      <c r="T5" s="23">
        <f t="shared" si="9"/>
        <v>-1500</v>
      </c>
      <c r="U5" s="61">
        <f t="shared" ca="1" si="3"/>
        <v>1</v>
      </c>
      <c r="V5" s="24">
        <f t="shared" si="4"/>
        <v>0.98614685037271754</v>
      </c>
      <c r="W5" s="26">
        <f t="shared" ca="1" si="5"/>
        <v>-1479.2202755590763</v>
      </c>
      <c r="X5" s="1"/>
      <c r="Y5" s="36">
        <f t="shared" ca="1" si="6"/>
        <v>1</v>
      </c>
      <c r="Z5" s="26">
        <f t="shared" ca="1" si="7"/>
        <v>-1479.2202755590763</v>
      </c>
    </row>
    <row r="6" spans="2:47">
      <c r="B6" s="54" t="s">
        <v>44</v>
      </c>
      <c r="C6" s="67">
        <f ca="1">-LN(C5)/HazardRate</f>
        <v>19.257060474884284</v>
      </c>
      <c r="D6" s="76">
        <f ca="1">G14</f>
        <v>114.2687275701369</v>
      </c>
      <c r="F6" s="77" t="s">
        <v>61</v>
      </c>
      <c r="G6" s="59"/>
      <c r="H6" s="77" t="s">
        <v>58</v>
      </c>
      <c r="I6"/>
      <c r="J6"/>
      <c r="K6"/>
      <c r="M6" s="12" t="s">
        <v>32</v>
      </c>
      <c r="N6" s="8">
        <v>0.01</v>
      </c>
      <c r="P6" s="36">
        <f t="shared" si="8"/>
        <v>1</v>
      </c>
      <c r="Q6" s="23">
        <f t="shared" si="0"/>
        <v>-1000000</v>
      </c>
      <c r="R6" s="25">
        <f t="shared" si="1"/>
        <v>6.0000000000000001E-3</v>
      </c>
      <c r="S6" s="37">
        <f t="shared" si="2"/>
        <v>0.25</v>
      </c>
      <c r="T6" s="23">
        <f t="shared" si="9"/>
        <v>-1500</v>
      </c>
      <c r="U6" s="61">
        <f t="shared" ca="1" si="3"/>
        <v>1</v>
      </c>
      <c r="V6" s="24">
        <f t="shared" si="4"/>
        <v>0.98157191249251907</v>
      </c>
      <c r="W6" s="26">
        <f t="shared" ca="1" si="5"/>
        <v>-1472.3578687387785</v>
      </c>
      <c r="X6" s="1"/>
      <c r="Y6" s="36">
        <f t="shared" ca="1" si="6"/>
        <v>1</v>
      </c>
      <c r="Z6" s="26">
        <f t="shared" ca="1" si="7"/>
        <v>-1472.3578687387785</v>
      </c>
      <c r="AT6" s="1"/>
      <c r="AU6" s="1"/>
    </row>
    <row r="7" spans="2:47">
      <c r="B7" s="54" t="s">
        <v>43</v>
      </c>
      <c r="C7" s="92">
        <v>1000</v>
      </c>
      <c r="F7" s="50" t="s">
        <v>38</v>
      </c>
      <c r="G7" s="72" t="s">
        <v>33</v>
      </c>
      <c r="H7" s="46" t="s">
        <v>1</v>
      </c>
      <c r="I7" s="46" t="s">
        <v>46</v>
      </c>
      <c r="J7" s="46" t="s">
        <v>47</v>
      </c>
      <c r="K7" s="46" t="s">
        <v>48</v>
      </c>
      <c r="M7" s="12" t="s">
        <v>31</v>
      </c>
      <c r="N7" s="41">
        <v>0.4</v>
      </c>
      <c r="P7" s="36">
        <f t="shared" si="8"/>
        <v>1.25</v>
      </c>
      <c r="Q7" s="23">
        <f t="shared" si="0"/>
        <v>-1000000</v>
      </c>
      <c r="R7" s="25">
        <f t="shared" si="1"/>
        <v>6.0000000000000001E-3</v>
      </c>
      <c r="S7" s="37">
        <f t="shared" si="2"/>
        <v>0.25</v>
      </c>
      <c r="T7" s="23">
        <f t="shared" si="9"/>
        <v>-1500</v>
      </c>
      <c r="U7" s="61">
        <f t="shared" ca="1" si="3"/>
        <v>1</v>
      </c>
      <c r="V7" s="24">
        <f t="shared" si="4"/>
        <v>0.97701819868924156</v>
      </c>
      <c r="W7" s="26">
        <f t="shared" ca="1" si="5"/>
        <v>-1465.5272980338623</v>
      </c>
      <c r="X7" s="1"/>
      <c r="Y7" s="36">
        <f t="shared" ca="1" si="6"/>
        <v>1</v>
      </c>
      <c r="Z7" s="26">
        <f t="shared" ca="1" si="7"/>
        <v>-1465.5272980338623</v>
      </c>
      <c r="AB7" s="3"/>
    </row>
    <row r="8" spans="2:47">
      <c r="B8" s="55" t="s">
        <v>60</v>
      </c>
      <c r="C8" s="68" t="b">
        <v>0</v>
      </c>
      <c r="F8" s="82">
        <f t="shared" ref="F8:K8" ca="1" si="10">AVERAGE(F13:F1048576)</f>
        <v>0.5</v>
      </c>
      <c r="G8" s="83">
        <f t="shared" ca="1" si="10"/>
        <v>102.01933473867248</v>
      </c>
      <c r="H8" s="84">
        <f t="shared" ca="1" si="10"/>
        <v>763.1117287052441</v>
      </c>
      <c r="I8" s="84">
        <f t="shared" ca="1" si="10"/>
        <v>-27820.605351293474</v>
      </c>
      <c r="J8" s="84">
        <f t="shared" ca="1" si="10"/>
        <v>-35.774364305380161</v>
      </c>
      <c r="K8" s="85">
        <f t="shared" ca="1" si="10"/>
        <v>28619.491444304113</v>
      </c>
      <c r="M8" s="12" t="s">
        <v>35</v>
      </c>
      <c r="N8" s="8">
        <v>6.0000000000000001E-3</v>
      </c>
      <c r="P8" s="36">
        <f t="shared" si="8"/>
        <v>1.5</v>
      </c>
      <c r="Q8" s="23">
        <f t="shared" si="0"/>
        <v>-1000000</v>
      </c>
      <c r="R8" s="25">
        <f t="shared" si="1"/>
        <v>6.0000000000000001E-3</v>
      </c>
      <c r="S8" s="37">
        <f t="shared" si="2"/>
        <v>0.25</v>
      </c>
      <c r="T8" s="23">
        <f t="shared" si="9"/>
        <v>-1500</v>
      </c>
      <c r="U8" s="61">
        <f t="shared" ca="1" si="3"/>
        <v>1</v>
      </c>
      <c r="V8" s="24">
        <f t="shared" si="4"/>
        <v>0.97248561050003091</v>
      </c>
      <c r="W8" s="26">
        <f t="shared" ca="1" si="5"/>
        <v>-1458.7284157500465</v>
      </c>
      <c r="X8" s="1"/>
      <c r="Y8" s="36">
        <f t="shared" ca="1" si="6"/>
        <v>1</v>
      </c>
      <c r="Z8" s="26">
        <f t="shared" ca="1" si="7"/>
        <v>-1458.7284157500465</v>
      </c>
      <c r="AB8" s="46"/>
      <c r="AC8" s="52"/>
      <c r="AD8" s="52"/>
    </row>
    <row r="9" spans="2:47">
      <c r="B9" s="73" t="s">
        <v>53</v>
      </c>
      <c r="F9" s="70"/>
      <c r="G9" s="70"/>
      <c r="H9"/>
      <c r="I9"/>
      <c r="J9"/>
      <c r="K9"/>
      <c r="M9" s="12" t="s">
        <v>6</v>
      </c>
      <c r="N9" s="5" t="s">
        <v>23</v>
      </c>
      <c r="P9" s="36">
        <f>P8+YearFraction</f>
        <v>1.75</v>
      </c>
      <c r="Q9" s="23">
        <f t="shared" si="0"/>
        <v>-1000000</v>
      </c>
      <c r="R9" s="25">
        <f t="shared" si="1"/>
        <v>6.0000000000000001E-3</v>
      </c>
      <c r="S9" s="37">
        <f t="shared" si="2"/>
        <v>0.25</v>
      </c>
      <c r="T9" s="23">
        <f t="shared" si="9"/>
        <v>-1500</v>
      </c>
      <c r="U9" s="61">
        <f t="shared" ca="1" si="3"/>
        <v>1</v>
      </c>
      <c r="V9" s="24">
        <f t="shared" si="4"/>
        <v>0.96797404991882241</v>
      </c>
      <c r="W9" s="26">
        <f t="shared" ca="1" si="5"/>
        <v>-1451.9610748782336</v>
      </c>
      <c r="X9" s="1"/>
      <c r="Y9" s="36">
        <f t="shared" ca="1" si="6"/>
        <v>1</v>
      </c>
      <c r="Z9" s="26">
        <f t="shared" ca="1" si="7"/>
        <v>-1451.9610748782336</v>
      </c>
      <c r="AB9" s="46"/>
    </row>
    <row r="10" spans="2:47">
      <c r="F10"/>
      <c r="G10"/>
      <c r="H10"/>
      <c r="I10"/>
      <c r="J10"/>
      <c r="K10"/>
      <c r="M10" s="12" t="s">
        <v>37</v>
      </c>
      <c r="N10" s="10">
        <f>IF(Frequency="ANNUAL",1,IF(Frequency="SEMI-ANNUAL",0.5,0.25))</f>
        <v>0.25</v>
      </c>
      <c r="P10" s="36">
        <f t="shared" si="8"/>
        <v>2</v>
      </c>
      <c r="Q10" s="23">
        <f t="shared" si="0"/>
        <v>-1000000</v>
      </c>
      <c r="R10" s="25">
        <f t="shared" si="1"/>
        <v>6.0000000000000001E-3</v>
      </c>
      <c r="S10" s="37">
        <f t="shared" si="2"/>
        <v>0.25</v>
      </c>
      <c r="T10" s="23">
        <f t="shared" si="9"/>
        <v>-1500</v>
      </c>
      <c r="U10" s="61">
        <f t="shared" ca="1" si="3"/>
        <v>1</v>
      </c>
      <c r="V10" s="24">
        <f t="shared" si="4"/>
        <v>0.96348341939422155</v>
      </c>
      <c r="W10" s="26">
        <f t="shared" ca="1" si="5"/>
        <v>-1445.2251290913323</v>
      </c>
      <c r="X10" s="1"/>
      <c r="Y10" s="36">
        <f t="shared" ca="1" si="6"/>
        <v>1</v>
      </c>
      <c r="Z10" s="26">
        <f t="shared" ca="1" si="7"/>
        <v>-1445.2251290913323</v>
      </c>
      <c r="AB10" s="46"/>
    </row>
    <row r="11" spans="2:47">
      <c r="B11" s="2" t="s">
        <v>40</v>
      </c>
      <c r="F11" s="86" t="s">
        <v>54</v>
      </c>
      <c r="G11" s="71"/>
      <c r="H11" s="58"/>
      <c r="I11" s="46"/>
      <c r="J11" s="63" t="s">
        <v>55</v>
      </c>
      <c r="K11" s="81">
        <f ca="1">COUNTA(K13:K1048576)</f>
        <v>1000</v>
      </c>
      <c r="M11" s="12" t="s">
        <v>36</v>
      </c>
      <c r="N11" s="10">
        <v>5</v>
      </c>
      <c r="P11" s="36">
        <f t="shared" ref="P11:P44" si="11">P10+YearFraction</f>
        <v>2.25</v>
      </c>
      <c r="Q11" s="23">
        <f t="shared" si="0"/>
        <v>-1000000</v>
      </c>
      <c r="R11" s="25">
        <f t="shared" si="1"/>
        <v>6.0000000000000001E-3</v>
      </c>
      <c r="S11" s="37">
        <f t="shared" si="2"/>
        <v>0.25</v>
      </c>
      <c r="T11" s="23">
        <f t="shared" si="9"/>
        <v>-1500</v>
      </c>
      <c r="U11" s="61">
        <f t="shared" ca="1" si="3"/>
        <v>1</v>
      </c>
      <c r="V11" s="24">
        <f t="shared" si="4"/>
        <v>0.9590136218273948</v>
      </c>
      <c r="W11" s="26">
        <f t="shared" ca="1" si="5"/>
        <v>-1438.5204327410922</v>
      </c>
      <c r="X11" s="1"/>
      <c r="Y11" s="36">
        <f t="shared" ca="1" si="6"/>
        <v>1</v>
      </c>
      <c r="Z11" s="26">
        <f t="shared" ca="1" si="7"/>
        <v>-1438.5204327410922</v>
      </c>
      <c r="AB11" s="46"/>
    </row>
    <row r="12" spans="2:47">
      <c r="B12" s="1" t="s">
        <v>41</v>
      </c>
      <c r="C12" s="1" t="s">
        <v>42</v>
      </c>
      <c r="D12" s="1" t="s">
        <v>45</v>
      </c>
      <c r="F12" s="50" t="s">
        <v>38</v>
      </c>
      <c r="G12" s="72" t="s">
        <v>33</v>
      </c>
      <c r="H12" s="46" t="s">
        <v>1</v>
      </c>
      <c r="I12" s="46" t="s">
        <v>46</v>
      </c>
      <c r="J12" s="46" t="s">
        <v>47</v>
      </c>
      <c r="K12" s="46" t="s">
        <v>48</v>
      </c>
      <c r="M12" s="13" t="s">
        <v>7</v>
      </c>
      <c r="N12" s="7">
        <v>1.8599999999999998E-2</v>
      </c>
      <c r="P12" s="36">
        <f t="shared" si="11"/>
        <v>2.5</v>
      </c>
      <c r="Q12" s="23">
        <f t="shared" si="0"/>
        <v>-1000000</v>
      </c>
      <c r="R12" s="25">
        <f t="shared" si="1"/>
        <v>6.0000000000000001E-3</v>
      </c>
      <c r="S12" s="37">
        <f t="shared" si="2"/>
        <v>0.25</v>
      </c>
      <c r="T12" s="23">
        <f t="shared" si="9"/>
        <v>-1500</v>
      </c>
      <c r="U12" s="61">
        <f t="shared" ca="1" si="3"/>
        <v>1</v>
      </c>
      <c r="V12" s="24">
        <f t="shared" si="4"/>
        <v>0.9545645605699703</v>
      </c>
      <c r="W12" s="26">
        <f t="shared" ca="1" si="5"/>
        <v>-1431.8468408549554</v>
      </c>
      <c r="X12" s="1"/>
      <c r="Y12" s="36">
        <f t="shared" ca="1" si="6"/>
        <v>1</v>
      </c>
      <c r="Z12" s="26">
        <f t="shared" ca="1" si="7"/>
        <v>-1431.8468408549554</v>
      </c>
      <c r="AB12" s="46"/>
    </row>
    <row r="13" spans="2:47">
      <c r="B13" s="61">
        <v>0</v>
      </c>
      <c r="C13" s="24">
        <f>EXP(-'CDS-MC'!HazardRate*B13)</f>
        <v>1</v>
      </c>
      <c r="D13" s="56" t="e">
        <f>NA()</f>
        <v>#N/A</v>
      </c>
      <c r="E13" s="62">
        <v>1</v>
      </c>
      <c r="F13" s="69">
        <f ca="1">RAND()</f>
        <v>0.68103926632491829</v>
      </c>
      <c r="G13" s="60">
        <f ca="1">-LN(C5)/HazardRate</f>
        <v>19.257060474884284</v>
      </c>
      <c r="H13" s="64">
        <f ca="1">SUM(I13:K13)</f>
        <v>-28580.704712968371</v>
      </c>
      <c r="I13" s="64">
        <f ca="1">PremiumLegTotalPV</f>
        <v>-28580.704712968371</v>
      </c>
      <c r="J13" s="64">
        <f ca="1">AccruedInterestTotalPV</f>
        <v>0</v>
      </c>
      <c r="K13" s="64">
        <f ca="1">AP3</f>
        <v>0</v>
      </c>
      <c r="P13" s="36">
        <f t="shared" si="11"/>
        <v>2.75</v>
      </c>
      <c r="Q13" s="23">
        <f t="shared" si="0"/>
        <v>-1000000</v>
      </c>
      <c r="R13" s="25">
        <f t="shared" si="1"/>
        <v>6.0000000000000001E-3</v>
      </c>
      <c r="S13" s="37">
        <f t="shared" si="2"/>
        <v>0.25</v>
      </c>
      <c r="T13" s="23">
        <f t="shared" si="9"/>
        <v>-1500</v>
      </c>
      <c r="U13" s="61">
        <f t="shared" ca="1" si="3"/>
        <v>1</v>
      </c>
      <c r="V13" s="24">
        <f t="shared" si="4"/>
        <v>0.95013613942194763</v>
      </c>
      <c r="W13" s="26">
        <f t="shared" ca="1" si="5"/>
        <v>-1425.2042091329215</v>
      </c>
      <c r="X13" s="1"/>
      <c r="Y13" s="36">
        <f t="shared" ca="1" si="6"/>
        <v>1</v>
      </c>
      <c r="Z13" s="26">
        <f t="shared" ca="1" si="7"/>
        <v>-1425.2042091329215</v>
      </c>
      <c r="AB13" s="46"/>
    </row>
    <row r="14" spans="2:47">
      <c r="B14" s="61">
        <f t="shared" ref="B14:B45" si="12">B13+0.25</f>
        <v>0.25</v>
      </c>
      <c r="C14" s="24">
        <f>EXP(-'CDS-MC'!HazardRate*B14)</f>
        <v>0.99750312239746008</v>
      </c>
      <c r="D14" s="57" t="e">
        <f t="shared" ref="D14:D45" ca="1" si="13">IF(AND(DefaultTime&lt;=B14,DefaultTime&gt;B13),C14,NA())</f>
        <v>#N/A</v>
      </c>
      <c r="E14" s="62">
        <v>2</v>
      </c>
      <c r="F14" s="69">
        <f ca="1">1-F13</f>
        <v>0.31896073367508171</v>
      </c>
      <c r="G14" s="60">
        <f ca="1">-LN(F14)/HazardRate</f>
        <v>114.2687275701369</v>
      </c>
      <c r="H14" s="64">
        <f ca="1">SUM(I14:K14)</f>
        <v>-28580.704712968371</v>
      </c>
      <c r="I14" s="64">
        <f ca="1">PremiumLegTotalPV2</f>
        <v>-28580.704712968371</v>
      </c>
      <c r="J14" s="64">
        <f ca="1">AccruedInterestTotalPV2</f>
        <v>0</v>
      </c>
      <c r="K14" s="64">
        <f ca="1">AP4</f>
        <v>0</v>
      </c>
      <c r="M14" s="2" t="s">
        <v>4</v>
      </c>
      <c r="P14" s="36">
        <f t="shared" si="11"/>
        <v>3</v>
      </c>
      <c r="Q14" s="23">
        <f t="shared" si="0"/>
        <v>-1000000</v>
      </c>
      <c r="R14" s="25">
        <f t="shared" si="1"/>
        <v>6.0000000000000001E-3</v>
      </c>
      <c r="S14" s="37">
        <f t="shared" si="2"/>
        <v>0.25</v>
      </c>
      <c r="T14" s="23">
        <f t="shared" si="9"/>
        <v>-1500</v>
      </c>
      <c r="U14" s="61">
        <f t="shared" ca="1" si="3"/>
        <v>1</v>
      </c>
      <c r="V14" s="24">
        <f t="shared" si="4"/>
        <v>0.94572826262961784</v>
      </c>
      <c r="W14" s="26">
        <f t="shared" ca="1" si="5"/>
        <v>-1418.5923939444267</v>
      </c>
      <c r="X14" s="1"/>
      <c r="Y14" s="36">
        <f t="shared" ca="1" si="6"/>
        <v>1</v>
      </c>
      <c r="Z14" s="26">
        <f t="shared" ca="1" si="7"/>
        <v>-1418.5923939444267</v>
      </c>
      <c r="AB14" s="46"/>
    </row>
    <row r="15" spans="2:47">
      <c r="B15" s="61">
        <f t="shared" si="12"/>
        <v>0.5</v>
      </c>
      <c r="C15" s="24">
        <f>EXP(-'CDS-MC'!HazardRate*B15)</f>
        <v>0.99501247919268232</v>
      </c>
      <c r="D15" s="57" t="e">
        <f t="shared" ca="1" si="13"/>
        <v>#N/A</v>
      </c>
      <c r="E15" s="62">
        <v>3</v>
      </c>
      <c r="F15" s="43">
        <v>0.71856382580512534</v>
      </c>
      <c r="G15" s="61">
        <v>117.08901271506689</v>
      </c>
      <c r="H15" s="23">
        <v>-28580.704712968371</v>
      </c>
      <c r="I15" s="23">
        <v>-28580.704712968371</v>
      </c>
      <c r="J15" s="23">
        <v>0</v>
      </c>
      <c r="K15" s="23">
        <v>0</v>
      </c>
      <c r="M15" s="11" t="s">
        <v>8</v>
      </c>
      <c r="N15" s="14">
        <f ca="1">H8</f>
        <v>763.1117287052441</v>
      </c>
      <c r="P15" s="36">
        <f t="shared" si="11"/>
        <v>3.25</v>
      </c>
      <c r="Q15" s="23">
        <f t="shared" si="0"/>
        <v>-1000000</v>
      </c>
      <c r="R15" s="25">
        <f t="shared" si="1"/>
        <v>6.0000000000000001E-3</v>
      </c>
      <c r="S15" s="37">
        <f t="shared" si="2"/>
        <v>0.25</v>
      </c>
      <c r="T15" s="23">
        <f t="shared" si="9"/>
        <v>-1500</v>
      </c>
      <c r="U15" s="61">
        <f t="shared" ca="1" si="3"/>
        <v>1</v>
      </c>
      <c r="V15" s="24">
        <f t="shared" si="4"/>
        <v>0.9413408348834934</v>
      </c>
      <c r="W15" s="26">
        <f t="shared" ca="1" si="5"/>
        <v>-1412.0112523252401</v>
      </c>
      <c r="X15" s="1"/>
      <c r="Y15" s="36">
        <f t="shared" ca="1" si="6"/>
        <v>1</v>
      </c>
      <c r="Z15" s="26">
        <f t="shared" ca="1" si="7"/>
        <v>-1412.0112523252401</v>
      </c>
      <c r="AB15" s="46"/>
    </row>
    <row r="16" spans="2:47">
      <c r="B16" s="61">
        <f t="shared" si="12"/>
        <v>0.75</v>
      </c>
      <c r="C16" s="24">
        <f>EXP(-'CDS-MC'!HazardRate*B16)</f>
        <v>0.99252805481913842</v>
      </c>
      <c r="D16" s="57" t="e">
        <f t="shared" ca="1" si="13"/>
        <v>#N/A</v>
      </c>
      <c r="E16" s="62">
        <v>4</v>
      </c>
      <c r="F16" s="43">
        <v>0.28143617419487466</v>
      </c>
      <c r="G16" s="61">
        <v>126.78495917646661</v>
      </c>
      <c r="H16" s="23">
        <v>-28580.704712968371</v>
      </c>
      <c r="I16" s="23">
        <v>-28580.704712968371</v>
      </c>
      <c r="J16" s="23">
        <v>0</v>
      </c>
      <c r="K16" s="23">
        <v>0</v>
      </c>
      <c r="M16" s="12" t="s">
        <v>2</v>
      </c>
      <c r="N16" s="15">
        <f ca="1">I8</f>
        <v>-27820.605351293474</v>
      </c>
      <c r="P16" s="36">
        <f t="shared" si="11"/>
        <v>3.5</v>
      </c>
      <c r="Q16" s="23">
        <f t="shared" si="0"/>
        <v>-1000000</v>
      </c>
      <c r="R16" s="25">
        <f t="shared" si="1"/>
        <v>6.0000000000000001E-3</v>
      </c>
      <c r="S16" s="37">
        <f t="shared" si="2"/>
        <v>0.25</v>
      </c>
      <c r="T16" s="23">
        <f t="shared" si="9"/>
        <v>-1500</v>
      </c>
      <c r="U16" s="61">
        <f t="shared" ca="1" si="3"/>
        <v>1</v>
      </c>
      <c r="V16" s="24">
        <f t="shared" si="4"/>
        <v>0.93697376131624688</v>
      </c>
      <c r="W16" s="26">
        <f t="shared" ca="1" si="5"/>
        <v>-1405.4606419743702</v>
      </c>
      <c r="X16" s="1"/>
      <c r="Y16" s="36">
        <f t="shared" ca="1" si="6"/>
        <v>1</v>
      </c>
      <c r="Z16" s="26">
        <f t="shared" ca="1" si="7"/>
        <v>-1405.4606419743702</v>
      </c>
      <c r="AB16" s="46"/>
    </row>
    <row r="17" spans="2:28">
      <c r="B17" s="61">
        <f t="shared" si="12"/>
        <v>1</v>
      </c>
      <c r="C17" s="24">
        <f>EXP(-'CDS-MC'!HazardRate*B17)</f>
        <v>0.99004983374916811</v>
      </c>
      <c r="D17" s="57" t="e">
        <f t="shared" ca="1" si="13"/>
        <v>#N/A</v>
      </c>
      <c r="E17" s="62">
        <v>5</v>
      </c>
      <c r="F17" s="43">
        <v>0.74726236333572693</v>
      </c>
      <c r="G17" s="61">
        <v>128.6219896116267</v>
      </c>
      <c r="H17" s="23">
        <v>-28580.704712968371</v>
      </c>
      <c r="I17" s="23">
        <v>-28580.704712968371</v>
      </c>
      <c r="J17" s="23">
        <v>0</v>
      </c>
      <c r="K17" s="23">
        <v>0</v>
      </c>
      <c r="M17" s="12" t="s">
        <v>18</v>
      </c>
      <c r="N17" s="15">
        <f ca="1">J8</f>
        <v>-35.774364305380161</v>
      </c>
      <c r="P17" s="36">
        <f t="shared" si="11"/>
        <v>3.75</v>
      </c>
      <c r="Q17" s="23">
        <f t="shared" si="0"/>
        <v>-1000000</v>
      </c>
      <c r="R17" s="25">
        <f t="shared" si="1"/>
        <v>6.0000000000000001E-3</v>
      </c>
      <c r="S17" s="37">
        <f t="shared" si="2"/>
        <v>0.25</v>
      </c>
      <c r="T17" s="23">
        <f t="shared" si="9"/>
        <v>-1500</v>
      </c>
      <c r="U17" s="61">
        <f t="shared" ca="1" si="3"/>
        <v>1</v>
      </c>
      <c r="V17" s="24">
        <f t="shared" si="4"/>
        <v>0.93262694750065989</v>
      </c>
      <c r="W17" s="26">
        <f t="shared" ca="1" si="5"/>
        <v>-1398.9404212509899</v>
      </c>
      <c r="X17" s="1"/>
      <c r="Y17" s="36">
        <f t="shared" ca="1" si="6"/>
        <v>1</v>
      </c>
      <c r="Z17" s="26">
        <f t="shared" ca="1" si="7"/>
        <v>-1398.9404212509899</v>
      </c>
      <c r="AB17" s="46"/>
    </row>
    <row r="18" spans="2:28">
      <c r="B18" s="61">
        <f t="shared" si="12"/>
        <v>1.25</v>
      </c>
      <c r="C18" s="24">
        <f>EXP(-'CDS-MC'!HazardRate*B18)</f>
        <v>0.98757780049388144</v>
      </c>
      <c r="D18" s="57" t="e">
        <f t="shared" ca="1" si="13"/>
        <v>#N/A</v>
      </c>
      <c r="E18" s="62">
        <v>6</v>
      </c>
      <c r="F18" s="43">
        <v>0.25273763666427307</v>
      </c>
      <c r="G18" s="61">
        <v>137.54033375528314</v>
      </c>
      <c r="H18" s="23">
        <v>-28580.704712968371</v>
      </c>
      <c r="I18" s="23">
        <v>-28580.704712968371</v>
      </c>
      <c r="J18" s="23">
        <v>0</v>
      </c>
      <c r="K18" s="23">
        <v>0</v>
      </c>
      <c r="M18" s="13" t="s">
        <v>3</v>
      </c>
      <c r="N18" s="16">
        <f ca="1">K8</f>
        <v>28619.491444304113</v>
      </c>
      <c r="P18" s="36">
        <f t="shared" si="11"/>
        <v>4</v>
      </c>
      <c r="Q18" s="23">
        <f t="shared" si="0"/>
        <v>-1000000</v>
      </c>
      <c r="R18" s="25">
        <f t="shared" si="1"/>
        <v>6.0000000000000001E-3</v>
      </c>
      <c r="S18" s="37">
        <f t="shared" si="2"/>
        <v>0.25</v>
      </c>
      <c r="T18" s="23">
        <f t="shared" si="9"/>
        <v>-1500</v>
      </c>
      <c r="U18" s="61">
        <f t="shared" ca="1" si="3"/>
        <v>1</v>
      </c>
      <c r="V18" s="24">
        <f t="shared" si="4"/>
        <v>0.9283002994475813</v>
      </c>
      <c r="W18" s="26">
        <f t="shared" ca="1" si="5"/>
        <v>-1392.4504491713719</v>
      </c>
      <c r="X18" s="1"/>
      <c r="Y18" s="36">
        <f t="shared" ca="1" si="6"/>
        <v>1</v>
      </c>
      <c r="Z18" s="26">
        <f t="shared" ca="1" si="7"/>
        <v>-1392.4504491713719</v>
      </c>
      <c r="AB18" s="46"/>
    </row>
    <row r="19" spans="2:28">
      <c r="B19" s="61">
        <f t="shared" si="12"/>
        <v>1.5</v>
      </c>
      <c r="C19" s="24">
        <f>EXP(-'CDS-MC'!HazardRate*B19)</f>
        <v>0.98511193960306265</v>
      </c>
      <c r="D19" s="57" t="e">
        <f t="shared" ca="1" si="13"/>
        <v>#N/A</v>
      </c>
      <c r="E19" s="62">
        <v>7</v>
      </c>
      <c r="F19" s="43">
        <v>9.1990381660653431E-2</v>
      </c>
      <c r="G19" s="61">
        <v>51.870352805656381</v>
      </c>
      <c r="H19" s="23">
        <v>-28580.704712968371</v>
      </c>
      <c r="I19" s="23">
        <v>-28580.704712968371</v>
      </c>
      <c r="J19" s="23">
        <v>0</v>
      </c>
      <c r="K19" s="23">
        <v>0</v>
      </c>
      <c r="P19" s="36">
        <f t="shared" si="11"/>
        <v>4.25</v>
      </c>
      <c r="Q19" s="23">
        <f t="shared" si="0"/>
        <v>-1000000</v>
      </c>
      <c r="R19" s="25">
        <f t="shared" si="1"/>
        <v>6.0000000000000001E-3</v>
      </c>
      <c r="S19" s="37">
        <f t="shared" si="2"/>
        <v>0.25</v>
      </c>
      <c r="T19" s="23">
        <f t="shared" si="9"/>
        <v>-1500</v>
      </c>
      <c r="U19" s="61">
        <f t="shared" ca="1" si="3"/>
        <v>1</v>
      </c>
      <c r="V19" s="24">
        <f t="shared" si="4"/>
        <v>0.9239937236038952</v>
      </c>
      <c r="W19" s="26">
        <f t="shared" ca="1" si="5"/>
        <v>-1385.9905854058427</v>
      </c>
      <c r="X19" s="1"/>
      <c r="Y19" s="36">
        <f t="shared" ca="1" si="6"/>
        <v>1</v>
      </c>
      <c r="Z19" s="26">
        <f t="shared" ca="1" si="7"/>
        <v>-1385.9905854058427</v>
      </c>
      <c r="AB19" s="46"/>
    </row>
    <row r="20" spans="2:28">
      <c r="B20" s="61">
        <f t="shared" si="12"/>
        <v>1.75</v>
      </c>
      <c r="C20" s="24">
        <f>EXP(-'CDS-MC'!HazardRate*B20)</f>
        <v>0.9826522356650732</v>
      </c>
      <c r="D20" s="57" t="e">
        <f t="shared" ca="1" si="13"/>
        <v>#N/A</v>
      </c>
      <c r="E20" s="62">
        <v>8</v>
      </c>
      <c r="F20" s="43">
        <v>0.90800961833934657</v>
      </c>
      <c r="G20" s="61">
        <v>9.6500307552205058</v>
      </c>
      <c r="H20" s="23">
        <v>-28580.704712968371</v>
      </c>
      <c r="I20" s="23">
        <v>-28580.704712968371</v>
      </c>
      <c r="J20" s="23">
        <v>0</v>
      </c>
      <c r="K20" s="23">
        <v>0</v>
      </c>
      <c r="M20" s="2" t="s">
        <v>25</v>
      </c>
      <c r="P20" s="36">
        <f t="shared" si="11"/>
        <v>4.5</v>
      </c>
      <c r="Q20" s="23">
        <f t="shared" si="0"/>
        <v>-1000000</v>
      </c>
      <c r="R20" s="25">
        <f t="shared" si="1"/>
        <v>6.0000000000000001E-3</v>
      </c>
      <c r="S20" s="37">
        <f t="shared" si="2"/>
        <v>0.25</v>
      </c>
      <c r="T20" s="23">
        <f t="shared" si="9"/>
        <v>-1500</v>
      </c>
      <c r="U20" s="61">
        <f t="shared" ca="1" si="3"/>
        <v>1</v>
      </c>
      <c r="V20" s="24">
        <f t="shared" si="4"/>
        <v>0.91970712685049749</v>
      </c>
      <c r="W20" s="26">
        <f t="shared" ca="1" si="5"/>
        <v>-1379.5606902757463</v>
      </c>
      <c r="X20" s="1"/>
      <c r="Y20" s="36">
        <f t="shared" ca="1" si="6"/>
        <v>1</v>
      </c>
      <c r="Z20" s="26">
        <f t="shared" ca="1" si="7"/>
        <v>-1379.5606902757463</v>
      </c>
      <c r="AB20" s="46"/>
    </row>
    <row r="21" spans="2:28">
      <c r="B21" s="61">
        <f t="shared" si="12"/>
        <v>2</v>
      </c>
      <c r="C21" s="24">
        <f>EXP(-'CDS-MC'!HazardRate*B21)</f>
        <v>0.98019867330675525</v>
      </c>
      <c r="D21" s="57" t="e">
        <f t="shared" ca="1" si="13"/>
        <v>#N/A</v>
      </c>
      <c r="E21" s="62">
        <v>9</v>
      </c>
      <c r="F21" s="43">
        <v>0.6117044272860328</v>
      </c>
      <c r="G21" s="61">
        <v>57.173509654215913</v>
      </c>
      <c r="H21" s="23">
        <v>-28580.704712968371</v>
      </c>
      <c r="I21" s="23">
        <v>-28580.704712968371</v>
      </c>
      <c r="J21" s="23">
        <v>0</v>
      </c>
      <c r="K21" s="23">
        <v>0</v>
      </c>
      <c r="M21" s="11" t="s">
        <v>26</v>
      </c>
      <c r="N21" s="40">
        <f ca="1">N22/N23</f>
        <v>0</v>
      </c>
      <c r="P21" s="36">
        <f t="shared" si="11"/>
        <v>4.75</v>
      </c>
      <c r="Q21" s="23">
        <f t="shared" si="0"/>
        <v>-1000000</v>
      </c>
      <c r="R21" s="25">
        <f t="shared" si="1"/>
        <v>6.0000000000000001E-3</v>
      </c>
      <c r="S21" s="37">
        <f t="shared" si="2"/>
        <v>0.25</v>
      </c>
      <c r="T21" s="23">
        <f t="shared" si="9"/>
        <v>-1500</v>
      </c>
      <c r="U21" s="61">
        <f t="shared" ca="1" si="3"/>
        <v>1</v>
      </c>
      <c r="V21" s="24">
        <f t="shared" si="4"/>
        <v>0.91544041650028285</v>
      </c>
      <c r="W21" s="26">
        <f t="shared" ca="1" si="5"/>
        <v>-1373.1606247504242</v>
      </c>
      <c r="X21" s="1"/>
      <c r="Y21" s="36">
        <f t="shared" ca="1" si="6"/>
        <v>1</v>
      </c>
      <c r="Z21" s="26">
        <f t="shared" ca="1" si="7"/>
        <v>-1373.1606247504242</v>
      </c>
      <c r="AB21" s="46"/>
    </row>
    <row r="22" spans="2:28">
      <c r="B22" s="61">
        <f t="shared" si="12"/>
        <v>2.25</v>
      </c>
      <c r="C22" s="24">
        <f>EXP(-'CDS-MC'!HazardRate*B22)</f>
        <v>0.97775123719333634</v>
      </c>
      <c r="D22" s="57" t="e">
        <f t="shared" ca="1" si="13"/>
        <v>#N/A</v>
      </c>
      <c r="E22" s="62">
        <v>10</v>
      </c>
      <c r="F22" s="43">
        <v>0.3882955727139672</v>
      </c>
      <c r="G22" s="61">
        <v>94.598844402476871</v>
      </c>
      <c r="H22" s="23">
        <v>-28580.704712968371</v>
      </c>
      <c r="I22" s="23">
        <v>-28580.704712968371</v>
      </c>
      <c r="J22" s="23">
        <v>0</v>
      </c>
      <c r="K22" s="23">
        <v>0</v>
      </c>
      <c r="M22" s="12" t="s">
        <v>19</v>
      </c>
      <c r="N22" s="15">
        <f ca="1">-ProtectionLegTotalPV-AccruedInterestTotalPV</f>
        <v>0</v>
      </c>
      <c r="P22" s="36">
        <f t="shared" si="11"/>
        <v>5</v>
      </c>
      <c r="Q22" s="23">
        <f t="shared" si="0"/>
        <v>-1000000</v>
      </c>
      <c r="R22" s="25">
        <f t="shared" si="1"/>
        <v>6.0000000000000001E-3</v>
      </c>
      <c r="S22" s="37">
        <f t="shared" si="2"/>
        <v>0.25</v>
      </c>
      <c r="T22" s="23">
        <f t="shared" si="9"/>
        <v>-1500</v>
      </c>
      <c r="U22" s="61">
        <f t="shared" ca="1" si="3"/>
        <v>1</v>
      </c>
      <c r="V22" s="24">
        <f t="shared" si="4"/>
        <v>0.91119350029614055</v>
      </c>
      <c r="W22" s="26">
        <f t="shared" ca="1" si="5"/>
        <v>-1366.7902504442109</v>
      </c>
      <c r="X22" s="1"/>
      <c r="Y22" s="36">
        <f t="shared" ca="1" si="6"/>
        <v>1</v>
      </c>
      <c r="Z22" s="26">
        <f t="shared" ca="1" si="7"/>
        <v>-1366.7902504442109</v>
      </c>
      <c r="AB22" s="46"/>
    </row>
    <row r="23" spans="2:28">
      <c r="B23" s="61">
        <f t="shared" si="12"/>
        <v>2.5</v>
      </c>
      <c r="C23" s="24">
        <f>EXP(-'CDS-MC'!HazardRate*B23)</f>
        <v>0.97530991202833262</v>
      </c>
      <c r="D23" s="57" t="e">
        <f t="shared" ca="1" si="13"/>
        <v>#N/A</v>
      </c>
      <c r="E23" s="62">
        <v>11</v>
      </c>
      <c r="F23" s="43">
        <v>0.2118584031438222</v>
      </c>
      <c r="G23" s="61">
        <v>7.7220078124077816</v>
      </c>
      <c r="H23" s="23">
        <v>-28580.704712968371</v>
      </c>
      <c r="I23" s="23">
        <v>-28580.704712968371</v>
      </c>
      <c r="J23" s="23">
        <v>0</v>
      </c>
      <c r="K23" s="23">
        <v>0</v>
      </c>
      <c r="M23" s="13" t="s">
        <v>9</v>
      </c>
      <c r="N23" s="16">
        <f ca="1">N16/Premium</f>
        <v>-4636767.5585489124</v>
      </c>
      <c r="P23" s="36">
        <f t="shared" si="11"/>
        <v>5.25</v>
      </c>
      <c r="Q23" s="23" t="str">
        <f t="shared" si="0"/>
        <v>-</v>
      </c>
      <c r="R23" s="25" t="str">
        <f t="shared" si="1"/>
        <v>-</v>
      </c>
      <c r="S23" s="37" t="str">
        <f t="shared" si="2"/>
        <v>-</v>
      </c>
      <c r="T23" s="23" t="str">
        <f t="shared" si="9"/>
        <v>-</v>
      </c>
      <c r="U23" s="61" t="str">
        <f t="shared" si="3"/>
        <v>-</v>
      </c>
      <c r="V23" s="24" t="str">
        <f t="shared" si="4"/>
        <v>-</v>
      </c>
      <c r="W23" s="26" t="str">
        <f t="shared" si="5"/>
        <v>-</v>
      </c>
      <c r="X23" s="1"/>
      <c r="Y23" s="36" t="str">
        <f t="shared" si="6"/>
        <v>-</v>
      </c>
      <c r="Z23" s="26" t="str">
        <f t="shared" si="7"/>
        <v>-</v>
      </c>
      <c r="AB23" s="46"/>
    </row>
    <row r="24" spans="2:28">
      <c r="B24" s="61">
        <f t="shared" si="12"/>
        <v>2.75</v>
      </c>
      <c r="C24" s="24">
        <f>EXP(-'CDS-MC'!HazardRate*B24)</f>
        <v>0.972874682553454</v>
      </c>
      <c r="D24" s="57" t="e">
        <f t="shared" ca="1" si="13"/>
        <v>#N/A</v>
      </c>
      <c r="E24" s="62">
        <v>12</v>
      </c>
      <c r="F24" s="43">
        <v>0.7881415968561778</v>
      </c>
      <c r="G24" s="61">
        <v>23.807751382498132</v>
      </c>
      <c r="H24" s="23">
        <v>-28580.704712968371</v>
      </c>
      <c r="I24" s="23">
        <v>-28580.704712968371</v>
      </c>
      <c r="J24" s="23">
        <v>0</v>
      </c>
      <c r="K24" s="23">
        <v>0</v>
      </c>
      <c r="N24" s="52"/>
      <c r="P24" s="36">
        <f t="shared" si="11"/>
        <v>5.5</v>
      </c>
      <c r="Q24" s="23" t="str">
        <f t="shared" si="0"/>
        <v>-</v>
      </c>
      <c r="R24" s="25" t="str">
        <f t="shared" si="1"/>
        <v>-</v>
      </c>
      <c r="S24" s="37" t="str">
        <f t="shared" si="2"/>
        <v>-</v>
      </c>
      <c r="T24" s="23" t="str">
        <f t="shared" si="9"/>
        <v>-</v>
      </c>
      <c r="U24" s="61" t="str">
        <f t="shared" si="3"/>
        <v>-</v>
      </c>
      <c r="V24" s="24" t="str">
        <f t="shared" si="4"/>
        <v>-</v>
      </c>
      <c r="W24" s="26" t="str">
        <f t="shared" si="5"/>
        <v>-</v>
      </c>
      <c r="X24" s="1"/>
      <c r="Y24" s="36" t="str">
        <f t="shared" si="6"/>
        <v>-</v>
      </c>
      <c r="Z24" s="26" t="str">
        <f t="shared" si="7"/>
        <v>-</v>
      </c>
      <c r="AB24" s="46"/>
    </row>
    <row r="25" spans="2:28">
      <c r="B25" s="61">
        <f t="shared" si="12"/>
        <v>3</v>
      </c>
      <c r="C25" s="24">
        <f>EXP(-'CDS-MC'!HazardRate*B25)</f>
        <v>0.97044553354850815</v>
      </c>
      <c r="D25" s="57" t="e">
        <f t="shared" ca="1" si="13"/>
        <v>#N/A</v>
      </c>
      <c r="E25" s="62">
        <v>13</v>
      </c>
      <c r="F25" s="43">
        <v>0.27086014485623033</v>
      </c>
      <c r="G25" s="61">
        <v>83.548152729606329</v>
      </c>
      <c r="H25" s="23">
        <v>-28580.704712968371</v>
      </c>
      <c r="I25" s="23">
        <v>-28580.704712968371</v>
      </c>
      <c r="J25" s="23">
        <v>0</v>
      </c>
      <c r="K25" s="23">
        <v>0</v>
      </c>
      <c r="P25" s="36">
        <f t="shared" si="11"/>
        <v>5.75</v>
      </c>
      <c r="Q25" s="23" t="str">
        <f t="shared" si="0"/>
        <v>-</v>
      </c>
      <c r="R25" s="25" t="str">
        <f t="shared" si="1"/>
        <v>-</v>
      </c>
      <c r="S25" s="37" t="str">
        <f t="shared" si="2"/>
        <v>-</v>
      </c>
      <c r="T25" s="23" t="str">
        <f t="shared" si="9"/>
        <v>-</v>
      </c>
      <c r="U25" s="61" t="str">
        <f t="shared" si="3"/>
        <v>-</v>
      </c>
      <c r="V25" s="24" t="str">
        <f t="shared" si="4"/>
        <v>-</v>
      </c>
      <c r="W25" s="26" t="str">
        <f t="shared" si="5"/>
        <v>-</v>
      </c>
      <c r="X25" s="1"/>
      <c r="Y25" s="36" t="str">
        <f t="shared" si="6"/>
        <v>-</v>
      </c>
      <c r="Z25" s="26" t="str">
        <f t="shared" si="7"/>
        <v>-</v>
      </c>
      <c r="AB25" s="46"/>
    </row>
    <row r="26" spans="2:28">
      <c r="B26" s="61">
        <f t="shared" si="12"/>
        <v>3.25</v>
      </c>
      <c r="C26" s="24">
        <f>EXP(-'CDS-MC'!HazardRate*B26)</f>
        <v>0.96802244983130603</v>
      </c>
      <c r="D26" s="57" t="e">
        <f t="shared" ca="1" si="13"/>
        <v>#N/A</v>
      </c>
      <c r="E26" s="62">
        <v>14</v>
      </c>
      <c r="F26" s="43">
        <v>0.72913985514376967</v>
      </c>
      <c r="G26" s="61">
        <v>31.5889720183058</v>
      </c>
      <c r="H26" s="23">
        <v>-28580.704712968371</v>
      </c>
      <c r="I26" s="23">
        <v>-28580.704712968371</v>
      </c>
      <c r="J26" s="23">
        <v>0</v>
      </c>
      <c r="K26" s="23">
        <v>0</v>
      </c>
      <c r="M26" s="48"/>
      <c r="N26" s="47"/>
      <c r="P26" s="36">
        <f t="shared" si="11"/>
        <v>6</v>
      </c>
      <c r="Q26" s="23" t="str">
        <f t="shared" si="0"/>
        <v>-</v>
      </c>
      <c r="R26" s="25" t="str">
        <f t="shared" si="1"/>
        <v>-</v>
      </c>
      <c r="S26" s="37" t="str">
        <f t="shared" si="2"/>
        <v>-</v>
      </c>
      <c r="T26" s="23" t="str">
        <f t="shared" si="9"/>
        <v>-</v>
      </c>
      <c r="U26" s="61" t="str">
        <f t="shared" si="3"/>
        <v>-</v>
      </c>
      <c r="V26" s="24" t="str">
        <f t="shared" si="4"/>
        <v>-</v>
      </c>
      <c r="W26" s="26" t="str">
        <f t="shared" si="5"/>
        <v>-</v>
      </c>
      <c r="X26" s="1"/>
      <c r="Y26" s="36" t="str">
        <f t="shared" si="6"/>
        <v>-</v>
      </c>
      <c r="Z26" s="26" t="str">
        <f t="shared" si="7"/>
        <v>-</v>
      </c>
      <c r="AB26" s="46"/>
    </row>
    <row r="27" spans="2:28">
      <c r="B27" s="61">
        <f t="shared" si="12"/>
        <v>3.5</v>
      </c>
      <c r="C27" s="24">
        <f>EXP(-'CDS-MC'!HazardRate*B27)</f>
        <v>0.96560541625756646</v>
      </c>
      <c r="D27" s="57" t="e">
        <f t="shared" ca="1" si="13"/>
        <v>#N/A</v>
      </c>
      <c r="E27" s="62">
        <v>15</v>
      </c>
      <c r="F27" s="43">
        <v>0.20516680766208961</v>
      </c>
      <c r="G27" s="61">
        <v>143.20974767994525</v>
      </c>
      <c r="H27" s="23">
        <v>-28580.704712968371</v>
      </c>
      <c r="I27" s="23">
        <v>-28580.704712968371</v>
      </c>
      <c r="J27" s="23">
        <v>0</v>
      </c>
      <c r="K27" s="23">
        <v>0</v>
      </c>
      <c r="N27" s="47"/>
      <c r="P27" s="36">
        <f t="shared" si="11"/>
        <v>6.25</v>
      </c>
      <c r="Q27" s="23" t="str">
        <f t="shared" si="0"/>
        <v>-</v>
      </c>
      <c r="R27" s="25" t="str">
        <f t="shared" si="1"/>
        <v>-</v>
      </c>
      <c r="S27" s="37" t="str">
        <f t="shared" si="2"/>
        <v>-</v>
      </c>
      <c r="T27" s="23" t="str">
        <f t="shared" si="9"/>
        <v>-</v>
      </c>
      <c r="U27" s="61" t="str">
        <f t="shared" si="3"/>
        <v>-</v>
      </c>
      <c r="V27" s="24" t="str">
        <f t="shared" si="4"/>
        <v>-</v>
      </c>
      <c r="W27" s="26" t="str">
        <f t="shared" si="5"/>
        <v>-</v>
      </c>
      <c r="X27" s="1"/>
      <c r="Y27" s="36" t="str">
        <f t="shared" si="6"/>
        <v>-</v>
      </c>
      <c r="Z27" s="26" t="str">
        <f t="shared" si="7"/>
        <v>-</v>
      </c>
      <c r="AB27" s="46"/>
    </row>
    <row r="28" spans="2:28">
      <c r="B28" s="61">
        <f t="shared" si="12"/>
        <v>3.75</v>
      </c>
      <c r="C28" s="24">
        <f>EXP(-'CDS-MC'!HazardRate*B28)</f>
        <v>0.96319441772082182</v>
      </c>
      <c r="D28" s="57" t="e">
        <f t="shared" ca="1" si="13"/>
        <v>#N/A</v>
      </c>
      <c r="E28" s="62">
        <v>16</v>
      </c>
      <c r="F28" s="43">
        <v>0.79483319233791039</v>
      </c>
      <c r="G28" s="61">
        <v>22.962300730190538</v>
      </c>
      <c r="H28" s="23">
        <v>-28580.704712968371</v>
      </c>
      <c r="I28" s="23">
        <v>-28580.704712968371</v>
      </c>
      <c r="J28" s="23">
        <v>0</v>
      </c>
      <c r="K28" s="23">
        <v>0</v>
      </c>
      <c r="P28" s="36">
        <f t="shared" si="11"/>
        <v>6.5</v>
      </c>
      <c r="Q28" s="23" t="str">
        <f t="shared" si="0"/>
        <v>-</v>
      </c>
      <c r="R28" s="25" t="str">
        <f t="shared" si="1"/>
        <v>-</v>
      </c>
      <c r="S28" s="37" t="str">
        <f t="shared" si="2"/>
        <v>-</v>
      </c>
      <c r="T28" s="23" t="str">
        <f t="shared" si="9"/>
        <v>-</v>
      </c>
      <c r="U28" s="61" t="str">
        <f t="shared" si="3"/>
        <v>-</v>
      </c>
      <c r="V28" s="24" t="str">
        <f t="shared" si="4"/>
        <v>-</v>
      </c>
      <c r="W28" s="26" t="str">
        <f t="shared" si="5"/>
        <v>-</v>
      </c>
      <c r="X28" s="1"/>
      <c r="Y28" s="36" t="str">
        <f t="shared" si="6"/>
        <v>-</v>
      </c>
      <c r="Z28" s="26" t="str">
        <f t="shared" si="7"/>
        <v>-</v>
      </c>
      <c r="AB28" s="46"/>
    </row>
    <row r="29" spans="2:28">
      <c r="B29" s="61">
        <f t="shared" si="12"/>
        <v>4</v>
      </c>
      <c r="C29" s="24">
        <f>EXP(-'CDS-MC'!HazardRate*B29)</f>
        <v>0.96078943915232318</v>
      </c>
      <c r="D29" s="57" t="e">
        <f t="shared" ca="1" si="13"/>
        <v>#N/A</v>
      </c>
      <c r="E29" s="62">
        <v>17</v>
      </c>
      <c r="F29" s="43">
        <v>0.87209000927489433</v>
      </c>
      <c r="G29" s="61">
        <v>71.433943284159966</v>
      </c>
      <c r="H29" s="23">
        <v>-28580.704712968371</v>
      </c>
      <c r="I29" s="23">
        <v>-28580.704712968371</v>
      </c>
      <c r="J29" s="23">
        <v>0</v>
      </c>
      <c r="K29" s="23">
        <v>0</v>
      </c>
      <c r="P29" s="36">
        <f t="shared" si="11"/>
        <v>6.75</v>
      </c>
      <c r="Q29" s="23" t="str">
        <f t="shared" si="0"/>
        <v>-</v>
      </c>
      <c r="R29" s="25" t="str">
        <f t="shared" si="1"/>
        <v>-</v>
      </c>
      <c r="S29" s="37" t="str">
        <f t="shared" si="2"/>
        <v>-</v>
      </c>
      <c r="T29" s="23" t="str">
        <f t="shared" si="9"/>
        <v>-</v>
      </c>
      <c r="U29" s="61" t="str">
        <f t="shared" si="3"/>
        <v>-</v>
      </c>
      <c r="V29" s="24" t="str">
        <f t="shared" si="4"/>
        <v>-</v>
      </c>
      <c r="W29" s="26" t="str">
        <f t="shared" si="5"/>
        <v>-</v>
      </c>
      <c r="X29" s="1"/>
      <c r="Y29" s="36" t="str">
        <f t="shared" si="6"/>
        <v>-</v>
      </c>
      <c r="Z29" s="26" t="str">
        <f t="shared" si="7"/>
        <v>-</v>
      </c>
      <c r="AB29" s="46"/>
    </row>
    <row r="30" spans="2:28">
      <c r="B30" s="61">
        <f t="shared" si="12"/>
        <v>4.25</v>
      </c>
      <c r="C30" s="24">
        <f>EXP(-'CDS-MC'!HazardRate*B30)</f>
        <v>0.95839046552094698</v>
      </c>
      <c r="D30" s="57" t="e">
        <f t="shared" ca="1" si="13"/>
        <v>#N/A</v>
      </c>
      <c r="E30" s="62">
        <v>18</v>
      </c>
      <c r="F30" s="43">
        <v>0.12790999072510567</v>
      </c>
      <c r="G30" s="61">
        <v>205.64284598819341</v>
      </c>
      <c r="H30" s="23">
        <v>-28580.704712968371</v>
      </c>
      <c r="I30" s="23">
        <v>-28580.704712968371</v>
      </c>
      <c r="J30" s="23">
        <v>0</v>
      </c>
      <c r="K30" s="23">
        <v>0</v>
      </c>
      <c r="P30" s="36">
        <f t="shared" si="11"/>
        <v>7</v>
      </c>
      <c r="Q30" s="23" t="str">
        <f t="shared" si="0"/>
        <v>-</v>
      </c>
      <c r="R30" s="25" t="str">
        <f t="shared" si="1"/>
        <v>-</v>
      </c>
      <c r="S30" s="37" t="str">
        <f t="shared" si="2"/>
        <v>-</v>
      </c>
      <c r="T30" s="23" t="str">
        <f t="shared" si="9"/>
        <v>-</v>
      </c>
      <c r="U30" s="61" t="str">
        <f t="shared" si="3"/>
        <v>-</v>
      </c>
      <c r="V30" s="24" t="str">
        <f t="shared" si="4"/>
        <v>-</v>
      </c>
      <c r="W30" s="26" t="str">
        <f t="shared" si="5"/>
        <v>-</v>
      </c>
      <c r="X30" s="1"/>
      <c r="Y30" s="36" t="str">
        <f t="shared" si="6"/>
        <v>-</v>
      </c>
      <c r="Z30" s="26" t="str">
        <f t="shared" si="7"/>
        <v>-</v>
      </c>
    </row>
    <row r="31" spans="2:28">
      <c r="B31" s="61">
        <f t="shared" si="12"/>
        <v>4.5</v>
      </c>
      <c r="C31" s="24">
        <f>EXP(-'CDS-MC'!HazardRate*B31)</f>
        <v>0.95599748183309996</v>
      </c>
      <c r="D31" s="57" t="e">
        <f t="shared" ca="1" si="13"/>
        <v>#N/A</v>
      </c>
      <c r="E31" s="62">
        <v>19</v>
      </c>
      <c r="F31" s="43">
        <v>0.52369739366980594</v>
      </c>
      <c r="G31" s="61">
        <v>55.894912098186978</v>
      </c>
      <c r="H31" s="23">
        <v>-28580.704712968371</v>
      </c>
      <c r="I31" s="23">
        <v>-28580.704712968371</v>
      </c>
      <c r="J31" s="23">
        <v>0</v>
      </c>
      <c r="K31" s="23">
        <v>0</v>
      </c>
      <c r="P31" s="36">
        <f t="shared" si="11"/>
        <v>7.25</v>
      </c>
      <c r="Q31" s="23" t="str">
        <f t="shared" si="0"/>
        <v>-</v>
      </c>
      <c r="R31" s="25" t="str">
        <f t="shared" si="1"/>
        <v>-</v>
      </c>
      <c r="S31" s="37" t="str">
        <f t="shared" si="2"/>
        <v>-</v>
      </c>
      <c r="T31" s="23" t="str">
        <f t="shared" si="9"/>
        <v>-</v>
      </c>
      <c r="U31" s="61" t="str">
        <f t="shared" si="3"/>
        <v>-</v>
      </c>
      <c r="V31" s="24" t="str">
        <f t="shared" si="4"/>
        <v>-</v>
      </c>
      <c r="W31" s="26" t="str">
        <f t="shared" si="5"/>
        <v>-</v>
      </c>
      <c r="X31" s="1"/>
      <c r="Y31" s="36" t="str">
        <f t="shared" si="6"/>
        <v>-</v>
      </c>
      <c r="Z31" s="26" t="str">
        <f t="shared" si="7"/>
        <v>-</v>
      </c>
    </row>
    <row r="32" spans="2:28">
      <c r="B32" s="61">
        <f t="shared" si="12"/>
        <v>4.75</v>
      </c>
      <c r="C32" s="24">
        <f>EXP(-'CDS-MC'!HazardRate*B32)</f>
        <v>0.95361047313262637</v>
      </c>
      <c r="D32" s="57" t="e">
        <f t="shared" ca="1" si="13"/>
        <v>#N/A</v>
      </c>
      <c r="E32" s="62">
        <v>20</v>
      </c>
      <c r="F32" s="43">
        <v>0.47630260633019406</v>
      </c>
      <c r="G32" s="61">
        <v>74.170189915545436</v>
      </c>
      <c r="H32" s="23">
        <v>-28580.704712968371</v>
      </c>
      <c r="I32" s="23">
        <v>-28580.704712968371</v>
      </c>
      <c r="J32" s="23">
        <v>0</v>
      </c>
      <c r="K32" s="23">
        <v>0</v>
      </c>
      <c r="P32" s="36">
        <f t="shared" si="11"/>
        <v>7.5</v>
      </c>
      <c r="Q32" s="23" t="str">
        <f t="shared" si="0"/>
        <v>-</v>
      </c>
      <c r="R32" s="25" t="str">
        <f t="shared" si="1"/>
        <v>-</v>
      </c>
      <c r="S32" s="37" t="str">
        <f t="shared" si="2"/>
        <v>-</v>
      </c>
      <c r="T32" s="23" t="str">
        <f t="shared" si="9"/>
        <v>-</v>
      </c>
      <c r="U32" s="61" t="str">
        <f t="shared" si="3"/>
        <v>-</v>
      </c>
      <c r="V32" s="24" t="str">
        <f t="shared" si="4"/>
        <v>-</v>
      </c>
      <c r="W32" s="26" t="str">
        <f t="shared" si="5"/>
        <v>-</v>
      </c>
      <c r="X32" s="1"/>
      <c r="Y32" s="36" t="str">
        <f t="shared" si="6"/>
        <v>-</v>
      </c>
      <c r="Z32" s="26" t="str">
        <f t="shared" si="7"/>
        <v>-</v>
      </c>
    </row>
    <row r="33" spans="2:26">
      <c r="B33" s="61">
        <f t="shared" si="12"/>
        <v>5</v>
      </c>
      <c r="C33" s="24">
        <f>EXP(-'CDS-MC'!HazardRate*B33)</f>
        <v>0.95122942450071402</v>
      </c>
      <c r="D33" s="57" t="e">
        <f t="shared" ca="1" si="13"/>
        <v>#N/A</v>
      </c>
      <c r="E33" s="62">
        <v>21</v>
      </c>
      <c r="F33" s="43">
        <v>0.71446265460066516</v>
      </c>
      <c r="G33" s="61">
        <v>91.509101431812425</v>
      </c>
      <c r="H33" s="23">
        <v>-28580.704712968371</v>
      </c>
      <c r="I33" s="23">
        <v>-28580.704712968371</v>
      </c>
      <c r="J33" s="23">
        <v>0</v>
      </c>
      <c r="K33" s="23">
        <v>0</v>
      </c>
      <c r="P33" s="36">
        <f t="shared" si="11"/>
        <v>7.75</v>
      </c>
      <c r="Q33" s="23" t="str">
        <f t="shared" si="0"/>
        <v>-</v>
      </c>
      <c r="R33" s="25" t="str">
        <f t="shared" si="1"/>
        <v>-</v>
      </c>
      <c r="S33" s="37" t="str">
        <f t="shared" si="2"/>
        <v>-</v>
      </c>
      <c r="T33" s="23" t="str">
        <f t="shared" si="9"/>
        <v>-</v>
      </c>
      <c r="U33" s="61" t="str">
        <f t="shared" si="3"/>
        <v>-</v>
      </c>
      <c r="V33" s="24" t="str">
        <f t="shared" si="4"/>
        <v>-</v>
      </c>
      <c r="W33" s="26" t="str">
        <f t="shared" si="5"/>
        <v>-</v>
      </c>
      <c r="X33" s="1"/>
      <c r="Y33" s="36" t="str">
        <f t="shared" si="6"/>
        <v>-</v>
      </c>
      <c r="Z33" s="26" t="str">
        <f t="shared" si="7"/>
        <v>-</v>
      </c>
    </row>
    <row r="34" spans="2:26">
      <c r="B34" s="61">
        <f t="shared" si="12"/>
        <v>5.25</v>
      </c>
      <c r="C34" s="24">
        <f>EXP(-'CDS-MC'!HazardRate*B34)</f>
        <v>0.94885432105580125</v>
      </c>
      <c r="D34" s="57" t="e">
        <f t="shared" ca="1" si="13"/>
        <v>#N/A</v>
      </c>
      <c r="E34" s="62">
        <v>22</v>
      </c>
      <c r="F34" s="43">
        <v>0.28553734539933484</v>
      </c>
      <c r="G34" s="61">
        <v>125.33824514376379</v>
      </c>
      <c r="H34" s="23">
        <v>-28580.704712968371</v>
      </c>
      <c r="I34" s="23">
        <v>-28580.704712968371</v>
      </c>
      <c r="J34" s="23">
        <v>0</v>
      </c>
      <c r="K34" s="23">
        <v>0</v>
      </c>
      <c r="P34" s="36">
        <f t="shared" si="11"/>
        <v>8</v>
      </c>
      <c r="Q34" s="23" t="str">
        <f t="shared" si="0"/>
        <v>-</v>
      </c>
      <c r="R34" s="25" t="str">
        <f t="shared" si="1"/>
        <v>-</v>
      </c>
      <c r="S34" s="37" t="str">
        <f t="shared" si="2"/>
        <v>-</v>
      </c>
      <c r="T34" s="23" t="str">
        <f t="shared" si="9"/>
        <v>-</v>
      </c>
      <c r="U34" s="61" t="str">
        <f t="shared" si="3"/>
        <v>-</v>
      </c>
      <c r="V34" s="24" t="str">
        <f t="shared" si="4"/>
        <v>-</v>
      </c>
      <c r="W34" s="26" t="str">
        <f t="shared" si="5"/>
        <v>-</v>
      </c>
      <c r="X34" s="1"/>
      <c r="Y34" s="36" t="str">
        <f t="shared" si="6"/>
        <v>-</v>
      </c>
      <c r="Z34" s="26" t="str">
        <f t="shared" si="7"/>
        <v>-</v>
      </c>
    </row>
    <row r="35" spans="2:26">
      <c r="B35" s="61">
        <f t="shared" si="12"/>
        <v>5.5</v>
      </c>
      <c r="C35" s="24">
        <f>EXP(-'CDS-MC'!HazardRate*B35)</f>
        <v>0.94648514795348382</v>
      </c>
      <c r="D35" s="57" t="e">
        <f t="shared" ca="1" si="13"/>
        <v>#N/A</v>
      </c>
      <c r="E35" s="62">
        <v>23</v>
      </c>
      <c r="F35" s="43">
        <v>0.51262295045144801</v>
      </c>
      <c r="G35" s="61">
        <v>32.337191510932804</v>
      </c>
      <c r="H35" s="23">
        <v>-28580.704712968371</v>
      </c>
      <c r="I35" s="23">
        <v>-28580.704712968371</v>
      </c>
      <c r="J35" s="23">
        <v>0</v>
      </c>
      <c r="K35" s="23">
        <v>0</v>
      </c>
      <c r="P35" s="36">
        <f t="shared" si="11"/>
        <v>8.25</v>
      </c>
      <c r="Q35" s="23" t="str">
        <f t="shared" si="0"/>
        <v>-</v>
      </c>
      <c r="R35" s="25" t="str">
        <f t="shared" si="1"/>
        <v>-</v>
      </c>
      <c r="S35" s="37" t="str">
        <f t="shared" si="2"/>
        <v>-</v>
      </c>
      <c r="T35" s="23" t="str">
        <f t="shared" si="9"/>
        <v>-</v>
      </c>
      <c r="U35" s="61" t="str">
        <f t="shared" si="3"/>
        <v>-</v>
      </c>
      <c r="V35" s="24" t="str">
        <f t="shared" si="4"/>
        <v>-</v>
      </c>
      <c r="W35" s="26" t="str">
        <f t="shared" si="5"/>
        <v>-</v>
      </c>
      <c r="X35" s="1"/>
      <c r="Y35" s="36" t="str">
        <f t="shared" si="6"/>
        <v>-</v>
      </c>
      <c r="Z35" s="26" t="str">
        <f t="shared" si="7"/>
        <v>-</v>
      </c>
    </row>
    <row r="36" spans="2:26">
      <c r="B36" s="61">
        <f t="shared" si="12"/>
        <v>5.75</v>
      </c>
      <c r="C36" s="24">
        <f>EXP(-'CDS-MC'!HazardRate*B36)</f>
        <v>0.94412189038642214</v>
      </c>
      <c r="D36" s="57" t="e">
        <f t="shared" ca="1" si="13"/>
        <v>#N/A</v>
      </c>
      <c r="E36" s="62">
        <v>24</v>
      </c>
      <c r="F36" s="43">
        <v>0.48737704954855199</v>
      </c>
      <c r="G36" s="61">
        <v>71.871722640778287</v>
      </c>
      <c r="H36" s="23">
        <v>-28580.704712968371</v>
      </c>
      <c r="I36" s="23">
        <v>-28580.704712968371</v>
      </c>
      <c r="J36" s="23">
        <v>0</v>
      </c>
      <c r="K36" s="23">
        <v>0</v>
      </c>
      <c r="P36" s="36">
        <f t="shared" si="11"/>
        <v>8.5</v>
      </c>
      <c r="Q36" s="23" t="str">
        <f t="shared" si="0"/>
        <v>-</v>
      </c>
      <c r="R36" s="25" t="str">
        <f t="shared" si="1"/>
        <v>-</v>
      </c>
      <c r="S36" s="37" t="str">
        <f t="shared" si="2"/>
        <v>-</v>
      </c>
      <c r="T36" s="23" t="str">
        <f t="shared" si="9"/>
        <v>-</v>
      </c>
      <c r="U36" s="61" t="str">
        <f t="shared" si="3"/>
        <v>-</v>
      </c>
      <c r="V36" s="24" t="str">
        <f t="shared" si="4"/>
        <v>-</v>
      </c>
      <c r="W36" s="26" t="str">
        <f t="shared" si="5"/>
        <v>-</v>
      </c>
      <c r="X36" s="1"/>
      <c r="Y36" s="36" t="str">
        <f t="shared" si="6"/>
        <v>-</v>
      </c>
      <c r="Z36" s="26" t="str">
        <f t="shared" si="7"/>
        <v>-</v>
      </c>
    </row>
    <row r="37" spans="2:26">
      <c r="B37" s="61">
        <f t="shared" si="12"/>
        <v>6</v>
      </c>
      <c r="C37" s="24">
        <f>EXP(-'CDS-MC'!HazardRate*B37)</f>
        <v>0.94176453358424872</v>
      </c>
      <c r="D37" s="57" t="e">
        <f t="shared" ca="1" si="13"/>
        <v>#N/A</v>
      </c>
      <c r="E37" s="62">
        <v>25</v>
      </c>
      <c r="F37" s="43">
        <v>0.27847419310249455</v>
      </c>
      <c r="G37" s="61">
        <v>191.47433734832214</v>
      </c>
      <c r="H37" s="23">
        <v>-28580.704712968371</v>
      </c>
      <c r="I37" s="23">
        <v>-28580.704712968371</v>
      </c>
      <c r="J37" s="23">
        <v>0</v>
      </c>
      <c r="K37" s="23">
        <v>0</v>
      </c>
      <c r="P37" s="36">
        <f t="shared" si="11"/>
        <v>8.75</v>
      </c>
      <c r="Q37" s="23" t="str">
        <f t="shared" si="0"/>
        <v>-</v>
      </c>
      <c r="R37" s="25" t="str">
        <f t="shared" si="1"/>
        <v>-</v>
      </c>
      <c r="S37" s="37" t="str">
        <f t="shared" si="2"/>
        <v>-</v>
      </c>
      <c r="T37" s="23" t="str">
        <f t="shared" si="9"/>
        <v>-</v>
      </c>
      <c r="U37" s="61" t="str">
        <f t="shared" si="3"/>
        <v>-</v>
      </c>
      <c r="V37" s="24" t="str">
        <f t="shared" si="4"/>
        <v>-</v>
      </c>
      <c r="W37" s="26" t="str">
        <f t="shared" si="5"/>
        <v>-</v>
      </c>
      <c r="X37" s="1"/>
      <c r="Y37" s="36" t="str">
        <f t="shared" si="6"/>
        <v>-</v>
      </c>
      <c r="Z37" s="26" t="str">
        <f t="shared" si="7"/>
        <v>-</v>
      </c>
    </row>
    <row r="38" spans="2:26">
      <c r="B38" s="61">
        <f t="shared" si="12"/>
        <v>6.25</v>
      </c>
      <c r="C38" s="24">
        <f>EXP(-'CDS-MC'!HazardRate*B38)</f>
        <v>0.93941306281347581</v>
      </c>
      <c r="D38" s="57" t="e">
        <f t="shared" ca="1" si="13"/>
        <v>#N/A</v>
      </c>
      <c r="E38" s="62">
        <v>26</v>
      </c>
      <c r="F38" s="43">
        <v>0.72152580689750545</v>
      </c>
      <c r="G38" s="61">
        <v>32.638713301217436</v>
      </c>
      <c r="H38" s="23">
        <v>-28580.704712968371</v>
      </c>
      <c r="I38" s="23">
        <v>-28580.704712968371</v>
      </c>
      <c r="J38" s="23">
        <v>0</v>
      </c>
      <c r="K38" s="23">
        <v>0</v>
      </c>
      <c r="P38" s="36">
        <f t="shared" si="11"/>
        <v>9</v>
      </c>
      <c r="Q38" s="23" t="str">
        <f t="shared" si="0"/>
        <v>-</v>
      </c>
      <c r="R38" s="25" t="str">
        <f t="shared" si="1"/>
        <v>-</v>
      </c>
      <c r="S38" s="37" t="str">
        <f t="shared" si="2"/>
        <v>-</v>
      </c>
      <c r="T38" s="23" t="str">
        <f t="shared" si="9"/>
        <v>-</v>
      </c>
      <c r="U38" s="61" t="str">
        <f t="shared" si="3"/>
        <v>-</v>
      </c>
      <c r="V38" s="24" t="str">
        <f t="shared" si="4"/>
        <v>-</v>
      </c>
      <c r="W38" s="26" t="str">
        <f t="shared" si="5"/>
        <v>-</v>
      </c>
      <c r="X38" s="1"/>
      <c r="Y38" s="36" t="str">
        <f t="shared" si="6"/>
        <v>-</v>
      </c>
      <c r="Z38" s="26" t="str">
        <f t="shared" si="7"/>
        <v>-</v>
      </c>
    </row>
    <row r="39" spans="2:26">
      <c r="B39" s="61">
        <f t="shared" si="12"/>
        <v>6.5</v>
      </c>
      <c r="C39" s="24">
        <f>EXP(-'CDS-MC'!HazardRate*B39)</f>
        <v>0.93706746337740343</v>
      </c>
      <c r="D39" s="57" t="e">
        <f t="shared" ca="1" si="13"/>
        <v>#N/A</v>
      </c>
      <c r="E39" s="62">
        <v>27</v>
      </c>
      <c r="F39" s="43">
        <v>0.27770622917075893</v>
      </c>
      <c r="G39" s="61">
        <v>146.62769253223183</v>
      </c>
      <c r="H39" s="23">
        <v>-28580.704712968371</v>
      </c>
      <c r="I39" s="23">
        <v>-28580.704712968371</v>
      </c>
      <c r="J39" s="23">
        <v>0</v>
      </c>
      <c r="K39" s="23">
        <v>0</v>
      </c>
      <c r="P39" s="36">
        <f t="shared" si="11"/>
        <v>9.25</v>
      </c>
      <c r="Q39" s="23" t="str">
        <f t="shared" si="0"/>
        <v>-</v>
      </c>
      <c r="R39" s="25" t="str">
        <f t="shared" si="1"/>
        <v>-</v>
      </c>
      <c r="S39" s="37" t="str">
        <f t="shared" si="2"/>
        <v>-</v>
      </c>
      <c r="T39" s="23" t="str">
        <f t="shared" si="9"/>
        <v>-</v>
      </c>
      <c r="U39" s="61" t="str">
        <f t="shared" si="3"/>
        <v>-</v>
      </c>
      <c r="V39" s="24" t="str">
        <f t="shared" si="4"/>
        <v>-</v>
      </c>
      <c r="W39" s="26" t="str">
        <f t="shared" si="5"/>
        <v>-</v>
      </c>
      <c r="X39" s="1"/>
      <c r="Y39" s="36" t="str">
        <f t="shared" si="6"/>
        <v>-</v>
      </c>
      <c r="Z39" s="26" t="str">
        <f t="shared" si="7"/>
        <v>-</v>
      </c>
    </row>
    <row r="40" spans="2:26">
      <c r="B40" s="61">
        <f t="shared" si="12"/>
        <v>6.75</v>
      </c>
      <c r="C40" s="24">
        <f>EXP(-'CDS-MC'!HazardRate*B40)</f>
        <v>0.93472772061602749</v>
      </c>
      <c r="D40" s="57" t="e">
        <f t="shared" ca="1" si="13"/>
        <v>#N/A</v>
      </c>
      <c r="E40" s="62">
        <v>28</v>
      </c>
      <c r="F40" s="43">
        <v>0.72229377082924107</v>
      </c>
      <c r="G40" s="61">
        <v>32.532333803944297</v>
      </c>
      <c r="H40" s="23">
        <v>-28580.704712968371</v>
      </c>
      <c r="I40" s="23">
        <v>-28580.704712968371</v>
      </c>
      <c r="J40" s="23">
        <v>0</v>
      </c>
      <c r="K40" s="23">
        <v>0</v>
      </c>
      <c r="P40" s="36">
        <f t="shared" si="11"/>
        <v>9.5</v>
      </c>
      <c r="Q40" s="23" t="str">
        <f t="shared" si="0"/>
        <v>-</v>
      </c>
      <c r="R40" s="25" t="str">
        <f t="shared" si="1"/>
        <v>-</v>
      </c>
      <c r="S40" s="37" t="str">
        <f t="shared" si="2"/>
        <v>-</v>
      </c>
      <c r="T40" s="23" t="str">
        <f t="shared" si="9"/>
        <v>-</v>
      </c>
      <c r="U40" s="61" t="str">
        <f t="shared" si="3"/>
        <v>-</v>
      </c>
      <c r="V40" s="24" t="str">
        <f t="shared" si="4"/>
        <v>-</v>
      </c>
      <c r="W40" s="26" t="str">
        <f t="shared" si="5"/>
        <v>-</v>
      </c>
      <c r="X40" s="1"/>
      <c r="Y40" s="36" t="str">
        <f t="shared" si="6"/>
        <v>-</v>
      </c>
      <c r="Z40" s="26" t="str">
        <f t="shared" si="7"/>
        <v>-</v>
      </c>
    </row>
    <row r="41" spans="2:26">
      <c r="B41" s="61">
        <f t="shared" si="12"/>
        <v>7</v>
      </c>
      <c r="C41" s="24">
        <f>EXP(-'CDS-MC'!HazardRate*B41)</f>
        <v>0.93239381990594827</v>
      </c>
      <c r="D41" s="57" t="e">
        <f t="shared" ca="1" si="13"/>
        <v>#N/A</v>
      </c>
      <c r="E41" s="62">
        <v>29</v>
      </c>
      <c r="F41" s="43">
        <v>0.78168478863014235</v>
      </c>
      <c r="G41" s="61">
        <v>508.44400302103674</v>
      </c>
      <c r="H41" s="23">
        <v>-28580.704712968371</v>
      </c>
      <c r="I41" s="23">
        <v>-28580.704712968371</v>
      </c>
      <c r="J41" s="23">
        <v>0</v>
      </c>
      <c r="K41" s="23">
        <v>0</v>
      </c>
      <c r="P41" s="36">
        <f t="shared" si="11"/>
        <v>9.75</v>
      </c>
      <c r="Q41" s="23" t="str">
        <f t="shared" si="0"/>
        <v>-</v>
      </c>
      <c r="R41" s="25" t="str">
        <f t="shared" si="1"/>
        <v>-</v>
      </c>
      <c r="S41" s="37" t="str">
        <f t="shared" si="2"/>
        <v>-</v>
      </c>
      <c r="T41" s="23" t="str">
        <f t="shared" si="9"/>
        <v>-</v>
      </c>
      <c r="U41" s="61" t="str">
        <f t="shared" si="3"/>
        <v>-</v>
      </c>
      <c r="V41" s="24" t="str">
        <f t="shared" si="4"/>
        <v>-</v>
      </c>
      <c r="W41" s="26" t="str">
        <f t="shared" si="5"/>
        <v>-</v>
      </c>
      <c r="X41" s="1"/>
      <c r="Y41" s="36" t="str">
        <f t="shared" si="6"/>
        <v>-</v>
      </c>
      <c r="Z41" s="26" t="str">
        <f t="shared" si="7"/>
        <v>-</v>
      </c>
    </row>
    <row r="42" spans="2:26">
      <c r="B42" s="61">
        <f t="shared" si="12"/>
        <v>7.25</v>
      </c>
      <c r="C42" s="24">
        <f>EXP(-'CDS-MC'!HazardRate*B42)</f>
        <v>0.93006574666027853</v>
      </c>
      <c r="D42" s="57" t="e">
        <f t="shared" ca="1" si="13"/>
        <v>#N/A</v>
      </c>
      <c r="E42" s="62">
        <v>30</v>
      </c>
      <c r="F42" s="43">
        <v>0.21831521136985765</v>
      </c>
      <c r="G42" s="61">
        <v>152.18153368192287</v>
      </c>
      <c r="H42" s="23">
        <v>-28580.704712968371</v>
      </c>
      <c r="I42" s="23">
        <v>-28580.704712968371</v>
      </c>
      <c r="J42" s="23">
        <v>0</v>
      </c>
      <c r="K42" s="23">
        <v>0</v>
      </c>
      <c r="P42" s="36">
        <f t="shared" si="11"/>
        <v>10</v>
      </c>
      <c r="Q42" s="23" t="str">
        <f t="shared" si="0"/>
        <v>-</v>
      </c>
      <c r="R42" s="25" t="str">
        <f t="shared" si="1"/>
        <v>-</v>
      </c>
      <c r="S42" s="37" t="str">
        <f t="shared" si="2"/>
        <v>-</v>
      </c>
      <c r="T42" s="23" t="str">
        <f t="shared" si="9"/>
        <v>-</v>
      </c>
      <c r="U42" s="61" t="str">
        <f t="shared" si="3"/>
        <v>-</v>
      </c>
      <c r="V42" s="24" t="str">
        <f t="shared" si="4"/>
        <v>-</v>
      </c>
      <c r="W42" s="26" t="str">
        <f t="shared" si="5"/>
        <v>-</v>
      </c>
      <c r="X42" s="1"/>
      <c r="Y42" s="36" t="str">
        <f t="shared" si="6"/>
        <v>-</v>
      </c>
      <c r="Z42" s="26" t="str">
        <f t="shared" si="7"/>
        <v>-</v>
      </c>
    </row>
    <row r="43" spans="2:26">
      <c r="B43" s="61">
        <f t="shared" si="12"/>
        <v>7.5</v>
      </c>
      <c r="C43" s="24">
        <f>EXP(-'CDS-MC'!HazardRate*B43)</f>
        <v>0.92774348632855286</v>
      </c>
      <c r="D43" s="57" t="e">
        <f t="shared" ca="1" si="13"/>
        <v>#N/A</v>
      </c>
      <c r="E43" s="62">
        <v>31</v>
      </c>
      <c r="F43" s="43">
        <v>5.2746308091975114E-2</v>
      </c>
      <c r="G43" s="61">
        <v>39.375380312153453</v>
      </c>
      <c r="H43" s="23">
        <v>-28580.704712968371</v>
      </c>
      <c r="I43" s="23">
        <v>-28580.704712968371</v>
      </c>
      <c r="J43" s="23">
        <v>0</v>
      </c>
      <c r="K43" s="23">
        <v>0</v>
      </c>
      <c r="P43" s="36">
        <f t="shared" si="11"/>
        <v>10.25</v>
      </c>
      <c r="Q43" s="23" t="str">
        <f t="shared" si="0"/>
        <v>-</v>
      </c>
      <c r="R43" s="25" t="str">
        <f t="shared" si="1"/>
        <v>-</v>
      </c>
      <c r="S43" s="37" t="str">
        <f t="shared" si="2"/>
        <v>-</v>
      </c>
      <c r="T43" s="23" t="str">
        <f t="shared" si="9"/>
        <v>-</v>
      </c>
      <c r="U43" s="61" t="str">
        <f t="shared" si="3"/>
        <v>-</v>
      </c>
      <c r="V43" s="24" t="str">
        <f t="shared" si="4"/>
        <v>-</v>
      </c>
      <c r="W43" s="26" t="str">
        <f t="shared" si="5"/>
        <v>-</v>
      </c>
      <c r="X43" s="1"/>
      <c r="Y43" s="36" t="str">
        <f t="shared" si="6"/>
        <v>-</v>
      </c>
      <c r="Z43" s="26" t="str">
        <f t="shared" si="7"/>
        <v>-</v>
      </c>
    </row>
    <row r="44" spans="2:26">
      <c r="B44" s="61">
        <f t="shared" si="12"/>
        <v>7.75</v>
      </c>
      <c r="C44" s="24">
        <f>EXP(-'CDS-MC'!HazardRate*B44)</f>
        <v>0.92542702439663682</v>
      </c>
      <c r="D44" s="57" t="e">
        <f t="shared" ca="1" si="13"/>
        <v>#N/A</v>
      </c>
      <c r="E44" s="62">
        <v>32</v>
      </c>
      <c r="F44" s="43">
        <v>0.94725369190802489</v>
      </c>
      <c r="G44" s="61">
        <v>5.418833158980819</v>
      </c>
      <c r="H44" s="23">
        <v>-28580.704712968371</v>
      </c>
      <c r="I44" s="23">
        <v>-28580.704712968371</v>
      </c>
      <c r="J44" s="23">
        <v>0</v>
      </c>
      <c r="K44" s="23">
        <v>0</v>
      </c>
      <c r="P44" s="38">
        <f t="shared" si="11"/>
        <v>10.5</v>
      </c>
      <c r="Q44" s="28" t="str">
        <f t="shared" si="0"/>
        <v>-</v>
      </c>
      <c r="R44" s="30" t="str">
        <f t="shared" si="1"/>
        <v>-</v>
      </c>
      <c r="S44" s="39" t="str">
        <f t="shared" si="2"/>
        <v>-</v>
      </c>
      <c r="T44" s="28" t="str">
        <f t="shared" si="9"/>
        <v>-</v>
      </c>
      <c r="U44" s="79" t="str">
        <f t="shared" si="3"/>
        <v>-</v>
      </c>
      <c r="V44" s="29" t="str">
        <f t="shared" si="4"/>
        <v>-</v>
      </c>
      <c r="W44" s="31" t="str">
        <f t="shared" si="5"/>
        <v>-</v>
      </c>
      <c r="X44" s="1"/>
      <c r="Y44" s="38" t="str">
        <f t="shared" si="6"/>
        <v>-</v>
      </c>
      <c r="Z44" s="31" t="str">
        <f t="shared" si="7"/>
        <v>-</v>
      </c>
    </row>
    <row r="45" spans="2:26">
      <c r="B45" s="61">
        <f t="shared" si="12"/>
        <v>8</v>
      </c>
      <c r="C45" s="24">
        <f>EXP(-'CDS-MC'!HazardRate*B45)</f>
        <v>0.92311634638663576</v>
      </c>
      <c r="D45" s="57" t="e">
        <f t="shared" ca="1" si="13"/>
        <v>#N/A</v>
      </c>
      <c r="E45" s="62">
        <v>33</v>
      </c>
      <c r="F45" s="43">
        <v>0.45673422563442534</v>
      </c>
      <c r="G45" s="61">
        <v>118.17150780650145</v>
      </c>
      <c r="H45" s="23">
        <v>-28580.704712968371</v>
      </c>
      <c r="I45" s="23">
        <v>-28580.704712968371</v>
      </c>
      <c r="J45" s="23">
        <v>0</v>
      </c>
      <c r="K45" s="23">
        <v>0</v>
      </c>
      <c r="X45" s="1"/>
    </row>
    <row r="46" spans="2:26">
      <c r="B46" s="61">
        <f t="shared" ref="B46:B77" si="14">B45+0.25</f>
        <v>8.25</v>
      </c>
      <c r="C46" s="24">
        <f>EXP(-'CDS-MC'!HazardRate*B46)</f>
        <v>0.92081143785680453</v>
      </c>
      <c r="D46" s="57" t="e">
        <f t="shared" ref="D46:D77" ca="1" si="15">IF(AND(DefaultTime&lt;=B46,DefaultTime&gt;B45),C46,NA())</f>
        <v>#N/A</v>
      </c>
      <c r="E46" s="62">
        <v>34</v>
      </c>
      <c r="F46" s="43">
        <v>0.54326577436557466</v>
      </c>
      <c r="G46" s="61">
        <v>61.015662323895512</v>
      </c>
      <c r="H46" s="23">
        <v>-28580.704712968371</v>
      </c>
      <c r="I46" s="23">
        <v>-28580.704712968371</v>
      </c>
      <c r="J46" s="23">
        <v>0</v>
      </c>
      <c r="K46" s="23">
        <v>0</v>
      </c>
      <c r="W46" s="3" t="s">
        <v>22</v>
      </c>
      <c r="X46" s="1"/>
      <c r="Y46" s="3"/>
      <c r="Z46" s="3" t="s">
        <v>22</v>
      </c>
    </row>
    <row r="47" spans="2:26">
      <c r="B47" s="61">
        <f t="shared" si="14"/>
        <v>8.5</v>
      </c>
      <c r="C47" s="24">
        <f>EXP(-'CDS-MC'!HazardRate*B47)</f>
        <v>0.91851228440145738</v>
      </c>
      <c r="D47" s="57" t="e">
        <f t="shared" ca="1" si="15"/>
        <v>#N/A</v>
      </c>
      <c r="E47" s="62">
        <v>35</v>
      </c>
      <c r="F47" s="43">
        <v>0.15106266540329238</v>
      </c>
      <c r="G47" s="61">
        <v>26.187157981433383</v>
      </c>
      <c r="H47" s="23">
        <v>-28580.704712968371</v>
      </c>
      <c r="I47" s="23">
        <v>-28580.704712968371</v>
      </c>
      <c r="J47" s="23">
        <v>0</v>
      </c>
      <c r="K47" s="23">
        <v>0</v>
      </c>
      <c r="W47" s="45">
        <f ca="1">SUM(W3:W44)</f>
        <v>-28580.704712968371</v>
      </c>
      <c r="X47" s="1"/>
      <c r="Z47" s="45">
        <f ca="1">SUM(Z3:Z44)</f>
        <v>-28580.704712968371</v>
      </c>
    </row>
    <row r="48" spans="2:26">
      <c r="B48" s="61">
        <f t="shared" si="14"/>
        <v>8.75</v>
      </c>
      <c r="C48" s="24">
        <f>EXP(-'CDS-MC'!HazardRate*B48)</f>
        <v>0.91621887165087756</v>
      </c>
      <c r="D48" s="57" t="e">
        <f t="shared" ca="1" si="15"/>
        <v>#N/A</v>
      </c>
      <c r="E48" s="62">
        <v>36</v>
      </c>
      <c r="F48" s="43">
        <v>0.84893733459670762</v>
      </c>
      <c r="G48" s="61">
        <v>16.376990623509975</v>
      </c>
      <c r="H48" s="23">
        <v>-28580.704712968371</v>
      </c>
      <c r="I48" s="23">
        <v>-28580.704712968371</v>
      </c>
      <c r="J48" s="23">
        <v>0</v>
      </c>
      <c r="K48" s="23">
        <v>0</v>
      </c>
      <c r="X48" s="1"/>
      <c r="Z48" s="1" t="s">
        <v>50</v>
      </c>
    </row>
    <row r="49" spans="2:11">
      <c r="B49" s="61">
        <f t="shared" si="14"/>
        <v>9</v>
      </c>
      <c r="C49" s="24">
        <f>EXP(-'CDS-MC'!HazardRate*B49)</f>
        <v>0.91393118527122819</v>
      </c>
      <c r="D49" s="57" t="e">
        <f t="shared" ca="1" si="15"/>
        <v>#N/A</v>
      </c>
      <c r="E49" s="62">
        <v>37</v>
      </c>
      <c r="F49" s="43">
        <v>0.54632900559987785</v>
      </c>
      <c r="G49" s="61">
        <v>10.330454545273751</v>
      </c>
      <c r="H49" s="23">
        <v>-28580.704712968371</v>
      </c>
      <c r="I49" s="23">
        <v>-28580.704712968371</v>
      </c>
      <c r="J49" s="23">
        <v>0</v>
      </c>
      <c r="K49" s="23">
        <v>0</v>
      </c>
    </row>
    <row r="50" spans="2:11">
      <c r="B50" s="61">
        <f t="shared" si="14"/>
        <v>9.25</v>
      </c>
      <c r="C50" s="24">
        <f>EXP(-'CDS-MC'!HazardRate*B50)</f>
        <v>0.91164921096446172</v>
      </c>
      <c r="D50" s="57" t="e">
        <f t="shared" ca="1" si="15"/>
        <v>#N/A</v>
      </c>
      <c r="E50" s="62">
        <v>38</v>
      </c>
      <c r="F50" s="43">
        <v>0.45367099440012215</v>
      </c>
      <c r="G50" s="61">
        <v>79.038302558772955</v>
      </c>
      <c r="H50" s="23">
        <v>-28580.704712968371</v>
      </c>
      <c r="I50" s="23">
        <v>-28580.704712968371</v>
      </c>
      <c r="J50" s="23">
        <v>0</v>
      </c>
      <c r="K50" s="23">
        <v>0</v>
      </c>
    </row>
    <row r="51" spans="2:11">
      <c r="B51" s="61">
        <f t="shared" si="14"/>
        <v>9.5</v>
      </c>
      <c r="C51" s="24">
        <f>EXP(-'CDS-MC'!HazardRate*B51)</f>
        <v>0.90937293446823142</v>
      </c>
      <c r="D51" s="57" t="e">
        <f t="shared" ca="1" si="15"/>
        <v>#N/A</v>
      </c>
      <c r="E51" s="62">
        <v>39</v>
      </c>
      <c r="F51" s="43">
        <v>0.64526598131880797</v>
      </c>
      <c r="G51" s="61">
        <v>46.289168553399293</v>
      </c>
      <c r="H51" s="23">
        <v>-28580.704712968371</v>
      </c>
      <c r="I51" s="23">
        <v>-28580.704712968371</v>
      </c>
      <c r="J51" s="23">
        <v>0</v>
      </c>
      <c r="K51" s="23">
        <v>0</v>
      </c>
    </row>
    <row r="52" spans="2:11">
      <c r="B52" s="61">
        <f t="shared" si="14"/>
        <v>9.75</v>
      </c>
      <c r="C52" s="24">
        <f>EXP(-'CDS-MC'!HazardRate*B52)</f>
        <v>0.90710234155580172</v>
      </c>
      <c r="D52" s="57" t="e">
        <f t="shared" ca="1" si="15"/>
        <v>#N/A</v>
      </c>
      <c r="E52" s="62">
        <v>40</v>
      </c>
      <c r="F52" s="43">
        <v>0.35473401868119203</v>
      </c>
      <c r="G52" s="61">
        <v>103.63870134812217</v>
      </c>
      <c r="H52" s="23">
        <v>-28580.704712968371</v>
      </c>
      <c r="I52" s="23">
        <v>-28580.704712968371</v>
      </c>
      <c r="J52" s="23">
        <v>0</v>
      </c>
      <c r="K52" s="23">
        <v>0</v>
      </c>
    </row>
    <row r="53" spans="2:11">
      <c r="B53" s="61">
        <f t="shared" si="14"/>
        <v>10</v>
      </c>
      <c r="C53" s="24">
        <f>EXP(-'CDS-MC'!HazardRate*B53)</f>
        <v>0.90483741803595952</v>
      </c>
      <c r="D53" s="57" t="e">
        <f t="shared" ca="1" si="15"/>
        <v>#N/A</v>
      </c>
      <c r="E53" s="62">
        <v>41</v>
      </c>
      <c r="F53" s="43">
        <v>0.62114894354323547</v>
      </c>
      <c r="G53" s="61">
        <v>262.96317110165012</v>
      </c>
      <c r="H53" s="23">
        <v>-28580.704712968371</v>
      </c>
      <c r="I53" s="23">
        <v>-28580.704712968371</v>
      </c>
      <c r="J53" s="23">
        <v>0</v>
      </c>
      <c r="K53" s="23">
        <v>0</v>
      </c>
    </row>
    <row r="54" spans="2:11">
      <c r="B54" s="61">
        <f t="shared" si="14"/>
        <v>10.25</v>
      </c>
      <c r="C54" s="24">
        <f>EXP(-'CDS-MC'!HazardRate*B54)</f>
        <v>0.90257814975292561</v>
      </c>
      <c r="D54" s="57" t="e">
        <f t="shared" ca="1" si="15"/>
        <v>#N/A</v>
      </c>
      <c r="E54" s="62">
        <v>42</v>
      </c>
      <c r="F54" s="43">
        <v>0.37885105645676453</v>
      </c>
      <c r="G54" s="61">
        <v>97.061214202011286</v>
      </c>
      <c r="H54" s="23">
        <v>-28580.704712968371</v>
      </c>
      <c r="I54" s="23">
        <v>-28580.704712968371</v>
      </c>
      <c r="J54" s="23">
        <v>0</v>
      </c>
      <c r="K54" s="23">
        <v>0</v>
      </c>
    </row>
    <row r="55" spans="2:11">
      <c r="B55" s="61">
        <f t="shared" si="14"/>
        <v>10.5</v>
      </c>
      <c r="C55" s="24">
        <f>EXP(-'CDS-MC'!HazardRate*B55)</f>
        <v>0.90032452258626561</v>
      </c>
      <c r="D55" s="57" t="e">
        <f t="shared" ca="1" si="15"/>
        <v>#N/A</v>
      </c>
      <c r="E55" s="62">
        <v>43</v>
      </c>
      <c r="F55" s="43">
        <v>0.10879328021711021</v>
      </c>
      <c r="G55" s="61">
        <v>125.8803038911669</v>
      </c>
      <c r="H55" s="23">
        <v>-28580.704712968371</v>
      </c>
      <c r="I55" s="23">
        <v>-28580.704712968371</v>
      </c>
      <c r="J55" s="23">
        <v>0</v>
      </c>
      <c r="K55" s="23">
        <v>0</v>
      </c>
    </row>
    <row r="56" spans="2:11">
      <c r="B56" s="61">
        <f t="shared" si="14"/>
        <v>10.75</v>
      </c>
      <c r="C56" s="24">
        <f>EXP(-'CDS-MC'!HazardRate*B56)</f>
        <v>0.89807652245080261</v>
      </c>
      <c r="D56" s="57" t="e">
        <f t="shared" ca="1" si="15"/>
        <v>#N/A</v>
      </c>
      <c r="E56" s="62">
        <v>44</v>
      </c>
      <c r="F56" s="43">
        <v>0.89120671978288979</v>
      </c>
      <c r="G56" s="61">
        <v>11.517886968618679</v>
      </c>
      <c r="H56" s="23">
        <v>-28580.704712968371</v>
      </c>
      <c r="I56" s="23">
        <v>-28580.704712968371</v>
      </c>
      <c r="J56" s="23">
        <v>0</v>
      </c>
      <c r="K56" s="23">
        <v>0</v>
      </c>
    </row>
    <row r="57" spans="2:11">
      <c r="B57" s="61">
        <f t="shared" si="14"/>
        <v>11</v>
      </c>
      <c r="C57" s="24">
        <f>EXP(-'CDS-MC'!HazardRate*B57)</f>
        <v>0.89583413529652822</v>
      </c>
      <c r="D57" s="57" t="e">
        <f t="shared" ca="1" si="15"/>
        <v>#N/A</v>
      </c>
      <c r="E57" s="62">
        <v>45</v>
      </c>
      <c r="F57" s="43">
        <v>0.31894128104069963</v>
      </c>
      <c r="G57" s="61">
        <v>106.83496103880228</v>
      </c>
      <c r="H57" s="23">
        <v>-28580.704712968371</v>
      </c>
      <c r="I57" s="23">
        <v>-28580.704712968371</v>
      </c>
      <c r="J57" s="23">
        <v>0</v>
      </c>
      <c r="K57" s="23">
        <v>0</v>
      </c>
    </row>
    <row r="58" spans="2:11">
      <c r="B58" s="61">
        <f t="shared" si="14"/>
        <v>11.25</v>
      </c>
      <c r="C58" s="24">
        <f>EXP(-'CDS-MC'!HazardRate*B58)</f>
        <v>0.89359734710851568</v>
      </c>
      <c r="D58" s="57" t="e">
        <f t="shared" ca="1" si="15"/>
        <v>#N/A</v>
      </c>
      <c r="E58" s="62">
        <v>46</v>
      </c>
      <c r="F58" s="43">
        <v>0.68105871895930037</v>
      </c>
      <c r="G58" s="61">
        <v>38.410675193991366</v>
      </c>
      <c r="H58" s="23">
        <v>-28580.704712968371</v>
      </c>
      <c r="I58" s="23">
        <v>-28580.704712968371</v>
      </c>
      <c r="J58" s="23">
        <v>0</v>
      </c>
      <c r="K58" s="23">
        <v>0</v>
      </c>
    </row>
    <row r="59" spans="2:11">
      <c r="B59" s="61">
        <f t="shared" si="14"/>
        <v>11.5</v>
      </c>
      <c r="C59" s="24">
        <f>EXP(-'CDS-MC'!HazardRate*B59)</f>
        <v>0.89136614390683133</v>
      </c>
      <c r="D59" s="57" t="e">
        <f t="shared" ca="1" si="15"/>
        <v>#N/A</v>
      </c>
      <c r="E59" s="62">
        <v>47</v>
      </c>
      <c r="F59" s="43">
        <v>0.68200015329346309</v>
      </c>
      <c r="G59" s="61">
        <v>73.157450598195169</v>
      </c>
      <c r="H59" s="23">
        <v>-28580.704712968371</v>
      </c>
      <c r="I59" s="23">
        <v>-28580.704712968371</v>
      </c>
      <c r="J59" s="23">
        <v>0</v>
      </c>
      <c r="K59" s="23">
        <v>0</v>
      </c>
    </row>
    <row r="60" spans="2:11">
      <c r="B60" s="61">
        <f t="shared" si="14"/>
        <v>11.75</v>
      </c>
      <c r="C60" s="24">
        <f>EXP(-'CDS-MC'!HazardRate*B60)</f>
        <v>0.88914051174644804</v>
      </c>
      <c r="D60" s="57" t="e">
        <f t="shared" ca="1" si="15"/>
        <v>#N/A</v>
      </c>
      <c r="E60" s="62">
        <v>48</v>
      </c>
      <c r="F60" s="43">
        <v>0.31799984670653691</v>
      </c>
      <c r="G60" s="61">
        <v>114.57043782569917</v>
      </c>
      <c r="H60" s="23">
        <v>-28580.704712968371</v>
      </c>
      <c r="I60" s="23">
        <v>-28580.704712968371</v>
      </c>
      <c r="J60" s="23">
        <v>0</v>
      </c>
      <c r="K60" s="23">
        <v>0</v>
      </c>
    </row>
    <row r="61" spans="2:11">
      <c r="B61" s="61">
        <f t="shared" si="14"/>
        <v>12</v>
      </c>
      <c r="C61" s="24">
        <f>EXP(-'CDS-MC'!HazardRate*B61)</f>
        <v>0.88692043671715748</v>
      </c>
      <c r="D61" s="57" t="e">
        <f t="shared" ca="1" si="15"/>
        <v>#N/A</v>
      </c>
      <c r="E61" s="62">
        <v>49</v>
      </c>
      <c r="F61" s="43">
        <v>0.50281961877768599</v>
      </c>
      <c r="G61" s="61">
        <v>92.615623269993876</v>
      </c>
      <c r="H61" s="23">
        <v>-28580.704712968371</v>
      </c>
      <c r="I61" s="23">
        <v>-28580.704712968371</v>
      </c>
      <c r="J61" s="23">
        <v>0</v>
      </c>
      <c r="K61" s="23">
        <v>0</v>
      </c>
    </row>
    <row r="62" spans="2:11">
      <c r="B62" s="61">
        <f t="shared" si="14"/>
        <v>12.25</v>
      </c>
      <c r="C62" s="24">
        <f>EXP(-'CDS-MC'!HazardRate*B62)</f>
        <v>0.88470590494348356</v>
      </c>
      <c r="D62" s="57" t="e">
        <f t="shared" ca="1" si="15"/>
        <v>#N/A</v>
      </c>
      <c r="E62" s="62">
        <v>50</v>
      </c>
      <c r="F62" s="43">
        <v>0.49718038122231401</v>
      </c>
      <c r="G62" s="61">
        <v>69.880237864719035</v>
      </c>
      <c r="H62" s="23">
        <v>-28580.704712968371</v>
      </c>
      <c r="I62" s="23">
        <v>-28580.704712968371</v>
      </c>
      <c r="J62" s="23">
        <v>0</v>
      </c>
      <c r="K62" s="23">
        <v>0</v>
      </c>
    </row>
    <row r="63" spans="2:11">
      <c r="B63" s="61">
        <f t="shared" si="14"/>
        <v>12.5</v>
      </c>
      <c r="C63" s="24">
        <f>EXP(-'CDS-MC'!HazardRate*B63)</f>
        <v>0.88249690258459546</v>
      </c>
      <c r="D63" s="57" t="e">
        <f t="shared" ca="1" si="15"/>
        <v>#N/A</v>
      </c>
      <c r="E63" s="62">
        <v>51</v>
      </c>
      <c r="F63" s="43">
        <v>0.35545519712150164</v>
      </c>
      <c r="G63" s="61">
        <v>256.71687252725974</v>
      </c>
      <c r="H63" s="23">
        <v>-28580.704712968371</v>
      </c>
      <c r="I63" s="23">
        <v>-28580.704712968371</v>
      </c>
      <c r="J63" s="23">
        <v>0</v>
      </c>
      <c r="K63" s="23">
        <v>0</v>
      </c>
    </row>
    <row r="64" spans="2:11">
      <c r="B64" s="61">
        <f t="shared" si="14"/>
        <v>12.75</v>
      </c>
      <c r="C64" s="24">
        <f>EXP(-'CDS-MC'!HazardRate*B64)</f>
        <v>0.88029341583422116</v>
      </c>
      <c r="D64" s="57" t="e">
        <f t="shared" ca="1" si="15"/>
        <v>#N/A</v>
      </c>
      <c r="E64" s="62">
        <v>52</v>
      </c>
      <c r="F64" s="43">
        <v>0.64454480287849836</v>
      </c>
      <c r="G64" s="61">
        <v>43.921094330371972</v>
      </c>
      <c r="H64" s="23">
        <v>-28580.704712968371</v>
      </c>
      <c r="I64" s="23">
        <v>-28580.704712968371</v>
      </c>
      <c r="J64" s="23">
        <v>0</v>
      </c>
      <c r="K64" s="23">
        <v>0</v>
      </c>
    </row>
    <row r="65" spans="2:11">
      <c r="B65" s="61">
        <f t="shared" si="14"/>
        <v>13</v>
      </c>
      <c r="C65" s="24">
        <f>EXP(-'CDS-MC'!HazardRate*B65)</f>
        <v>0.8780954309205613</v>
      </c>
      <c r="D65" s="57" t="e">
        <f t="shared" ca="1" si="15"/>
        <v>#N/A</v>
      </c>
      <c r="E65" s="62">
        <v>53</v>
      </c>
      <c r="F65" s="43">
        <v>0.65581962686610795</v>
      </c>
      <c r="G65" s="61">
        <v>4.4847523273595709</v>
      </c>
      <c r="H65" s="23">
        <v>526673.30261766259</v>
      </c>
      <c r="I65" s="23">
        <v>-24461.19314749799</v>
      </c>
      <c r="J65" s="23">
        <v>-689.78034513787316</v>
      </c>
      <c r="K65" s="23">
        <v>551824.27611029847</v>
      </c>
    </row>
    <row r="66" spans="2:11">
      <c r="B66" s="61">
        <f t="shared" si="14"/>
        <v>13.25</v>
      </c>
      <c r="C66" s="24">
        <f>EXP(-'CDS-MC'!HazardRate*B66)</f>
        <v>0.87590293410620312</v>
      </c>
      <c r="D66" s="57" t="e">
        <f t="shared" ca="1" si="15"/>
        <v>#N/A</v>
      </c>
      <c r="E66" s="62">
        <v>54</v>
      </c>
      <c r="F66" s="43">
        <v>0.34418037313389205</v>
      </c>
      <c r="G66" s="61">
        <v>106.65894185216875</v>
      </c>
      <c r="H66" s="23">
        <v>-28580.704712968371</v>
      </c>
      <c r="I66" s="23">
        <v>-28580.704712968371</v>
      </c>
      <c r="J66" s="23">
        <v>0</v>
      </c>
      <c r="K66" s="23">
        <v>0</v>
      </c>
    </row>
    <row r="67" spans="2:11">
      <c r="B67" s="61">
        <f t="shared" si="14"/>
        <v>13.5</v>
      </c>
      <c r="C67" s="24">
        <f>EXP(-'CDS-MC'!HazardRate*B67)</f>
        <v>0.87371591168803442</v>
      </c>
      <c r="D67" s="57" t="e">
        <f t="shared" ca="1" si="15"/>
        <v>#N/A</v>
      </c>
      <c r="E67" s="62">
        <v>55</v>
      </c>
      <c r="F67" s="43">
        <v>0.8779058813192222</v>
      </c>
      <c r="G67" s="61">
        <v>10.670226372796135</v>
      </c>
      <c r="H67" s="23">
        <v>-28580.704712968371</v>
      </c>
      <c r="I67" s="23">
        <v>-28580.704712968371</v>
      </c>
      <c r="J67" s="23">
        <v>0</v>
      </c>
      <c r="K67" s="23">
        <v>0</v>
      </c>
    </row>
    <row r="68" spans="2:11">
      <c r="B68" s="61">
        <f t="shared" si="14"/>
        <v>13.75</v>
      </c>
      <c r="C68" s="24">
        <f>EXP(-'CDS-MC'!HazardRate*B68)</f>
        <v>0.87153434999715784</v>
      </c>
      <c r="D68" s="57" t="e">
        <f t="shared" ca="1" si="15"/>
        <v>#N/A</v>
      </c>
      <c r="E68" s="62">
        <v>56</v>
      </c>
      <c r="F68" s="43">
        <v>0.1220941186807778</v>
      </c>
      <c r="G68" s="61">
        <v>210.29630670781941</v>
      </c>
      <c r="H68" s="23">
        <v>-28580.704712968371</v>
      </c>
      <c r="I68" s="23">
        <v>-28580.704712968371</v>
      </c>
      <c r="J68" s="23">
        <v>0</v>
      </c>
      <c r="K68" s="23">
        <v>0</v>
      </c>
    </row>
    <row r="69" spans="2:11">
      <c r="B69" s="61">
        <f t="shared" si="14"/>
        <v>14</v>
      </c>
      <c r="C69" s="24">
        <f>EXP(-'CDS-MC'!HazardRate*B69)</f>
        <v>0.86935823539880586</v>
      </c>
      <c r="D69" s="57" t="e">
        <f t="shared" ca="1" si="15"/>
        <v>#N/A</v>
      </c>
      <c r="E69" s="62">
        <v>57</v>
      </c>
      <c r="F69" s="43">
        <v>0.46275107981800279</v>
      </c>
      <c r="G69" s="61">
        <v>13.950444000027831</v>
      </c>
      <c r="H69" s="23">
        <v>-28580.704712968371</v>
      </c>
      <c r="I69" s="23">
        <v>-28580.704712968371</v>
      </c>
      <c r="J69" s="23">
        <v>0</v>
      </c>
      <c r="K69" s="23">
        <v>0</v>
      </c>
    </row>
    <row r="70" spans="2:11">
      <c r="B70" s="61">
        <f t="shared" si="14"/>
        <v>14.25</v>
      </c>
      <c r="C70" s="24">
        <f>EXP(-'CDS-MC'!HazardRate*B70)</f>
        <v>0.86718755429225491</v>
      </c>
      <c r="D70" s="57" t="e">
        <f t="shared" ca="1" si="15"/>
        <v>#N/A</v>
      </c>
      <c r="E70" s="62">
        <v>58</v>
      </c>
      <c r="F70" s="43">
        <v>0.53724892018199721</v>
      </c>
      <c r="G70" s="61">
        <v>62.129375336009971</v>
      </c>
      <c r="H70" s="23">
        <v>-28580.704712968371</v>
      </c>
      <c r="I70" s="23">
        <v>-28580.704712968371</v>
      </c>
      <c r="J70" s="23">
        <v>0</v>
      </c>
      <c r="K70" s="23">
        <v>0</v>
      </c>
    </row>
    <row r="71" spans="2:11">
      <c r="B71" s="61">
        <f t="shared" si="14"/>
        <v>14.5</v>
      </c>
      <c r="C71" s="24">
        <f>EXP(-'CDS-MC'!HazardRate*B71)</f>
        <v>0.8650222931107413</v>
      </c>
      <c r="D71" s="57" t="e">
        <f t="shared" ca="1" si="15"/>
        <v>#N/A</v>
      </c>
      <c r="E71" s="62">
        <v>59</v>
      </c>
      <c r="F71" s="43">
        <v>0.38566231831185493</v>
      </c>
      <c r="G71" s="61">
        <v>155.98751373207554</v>
      </c>
      <c r="H71" s="23">
        <v>-28580.704712968371</v>
      </c>
      <c r="I71" s="23">
        <v>-28580.704712968371</v>
      </c>
      <c r="J71" s="23">
        <v>0</v>
      </c>
      <c r="K71" s="23">
        <v>0</v>
      </c>
    </row>
    <row r="72" spans="2:11">
      <c r="B72" s="61">
        <f t="shared" si="14"/>
        <v>14.75</v>
      </c>
      <c r="C72" s="24">
        <f>EXP(-'CDS-MC'!HazardRate*B72)</f>
        <v>0.86286243832137544</v>
      </c>
      <c r="D72" s="57" t="e">
        <f t="shared" ca="1" si="15"/>
        <v>#N/A</v>
      </c>
      <c r="E72" s="62">
        <v>60</v>
      </c>
      <c r="F72" s="43">
        <v>0.61433768168814507</v>
      </c>
      <c r="G72" s="61">
        <v>48.72105318370334</v>
      </c>
      <c r="H72" s="23">
        <v>-28580.704712968371</v>
      </c>
      <c r="I72" s="23">
        <v>-28580.704712968371</v>
      </c>
      <c r="J72" s="23">
        <v>0</v>
      </c>
      <c r="K72" s="23">
        <v>0</v>
      </c>
    </row>
    <row r="73" spans="2:11">
      <c r="B73" s="61">
        <f t="shared" si="14"/>
        <v>15</v>
      </c>
      <c r="C73" s="24">
        <f>EXP(-'CDS-MC'!HazardRate*B73)</f>
        <v>0.86070797642505781</v>
      </c>
      <c r="D73" s="57" t="e">
        <f t="shared" ca="1" si="15"/>
        <v>#N/A</v>
      </c>
      <c r="E73" s="62">
        <v>61</v>
      </c>
      <c r="F73" s="43">
        <v>0.87320696703636669</v>
      </c>
      <c r="G73" s="61">
        <v>42.306390487424963</v>
      </c>
      <c r="H73" s="23">
        <v>-28580.704712968371</v>
      </c>
      <c r="I73" s="23">
        <v>-28580.704712968371</v>
      </c>
      <c r="J73" s="23">
        <v>0</v>
      </c>
      <c r="K73" s="23">
        <v>0</v>
      </c>
    </row>
    <row r="74" spans="2:11">
      <c r="B74" s="61">
        <f t="shared" si="14"/>
        <v>15.25</v>
      </c>
      <c r="C74" s="24">
        <f>EXP(-'CDS-MC'!HazardRate*B74)</f>
        <v>0.85855889395639462</v>
      </c>
      <c r="D74" s="57" t="e">
        <f t="shared" ca="1" si="15"/>
        <v>#N/A</v>
      </c>
      <c r="E74" s="62">
        <v>62</v>
      </c>
      <c r="F74" s="43">
        <v>0.12679303296363331</v>
      </c>
      <c r="G74" s="61">
        <v>206.51991835703041</v>
      </c>
      <c r="H74" s="23">
        <v>-28580.704712968371</v>
      </c>
      <c r="I74" s="23">
        <v>-28580.704712968371</v>
      </c>
      <c r="J74" s="23">
        <v>0</v>
      </c>
      <c r="K74" s="23">
        <v>0</v>
      </c>
    </row>
    <row r="75" spans="2:11">
      <c r="B75" s="61">
        <f t="shared" si="14"/>
        <v>15.5</v>
      </c>
      <c r="C75" s="24">
        <f>EXP(-'CDS-MC'!HazardRate*B75)</f>
        <v>0.85641517748361351</v>
      </c>
      <c r="D75" s="57" t="e">
        <f t="shared" ca="1" si="15"/>
        <v>#N/A</v>
      </c>
      <c r="E75" s="62">
        <v>63</v>
      </c>
      <c r="F75" s="43">
        <v>0.90310846915533749</v>
      </c>
      <c r="G75" s="61">
        <v>51.170589050830486</v>
      </c>
      <c r="H75" s="23">
        <v>-28580.704712968371</v>
      </c>
      <c r="I75" s="23">
        <v>-28580.704712968371</v>
      </c>
      <c r="J75" s="23">
        <v>0</v>
      </c>
      <c r="K75" s="23">
        <v>0</v>
      </c>
    </row>
    <row r="76" spans="2:11">
      <c r="B76" s="61">
        <f t="shared" si="14"/>
        <v>15.75</v>
      </c>
      <c r="C76" s="24">
        <f>EXP(-'CDS-MC'!HazardRate*B76)</f>
        <v>0.85427681360847951</v>
      </c>
      <c r="D76" s="57" t="e">
        <f t="shared" ca="1" si="15"/>
        <v>#N/A</v>
      </c>
      <c r="E76" s="62">
        <v>64</v>
      </c>
      <c r="F76" s="43">
        <v>9.689153084466251E-2</v>
      </c>
      <c r="G76" s="61">
        <v>233.41631648889799</v>
      </c>
      <c r="H76" s="23">
        <v>-28580.704712968371</v>
      </c>
      <c r="I76" s="23">
        <v>-28580.704712968371</v>
      </c>
      <c r="J76" s="23">
        <v>0</v>
      </c>
      <c r="K76" s="23">
        <v>0</v>
      </c>
    </row>
    <row r="77" spans="2:11">
      <c r="B77" s="61">
        <f t="shared" si="14"/>
        <v>16</v>
      </c>
      <c r="C77" s="24">
        <f>EXP(-'CDS-MC'!HazardRate*B77)</f>
        <v>0.85214378896621135</v>
      </c>
      <c r="D77" s="57" t="e">
        <f t="shared" ca="1" si="15"/>
        <v>#N/A</v>
      </c>
      <c r="E77" s="62">
        <v>65</v>
      </c>
      <c r="F77" s="43">
        <v>0.91820205948957534</v>
      </c>
      <c r="G77" s="61">
        <v>5.7417680402635325</v>
      </c>
      <c r="H77" s="23">
        <v>-28580.704712968371</v>
      </c>
      <c r="I77" s="23">
        <v>-28580.704712968371</v>
      </c>
      <c r="J77" s="23">
        <v>0</v>
      </c>
      <c r="K77" s="23">
        <v>0</v>
      </c>
    </row>
    <row r="78" spans="2:11">
      <c r="B78" s="61">
        <f t="shared" ref="B78:B109" si="16">B77+0.25</f>
        <v>16.25</v>
      </c>
      <c r="C78" s="24">
        <f>EXP(-'CDS-MC'!HazardRate*B78)</f>
        <v>0.85001609022539815</v>
      </c>
      <c r="D78" s="57" t="e">
        <f t="shared" ref="D78:D109" ca="1" si="17">IF(AND(DefaultTime&lt;=B78,DefaultTime&gt;B77),C78,NA())</f>
        <v>#N/A</v>
      </c>
      <c r="E78" s="62">
        <v>66</v>
      </c>
      <c r="F78" s="43">
        <v>8.179794051042466E-2</v>
      </c>
      <c r="G78" s="61">
        <v>250.35032128245578</v>
      </c>
      <c r="H78" s="23">
        <v>-28580.704712968371</v>
      </c>
      <c r="I78" s="23">
        <v>-28580.704712968371</v>
      </c>
      <c r="J78" s="23">
        <v>0</v>
      </c>
      <c r="K78" s="23">
        <v>0</v>
      </c>
    </row>
    <row r="79" spans="2:11">
      <c r="B79" s="61">
        <f t="shared" si="16"/>
        <v>16.5</v>
      </c>
      <c r="C79" s="24">
        <f>EXP(-'CDS-MC'!HazardRate*B79)</f>
        <v>0.84789370408791587</v>
      </c>
      <c r="D79" s="57" t="e">
        <f t="shared" ca="1" si="17"/>
        <v>#N/A</v>
      </c>
      <c r="E79" s="62">
        <v>67</v>
      </c>
      <c r="F79" s="43">
        <v>0.62544037824407628</v>
      </c>
      <c r="G79" s="61">
        <v>79.627603612275024</v>
      </c>
      <c r="H79" s="23">
        <v>-28580.704712968371</v>
      </c>
      <c r="I79" s="23">
        <v>-28580.704712968371</v>
      </c>
      <c r="J79" s="23">
        <v>0</v>
      </c>
      <c r="K79" s="23">
        <v>0</v>
      </c>
    </row>
    <row r="80" spans="2:11">
      <c r="B80" s="61">
        <f t="shared" si="16"/>
        <v>16.75</v>
      </c>
      <c r="C80" s="24">
        <f>EXP(-'CDS-MC'!HazardRate*B80)</f>
        <v>0.84577661728884412</v>
      </c>
      <c r="D80" s="57" t="e">
        <f t="shared" ca="1" si="17"/>
        <v>#N/A</v>
      </c>
      <c r="E80" s="62">
        <v>68</v>
      </c>
      <c r="F80" s="43">
        <v>0.37455962175592372</v>
      </c>
      <c r="G80" s="61">
        <v>98.200428507579034</v>
      </c>
      <c r="H80" s="23">
        <v>-28580.704712968371</v>
      </c>
      <c r="I80" s="23">
        <v>-28580.704712968371</v>
      </c>
      <c r="J80" s="23">
        <v>0</v>
      </c>
      <c r="K80" s="23">
        <v>0</v>
      </c>
    </row>
    <row r="81" spans="2:11">
      <c r="B81" s="61">
        <f t="shared" si="16"/>
        <v>17</v>
      </c>
      <c r="C81" s="24">
        <f>EXP(-'CDS-MC'!HazardRate*B81)</f>
        <v>0.8436648165963837</v>
      </c>
      <c r="D81" s="57" t="e">
        <f t="shared" ca="1" si="17"/>
        <v>#N/A</v>
      </c>
      <c r="E81" s="62">
        <v>69</v>
      </c>
      <c r="F81" s="43">
        <v>0.87173551992441289</v>
      </c>
      <c r="G81" s="61">
        <v>106.88211942294579</v>
      </c>
      <c r="H81" s="23">
        <v>-28580.704712968371</v>
      </c>
      <c r="I81" s="23">
        <v>-28580.704712968371</v>
      </c>
      <c r="J81" s="23">
        <v>0</v>
      </c>
      <c r="K81" s="23">
        <v>0</v>
      </c>
    </row>
    <row r="82" spans="2:11">
      <c r="B82" s="61">
        <f t="shared" si="16"/>
        <v>17.25</v>
      </c>
      <c r="C82" s="24">
        <f>EXP(-'CDS-MC'!HazardRate*B82)</f>
        <v>0.84155828881177319</v>
      </c>
      <c r="D82" s="57" t="e">
        <f t="shared" ca="1" si="17"/>
        <v>#N/A</v>
      </c>
      <c r="E82" s="62">
        <v>70</v>
      </c>
      <c r="F82" s="43">
        <v>0.12826448007558711</v>
      </c>
      <c r="G82" s="61">
        <v>205.36608962317521</v>
      </c>
      <c r="H82" s="23">
        <v>-28580.704712968371</v>
      </c>
      <c r="I82" s="23">
        <v>-28580.704712968371</v>
      </c>
      <c r="J82" s="23">
        <v>0</v>
      </c>
      <c r="K82" s="23">
        <v>0</v>
      </c>
    </row>
    <row r="83" spans="2:11">
      <c r="B83" s="61">
        <f t="shared" si="16"/>
        <v>17.5</v>
      </c>
      <c r="C83" s="24">
        <f>EXP(-'CDS-MC'!HazardRate*B83)</f>
        <v>0.83945702076920736</v>
      </c>
      <c r="D83" s="57" t="e">
        <f t="shared" ca="1" si="17"/>
        <v>#N/A</v>
      </c>
      <c r="E83" s="62">
        <v>71</v>
      </c>
      <c r="F83" s="43">
        <v>0.12775540019459408</v>
      </c>
      <c r="G83" s="61">
        <v>37.238608633330564</v>
      </c>
      <c r="H83" s="23">
        <v>-28580.704712968371</v>
      </c>
      <c r="I83" s="23">
        <v>-28580.704712968371</v>
      </c>
      <c r="J83" s="23">
        <v>0</v>
      </c>
      <c r="K83" s="23">
        <v>0</v>
      </c>
    </row>
    <row r="84" spans="2:11">
      <c r="B84" s="61">
        <f t="shared" si="16"/>
        <v>17.75</v>
      </c>
      <c r="C84" s="24">
        <f>EXP(-'CDS-MC'!HazardRate*B84)</f>
        <v>0.83736099933575392</v>
      </c>
      <c r="D84" s="57" t="e">
        <f t="shared" ca="1" si="17"/>
        <v>#N/A</v>
      </c>
      <c r="E84" s="62">
        <v>72</v>
      </c>
      <c r="F84" s="43">
        <v>0.87224459980540592</v>
      </c>
      <c r="G84" s="61">
        <v>13.668539004315353</v>
      </c>
      <c r="H84" s="23">
        <v>-28580.704712968371</v>
      </c>
      <c r="I84" s="23">
        <v>-28580.704712968371</v>
      </c>
      <c r="J84" s="23">
        <v>0</v>
      </c>
      <c r="K84" s="23">
        <v>0</v>
      </c>
    </row>
    <row r="85" spans="2:11">
      <c r="B85" s="61">
        <f t="shared" si="16"/>
        <v>18</v>
      </c>
      <c r="C85" s="24">
        <f>EXP(-'CDS-MC'!HazardRate*B85)</f>
        <v>0.835270211411272</v>
      </c>
      <c r="D85" s="57" t="e">
        <f t="shared" ca="1" si="17"/>
        <v>#N/A</v>
      </c>
      <c r="E85" s="62">
        <v>73</v>
      </c>
      <c r="F85" s="43">
        <v>0.97312861181186383</v>
      </c>
      <c r="G85" s="61">
        <v>72.714473277886768</v>
      </c>
      <c r="H85" s="23">
        <v>-28580.704712968371</v>
      </c>
      <c r="I85" s="23">
        <v>-28580.704712968371</v>
      </c>
      <c r="J85" s="23">
        <v>0</v>
      </c>
      <c r="K85" s="23">
        <v>0</v>
      </c>
    </row>
    <row r="86" spans="2:11">
      <c r="B86" s="61">
        <f t="shared" si="16"/>
        <v>18.25</v>
      </c>
      <c r="C86" s="24">
        <f>EXP(-'CDS-MC'!HazardRate*B86)</f>
        <v>0.83318464392833047</v>
      </c>
      <c r="D86" s="57" t="e">
        <f t="shared" ca="1" si="17"/>
        <v>#N/A</v>
      </c>
      <c r="E86" s="62">
        <v>74</v>
      </c>
      <c r="F86" s="43">
        <v>2.6871388188136169E-2</v>
      </c>
      <c r="G86" s="61">
        <v>361.66931945654432</v>
      </c>
      <c r="H86" s="23">
        <v>-28580.704712968371</v>
      </c>
      <c r="I86" s="23">
        <v>-28580.704712968371</v>
      </c>
      <c r="J86" s="23">
        <v>0</v>
      </c>
      <c r="K86" s="23">
        <v>0</v>
      </c>
    </row>
    <row r="87" spans="2:11">
      <c r="B87" s="61">
        <f t="shared" si="16"/>
        <v>18.5</v>
      </c>
      <c r="C87" s="24">
        <f>EXP(-'CDS-MC'!HazardRate*B87)</f>
        <v>0.83110428385212565</v>
      </c>
      <c r="D87" s="57" t="e">
        <f t="shared" ca="1" si="17"/>
        <v>#N/A</v>
      </c>
      <c r="E87" s="62">
        <v>75</v>
      </c>
      <c r="F87" s="43">
        <v>0.56958326030350825</v>
      </c>
      <c r="G87" s="61">
        <v>81.513344410690607</v>
      </c>
      <c r="H87" s="23">
        <v>-28580.704712968371</v>
      </c>
      <c r="I87" s="23">
        <v>-28580.704712968371</v>
      </c>
      <c r="J87" s="23">
        <v>0</v>
      </c>
      <c r="K87" s="23">
        <v>0</v>
      </c>
    </row>
    <row r="88" spans="2:11">
      <c r="B88" s="61">
        <f t="shared" si="16"/>
        <v>18.75</v>
      </c>
      <c r="C88" s="24">
        <f>EXP(-'CDS-MC'!HazardRate*B88)</f>
        <v>0.82902911818040037</v>
      </c>
      <c r="D88" s="57" t="e">
        <f t="shared" ca="1" si="17"/>
        <v>#N/A</v>
      </c>
      <c r="E88" s="62">
        <v>76</v>
      </c>
      <c r="F88" s="43">
        <v>0.43041673969649175</v>
      </c>
      <c r="G88" s="61">
        <v>84.300137754402158</v>
      </c>
      <c r="H88" s="23">
        <v>-28580.704712968371</v>
      </c>
      <c r="I88" s="23">
        <v>-28580.704712968371</v>
      </c>
      <c r="J88" s="23">
        <v>0</v>
      </c>
      <c r="K88" s="23">
        <v>0</v>
      </c>
    </row>
    <row r="89" spans="2:11">
      <c r="B89" s="61">
        <f t="shared" si="16"/>
        <v>19</v>
      </c>
      <c r="C89" s="24">
        <f>EXP(-'CDS-MC'!HazardRate*B89)</f>
        <v>0.82695913394336229</v>
      </c>
      <c r="D89" s="57" t="e">
        <f t="shared" ca="1" si="17"/>
        <v>#N/A</v>
      </c>
      <c r="E89" s="62">
        <v>77</v>
      </c>
      <c r="F89" s="43">
        <v>0.7221582704636853</v>
      </c>
      <c r="G89" s="61">
        <v>406.17902726139448</v>
      </c>
      <c r="H89" s="23">
        <v>-28580.704712968371</v>
      </c>
      <c r="I89" s="23">
        <v>-28580.704712968371</v>
      </c>
      <c r="J89" s="23">
        <v>0</v>
      </c>
      <c r="K89" s="23">
        <v>0</v>
      </c>
    </row>
    <row r="90" spans="2:11">
      <c r="B90" s="61">
        <f t="shared" si="16"/>
        <v>19.25</v>
      </c>
      <c r="C90" s="24">
        <f>EXP(-'CDS-MC'!HazardRate*B90)</f>
        <v>0.82489431820360337</v>
      </c>
      <c r="D90" s="57" t="e">
        <f t="shared" ca="1" si="17"/>
        <v>#N/A</v>
      </c>
      <c r="E90" s="62">
        <v>78</v>
      </c>
      <c r="F90" s="43">
        <v>0.2778417295363147</v>
      </c>
      <c r="G90" s="61">
        <v>128.0703645629346</v>
      </c>
      <c r="H90" s="23">
        <v>-28580.704712968371</v>
      </c>
      <c r="I90" s="23">
        <v>-28580.704712968371</v>
      </c>
      <c r="J90" s="23">
        <v>0</v>
      </c>
      <c r="K90" s="23">
        <v>0</v>
      </c>
    </row>
    <row r="91" spans="2:11">
      <c r="B91" s="61">
        <f t="shared" si="16"/>
        <v>19.5</v>
      </c>
      <c r="C91" s="24">
        <f>EXP(-'CDS-MC'!HazardRate*B91)</f>
        <v>0.82283465805601841</v>
      </c>
      <c r="D91" s="57">
        <f t="shared" ca="1" si="17"/>
        <v>0.82283465805601841</v>
      </c>
      <c r="E91" s="62">
        <v>79</v>
      </c>
      <c r="F91" s="43">
        <v>0.693508472648943</v>
      </c>
      <c r="G91" s="61">
        <v>215.65709020438905</v>
      </c>
      <c r="H91" s="23">
        <v>-28580.704712968371</v>
      </c>
      <c r="I91" s="23">
        <v>-28580.704712968371</v>
      </c>
      <c r="J91" s="23">
        <v>0</v>
      </c>
      <c r="K91" s="23">
        <v>0</v>
      </c>
    </row>
    <row r="92" spans="2:11">
      <c r="B92" s="61">
        <f t="shared" si="16"/>
        <v>19.75</v>
      </c>
      <c r="C92" s="24">
        <f>EXP(-'CDS-MC'!HazardRate*B92)</f>
        <v>0.82078014062772475</v>
      </c>
      <c r="D92" s="57" t="e">
        <f t="shared" ca="1" si="17"/>
        <v>#N/A</v>
      </c>
      <c r="E92" s="62">
        <v>80</v>
      </c>
      <c r="F92" s="43">
        <v>0.306491527351057</v>
      </c>
      <c r="G92" s="61">
        <v>118.25651672145196</v>
      </c>
      <c r="H92" s="23">
        <v>-28580.704712968371</v>
      </c>
      <c r="I92" s="23">
        <v>-28580.704712968371</v>
      </c>
      <c r="J92" s="23">
        <v>0</v>
      </c>
      <c r="K92" s="23">
        <v>0</v>
      </c>
    </row>
    <row r="93" spans="2:11">
      <c r="B93" s="61">
        <f t="shared" si="16"/>
        <v>20</v>
      </c>
      <c r="C93" s="24">
        <f>EXP(-'CDS-MC'!HazardRate*B93)</f>
        <v>0.81873075307798182</v>
      </c>
      <c r="D93" s="57" t="e">
        <f t="shared" ca="1" si="17"/>
        <v>#N/A</v>
      </c>
      <c r="E93" s="62">
        <v>81</v>
      </c>
      <c r="F93" s="43">
        <v>0.88814067281258169</v>
      </c>
      <c r="G93" s="61">
        <v>223.60628100321804</v>
      </c>
      <c r="H93" s="23">
        <v>-28580.704712968371</v>
      </c>
      <c r="I93" s="23">
        <v>-28580.704712968371</v>
      </c>
      <c r="J93" s="23">
        <v>0</v>
      </c>
      <c r="K93" s="23">
        <v>0</v>
      </c>
    </row>
    <row r="94" spans="2:11">
      <c r="B94" s="61">
        <f t="shared" si="16"/>
        <v>20.25</v>
      </c>
      <c r="C94" s="24">
        <f>EXP(-'CDS-MC'!HazardRate*B94)</f>
        <v>0.81668648259811083</v>
      </c>
      <c r="D94" s="57" t="e">
        <f t="shared" ca="1" si="17"/>
        <v>#N/A</v>
      </c>
      <c r="E94" s="62">
        <v>82</v>
      </c>
      <c r="F94" s="43">
        <v>0.11185932718741831</v>
      </c>
      <c r="G94" s="61">
        <v>219.05132043804446</v>
      </c>
      <c r="H94" s="23">
        <v>-28580.704712968371</v>
      </c>
      <c r="I94" s="23">
        <v>-28580.704712968371</v>
      </c>
      <c r="J94" s="23">
        <v>0</v>
      </c>
      <c r="K94" s="23">
        <v>0</v>
      </c>
    </row>
    <row r="95" spans="2:11">
      <c r="B95" s="61">
        <f t="shared" si="16"/>
        <v>20.5</v>
      </c>
      <c r="C95" s="24">
        <f>EXP(-'CDS-MC'!HazardRate*B95)</f>
        <v>0.81464731641141452</v>
      </c>
      <c r="D95" s="57" t="e">
        <f t="shared" ca="1" si="17"/>
        <v>#N/A</v>
      </c>
      <c r="E95" s="62">
        <v>83</v>
      </c>
      <c r="F95" s="43">
        <v>0.48109558407134767</v>
      </c>
      <c r="G95" s="61">
        <v>295.73049336979153</v>
      </c>
      <c r="H95" s="23">
        <v>-28580.704712968371</v>
      </c>
      <c r="I95" s="23">
        <v>-28580.704712968371</v>
      </c>
      <c r="J95" s="23">
        <v>0</v>
      </c>
      <c r="K95" s="23">
        <v>0</v>
      </c>
    </row>
    <row r="96" spans="2:11">
      <c r="B96" s="61">
        <f t="shared" si="16"/>
        <v>20.75</v>
      </c>
      <c r="C96" s="24">
        <f>EXP(-'CDS-MC'!HazardRate*B96)</f>
        <v>0.81261324177309768</v>
      </c>
      <c r="D96" s="57" t="e">
        <f t="shared" ca="1" si="17"/>
        <v>#N/A</v>
      </c>
      <c r="E96" s="62">
        <v>84</v>
      </c>
      <c r="F96" s="43">
        <v>0.51890441592865233</v>
      </c>
      <c r="G96" s="61">
        <v>65.603558247188062</v>
      </c>
      <c r="H96" s="23">
        <v>-28580.704712968371</v>
      </c>
      <c r="I96" s="23">
        <v>-28580.704712968371</v>
      </c>
      <c r="J96" s="23">
        <v>0</v>
      </c>
      <c r="K96" s="23">
        <v>0</v>
      </c>
    </row>
    <row r="97" spans="2:11">
      <c r="B97" s="61">
        <f t="shared" si="16"/>
        <v>21</v>
      </c>
      <c r="C97" s="24">
        <f>EXP(-'CDS-MC'!HazardRate*B97)</f>
        <v>0.81058424597018708</v>
      </c>
      <c r="D97" s="57" t="e">
        <f t="shared" ca="1" si="17"/>
        <v>#N/A</v>
      </c>
      <c r="E97" s="62">
        <v>85</v>
      </c>
      <c r="F97" s="43">
        <v>5.5601532497597583E-2</v>
      </c>
      <c r="G97" s="61">
        <v>0.88901080015558098</v>
      </c>
      <c r="H97" s="23">
        <v>583748.59242693754</v>
      </c>
      <c r="I97" s="23">
        <v>-4458.3761342045282</v>
      </c>
      <c r="J97" s="23">
        <v>-736.17893436938925</v>
      </c>
      <c r="K97" s="23">
        <v>588943.14749551145</v>
      </c>
    </row>
    <row r="98" spans="2:11">
      <c r="B98" s="61">
        <f t="shared" si="16"/>
        <v>21.25</v>
      </c>
      <c r="C98" s="24">
        <f>EXP(-'CDS-MC'!HazardRate*B98)</f>
        <v>0.80856031632145242</v>
      </c>
      <c r="D98" s="57" t="e">
        <f t="shared" ca="1" si="17"/>
        <v>#N/A</v>
      </c>
      <c r="E98" s="62">
        <v>86</v>
      </c>
      <c r="F98" s="43">
        <v>0.94439846750240242</v>
      </c>
      <c r="G98" s="61">
        <v>5.7207096492974232</v>
      </c>
      <c r="H98" s="23">
        <v>-28580.704712968371</v>
      </c>
      <c r="I98" s="23">
        <v>-28580.704712968371</v>
      </c>
      <c r="J98" s="23">
        <v>0</v>
      </c>
      <c r="K98" s="23">
        <v>0</v>
      </c>
    </row>
    <row r="99" spans="2:11">
      <c r="B99" s="61">
        <f t="shared" si="16"/>
        <v>21.5</v>
      </c>
      <c r="C99" s="24">
        <f>EXP(-'CDS-MC'!HazardRate*B99)</f>
        <v>0.80654144017732687</v>
      </c>
      <c r="D99" s="57" t="e">
        <f t="shared" ca="1" si="17"/>
        <v>#N/A</v>
      </c>
      <c r="E99" s="62">
        <v>87</v>
      </c>
      <c r="F99" s="43">
        <v>0.93822777703237448</v>
      </c>
      <c r="G99" s="61">
        <v>30.787425318789886</v>
      </c>
      <c r="H99" s="23">
        <v>-28580.704712968371</v>
      </c>
      <c r="I99" s="23">
        <v>-28580.704712968371</v>
      </c>
      <c r="J99" s="23">
        <v>0</v>
      </c>
      <c r="K99" s="23">
        <v>0</v>
      </c>
    </row>
    <row r="100" spans="2:11">
      <c r="B100" s="61">
        <f t="shared" si="16"/>
        <v>21.75</v>
      </c>
      <c r="C100" s="24">
        <f>EXP(-'CDS-MC'!HazardRate*B100)</f>
        <v>0.80452760491982789</v>
      </c>
      <c r="D100" s="57" t="e">
        <f t="shared" ca="1" si="17"/>
        <v>#N/A</v>
      </c>
      <c r="E100" s="62">
        <v>88</v>
      </c>
      <c r="F100" s="43">
        <v>6.1772222967625523E-2</v>
      </c>
      <c r="G100" s="61">
        <v>278.43014821021325</v>
      </c>
      <c r="H100" s="23">
        <v>-28580.704712968371</v>
      </c>
      <c r="I100" s="23">
        <v>-28580.704712968371</v>
      </c>
      <c r="J100" s="23">
        <v>0</v>
      </c>
      <c r="K100" s="23">
        <v>0</v>
      </c>
    </row>
    <row r="101" spans="2:11">
      <c r="B101" s="61">
        <f t="shared" si="16"/>
        <v>22</v>
      </c>
      <c r="C101" s="24">
        <f>EXP(-'CDS-MC'!HazardRate*B101)</f>
        <v>0.80251879796247849</v>
      </c>
      <c r="D101" s="57" t="e">
        <f t="shared" ca="1" si="17"/>
        <v>#N/A</v>
      </c>
      <c r="E101" s="62">
        <v>89</v>
      </c>
      <c r="F101" s="43">
        <v>0.9237524003875851</v>
      </c>
      <c r="G101" s="61">
        <v>18.857002039674175</v>
      </c>
      <c r="H101" s="23">
        <v>-28580.704712968371</v>
      </c>
      <c r="I101" s="23">
        <v>-28580.704712968371</v>
      </c>
      <c r="J101" s="23">
        <v>0</v>
      </c>
      <c r="K101" s="23">
        <v>0</v>
      </c>
    </row>
    <row r="102" spans="2:11">
      <c r="B102" s="61">
        <f t="shared" si="16"/>
        <v>22.25</v>
      </c>
      <c r="C102" s="24">
        <f>EXP(-'CDS-MC'!HazardRate*B102)</f>
        <v>0.8005150067502288</v>
      </c>
      <c r="D102" s="57" t="e">
        <f t="shared" ca="1" si="17"/>
        <v>#N/A</v>
      </c>
      <c r="E102" s="62">
        <v>90</v>
      </c>
      <c r="F102" s="43">
        <v>7.6247599612414896E-2</v>
      </c>
      <c r="G102" s="61">
        <v>257.37693444830569</v>
      </c>
      <c r="H102" s="23">
        <v>-28580.704712968371</v>
      </c>
      <c r="I102" s="23">
        <v>-28580.704712968371</v>
      </c>
      <c r="J102" s="23">
        <v>0</v>
      </c>
      <c r="K102" s="23">
        <v>0</v>
      </c>
    </row>
    <row r="103" spans="2:11">
      <c r="B103" s="61">
        <f t="shared" si="16"/>
        <v>22.5</v>
      </c>
      <c r="C103" s="24">
        <f>EXP(-'CDS-MC'!HazardRate*B103)</f>
        <v>0.79851621875937706</v>
      </c>
      <c r="D103" s="57" t="e">
        <f t="shared" ca="1" si="17"/>
        <v>#N/A</v>
      </c>
      <c r="E103" s="62">
        <v>91</v>
      </c>
      <c r="F103" s="43">
        <v>0.64174122060093275</v>
      </c>
      <c r="G103" s="61">
        <v>6.2912541431382767</v>
      </c>
      <c r="H103" s="23">
        <v>-28580.704712968371</v>
      </c>
      <c r="I103" s="23">
        <v>-28580.704712968371</v>
      </c>
      <c r="J103" s="23">
        <v>0</v>
      </c>
      <c r="K103" s="23">
        <v>0</v>
      </c>
    </row>
    <row r="104" spans="2:11">
      <c r="B104" s="61">
        <f t="shared" si="16"/>
        <v>22.75</v>
      </c>
      <c r="C104" s="24">
        <f>EXP(-'CDS-MC'!HazardRate*B104)</f>
        <v>0.79652242149749186</v>
      </c>
      <c r="D104" s="57" t="e">
        <f t="shared" ca="1" si="17"/>
        <v>#N/A</v>
      </c>
      <c r="E104" s="62">
        <v>92</v>
      </c>
      <c r="F104" s="43">
        <v>0.35825877939906725</v>
      </c>
      <c r="G104" s="61">
        <v>102.64997062264209</v>
      </c>
      <c r="H104" s="23">
        <v>-28580.704712968371</v>
      </c>
      <c r="I104" s="23">
        <v>-28580.704712968371</v>
      </c>
      <c r="J104" s="23">
        <v>0</v>
      </c>
      <c r="K104" s="23">
        <v>0</v>
      </c>
    </row>
    <row r="105" spans="2:11">
      <c r="B105" s="61">
        <f t="shared" si="16"/>
        <v>23</v>
      </c>
      <c r="C105" s="24">
        <f>EXP(-'CDS-MC'!HazardRate*B105)</f>
        <v>0.79453360250333405</v>
      </c>
      <c r="D105" s="57" t="e">
        <f t="shared" ca="1" si="17"/>
        <v>#N/A</v>
      </c>
      <c r="E105" s="62">
        <v>93</v>
      </c>
      <c r="F105" s="43">
        <v>0.794208623646252</v>
      </c>
      <c r="G105" s="61">
        <v>128.34592769366458</v>
      </c>
      <c r="H105" s="23">
        <v>-28580.704712968371</v>
      </c>
      <c r="I105" s="23">
        <v>-28580.704712968371</v>
      </c>
      <c r="J105" s="23">
        <v>0</v>
      </c>
      <c r="K105" s="23">
        <v>0</v>
      </c>
    </row>
    <row r="106" spans="2:11">
      <c r="B106" s="61">
        <f t="shared" si="16"/>
        <v>23.25</v>
      </c>
      <c r="C106" s="24">
        <f>EXP(-'CDS-MC'!HazardRate*B106)</f>
        <v>0.79254974934677813</v>
      </c>
      <c r="D106" s="57" t="e">
        <f t="shared" ca="1" si="17"/>
        <v>#N/A</v>
      </c>
      <c r="E106" s="62">
        <v>94</v>
      </c>
      <c r="F106" s="43">
        <v>0.205791376353748</v>
      </c>
      <c r="G106" s="61">
        <v>158.08923595031575</v>
      </c>
      <c r="H106" s="23">
        <v>-28580.704712968371</v>
      </c>
      <c r="I106" s="23">
        <v>-28580.704712968371</v>
      </c>
      <c r="J106" s="23">
        <v>0</v>
      </c>
      <c r="K106" s="23">
        <v>0</v>
      </c>
    </row>
    <row r="107" spans="2:11">
      <c r="B107" s="61">
        <f t="shared" si="16"/>
        <v>23.5</v>
      </c>
      <c r="C107" s="24">
        <f>EXP(-'CDS-MC'!HazardRate*B107)</f>
        <v>0.79057084962873558</v>
      </c>
      <c r="D107" s="57" t="e">
        <f t="shared" ca="1" si="17"/>
        <v>#N/A</v>
      </c>
      <c r="E107" s="62">
        <v>95</v>
      </c>
      <c r="F107" s="43">
        <v>0.20604755667850716</v>
      </c>
      <c r="G107" s="61">
        <v>10.129344456249319</v>
      </c>
      <c r="H107" s="23">
        <v>-28580.704712968371</v>
      </c>
      <c r="I107" s="23">
        <v>-28580.704712968371</v>
      </c>
      <c r="J107" s="23">
        <v>0</v>
      </c>
      <c r="K107" s="23">
        <v>0</v>
      </c>
    </row>
    <row r="108" spans="2:11">
      <c r="B108" s="61">
        <f t="shared" si="16"/>
        <v>23.75</v>
      </c>
      <c r="C108" s="24">
        <f>EXP(-'CDS-MC'!HazardRate*B108)</f>
        <v>0.78859689098107666</v>
      </c>
      <c r="D108" s="57" t="e">
        <f t="shared" ca="1" si="17"/>
        <v>#N/A</v>
      </c>
      <c r="E108" s="62">
        <v>96</v>
      </c>
      <c r="F108" s="43">
        <v>0.79395244332149284</v>
      </c>
      <c r="G108" s="61">
        <v>23.073171458987424</v>
      </c>
      <c r="H108" s="23">
        <v>-28580.704712968371</v>
      </c>
      <c r="I108" s="23">
        <v>-28580.704712968371</v>
      </c>
      <c r="J108" s="23">
        <v>0</v>
      </c>
      <c r="K108" s="23">
        <v>0</v>
      </c>
    </row>
    <row r="109" spans="2:11">
      <c r="B109" s="61">
        <f t="shared" si="16"/>
        <v>24</v>
      </c>
      <c r="C109" s="24">
        <f>EXP(-'CDS-MC'!HazardRate*B109)</f>
        <v>0.78662786106655347</v>
      </c>
      <c r="D109" s="57" t="e">
        <f t="shared" ca="1" si="17"/>
        <v>#N/A</v>
      </c>
      <c r="E109" s="62">
        <v>97</v>
      </c>
      <c r="F109" s="43">
        <v>0.55171096126633024</v>
      </c>
      <c r="G109" s="61">
        <v>33.591115599292664</v>
      </c>
      <c r="H109" s="23">
        <v>-28580.704712968371</v>
      </c>
      <c r="I109" s="23">
        <v>-28580.704712968371</v>
      </c>
      <c r="J109" s="23">
        <v>0</v>
      </c>
      <c r="K109" s="23">
        <v>0</v>
      </c>
    </row>
    <row r="110" spans="2:11">
      <c r="B110" s="61">
        <f t="shared" ref="B110:B133" si="18">B109+0.25</f>
        <v>24.25</v>
      </c>
      <c r="C110" s="24">
        <f>EXP(-'CDS-MC'!HazardRate*B110)</f>
        <v>0.78466374757872248</v>
      </c>
      <c r="D110" s="57" t="e">
        <f t="shared" ref="D110:D133" ca="1" si="19">IF(AND(DefaultTime&lt;=B110,DefaultTime&gt;B109),C110,NA())</f>
        <v>#N/A</v>
      </c>
      <c r="E110" s="62">
        <v>98</v>
      </c>
      <c r="F110" s="43">
        <v>0.44828903873366976</v>
      </c>
      <c r="G110" s="61">
        <v>80.231707885874897</v>
      </c>
      <c r="H110" s="23">
        <v>-28580.704712968371</v>
      </c>
      <c r="I110" s="23">
        <v>-28580.704712968371</v>
      </c>
      <c r="J110" s="23">
        <v>0</v>
      </c>
      <c r="K110" s="23">
        <v>0</v>
      </c>
    </row>
    <row r="111" spans="2:11">
      <c r="B111" s="61">
        <f t="shared" si="18"/>
        <v>24.5</v>
      </c>
      <c r="C111" s="24">
        <f>EXP(-'CDS-MC'!HazardRate*B111)</f>
        <v>0.78270453824186814</v>
      </c>
      <c r="D111" s="57" t="e">
        <f t="shared" ca="1" si="19"/>
        <v>#N/A</v>
      </c>
      <c r="E111" s="62">
        <v>99</v>
      </c>
      <c r="F111" s="43">
        <v>0.80279232625436869</v>
      </c>
      <c r="G111" s="61">
        <v>110.2332679899301</v>
      </c>
      <c r="H111" s="23">
        <v>-28580.704712968371</v>
      </c>
      <c r="I111" s="23">
        <v>-28580.704712968371</v>
      </c>
      <c r="J111" s="23">
        <v>0</v>
      </c>
      <c r="K111" s="23">
        <v>0</v>
      </c>
    </row>
    <row r="112" spans="2:11">
      <c r="B112" s="61">
        <f t="shared" si="18"/>
        <v>24.75</v>
      </c>
      <c r="C112" s="24">
        <f>EXP(-'CDS-MC'!HazardRate*B112)</f>
        <v>0.78075022081092571</v>
      </c>
      <c r="D112" s="57" t="e">
        <f t="shared" ca="1" si="19"/>
        <v>#N/A</v>
      </c>
      <c r="E112" s="62">
        <v>100</v>
      </c>
      <c r="F112" s="43">
        <v>0.19720767374563131</v>
      </c>
      <c r="G112" s="61">
        <v>162.3497924053313</v>
      </c>
      <c r="H112" s="23">
        <v>-28580.704712968371</v>
      </c>
      <c r="I112" s="23">
        <v>-28580.704712968371</v>
      </c>
      <c r="J112" s="23">
        <v>0</v>
      </c>
      <c r="K112" s="23">
        <v>0</v>
      </c>
    </row>
    <row r="113" spans="2:11">
      <c r="B113" s="61">
        <f t="shared" si="18"/>
        <v>25</v>
      </c>
      <c r="C113" s="24">
        <f>EXP(-'CDS-MC'!HazardRate*B113)</f>
        <v>0.77880078307140488</v>
      </c>
      <c r="D113" s="57" t="e">
        <f t="shared" ca="1" si="19"/>
        <v>#N/A</v>
      </c>
      <c r="E113" s="62">
        <v>101</v>
      </c>
      <c r="F113" s="43">
        <v>0.57770850887238867</v>
      </c>
      <c r="G113" s="61">
        <v>29.266395750792061</v>
      </c>
      <c r="H113" s="23">
        <v>-28580.704712968371</v>
      </c>
      <c r="I113" s="23">
        <v>-28580.704712968371</v>
      </c>
      <c r="J113" s="23">
        <v>0</v>
      </c>
      <c r="K113" s="23">
        <v>0</v>
      </c>
    </row>
    <row r="114" spans="2:11">
      <c r="B114" s="61">
        <f t="shared" si="18"/>
        <v>25.25</v>
      </c>
      <c r="C114" s="24">
        <f>EXP(-'CDS-MC'!HazardRate*B114)</f>
        <v>0.77685621283931339</v>
      </c>
      <c r="D114" s="57" t="e">
        <f t="shared" ca="1" si="19"/>
        <v>#N/A</v>
      </c>
      <c r="E114" s="62">
        <v>102</v>
      </c>
      <c r="F114" s="43">
        <v>0.42229149112761133</v>
      </c>
      <c r="G114" s="61">
        <v>86.205946612609409</v>
      </c>
      <c r="H114" s="23">
        <v>-28580.704712968371</v>
      </c>
      <c r="I114" s="23">
        <v>-28580.704712968371</v>
      </c>
      <c r="J114" s="23">
        <v>0</v>
      </c>
      <c r="K114" s="23">
        <v>0</v>
      </c>
    </row>
    <row r="115" spans="2:11">
      <c r="B115" s="61">
        <f t="shared" si="18"/>
        <v>25.5</v>
      </c>
      <c r="C115" s="24">
        <f>EXP(-'CDS-MC'!HazardRate*B115)</f>
        <v>0.77491649796108097</v>
      </c>
      <c r="D115" s="57" t="e">
        <f t="shared" ca="1" si="19"/>
        <v>#N/A</v>
      </c>
      <c r="E115" s="62">
        <v>103</v>
      </c>
      <c r="F115" s="43">
        <v>0.83547083170204461</v>
      </c>
      <c r="G115" s="61">
        <v>267.21370993524818</v>
      </c>
      <c r="H115" s="23">
        <v>-28580.704712968371</v>
      </c>
      <c r="I115" s="23">
        <v>-28580.704712968371</v>
      </c>
      <c r="J115" s="23">
        <v>0</v>
      </c>
      <c r="K115" s="23">
        <v>0</v>
      </c>
    </row>
    <row r="116" spans="2:11">
      <c r="B116" s="61">
        <f t="shared" si="18"/>
        <v>25.75</v>
      </c>
      <c r="C116" s="24">
        <f>EXP(-'CDS-MC'!HazardRate*B116)</f>
        <v>0.77298162631348322</v>
      </c>
      <c r="D116" s="57" t="e">
        <f t="shared" ca="1" si="19"/>
        <v>#N/A</v>
      </c>
      <c r="E116" s="62">
        <v>104</v>
      </c>
      <c r="F116" s="43">
        <v>0.16452916829795539</v>
      </c>
      <c r="G116" s="61">
        <v>180.46674096139481</v>
      </c>
      <c r="H116" s="23">
        <v>-28580.704712968371</v>
      </c>
      <c r="I116" s="23">
        <v>-28580.704712968371</v>
      </c>
      <c r="J116" s="23">
        <v>0</v>
      </c>
      <c r="K116" s="23">
        <v>0</v>
      </c>
    </row>
    <row r="117" spans="2:11">
      <c r="B117" s="61">
        <f t="shared" si="18"/>
        <v>26</v>
      </c>
      <c r="C117" s="24">
        <f>EXP(-'CDS-MC'!HazardRate*B117)</f>
        <v>0.77105158580356625</v>
      </c>
      <c r="D117" s="57" t="e">
        <f t="shared" ca="1" si="19"/>
        <v>#N/A</v>
      </c>
      <c r="E117" s="62">
        <v>105</v>
      </c>
      <c r="F117" s="43">
        <v>0.20330995159928067</v>
      </c>
      <c r="G117" s="61">
        <v>138.42596144799401</v>
      </c>
      <c r="H117" s="23">
        <v>-28580.704712968371</v>
      </c>
      <c r="I117" s="23">
        <v>-28580.704712968371</v>
      </c>
      <c r="J117" s="23">
        <v>0</v>
      </c>
      <c r="K117" s="23">
        <v>0</v>
      </c>
    </row>
    <row r="118" spans="2:11">
      <c r="B118" s="61">
        <f t="shared" si="18"/>
        <v>26.25</v>
      </c>
      <c r="C118" s="24">
        <f>EXP(-'CDS-MC'!HazardRate*B118)</f>
        <v>0.76912636436857051</v>
      </c>
      <c r="D118" s="57" t="e">
        <f t="shared" ca="1" si="19"/>
        <v>#N/A</v>
      </c>
      <c r="E118" s="62">
        <v>106</v>
      </c>
      <c r="F118" s="43">
        <v>0.79669004840071933</v>
      </c>
      <c r="G118" s="61">
        <v>22.728957369840739</v>
      </c>
      <c r="H118" s="23">
        <v>-28580.704712968371</v>
      </c>
      <c r="I118" s="23">
        <v>-28580.704712968371</v>
      </c>
      <c r="J118" s="23">
        <v>0</v>
      </c>
      <c r="K118" s="23">
        <v>0</v>
      </c>
    </row>
    <row r="119" spans="2:11">
      <c r="B119" s="61">
        <f t="shared" si="18"/>
        <v>26.5</v>
      </c>
      <c r="C119" s="24">
        <f>EXP(-'CDS-MC'!HazardRate*B119)</f>
        <v>0.76720594997585567</v>
      </c>
      <c r="D119" s="57" t="e">
        <f t="shared" ca="1" si="19"/>
        <v>#N/A</v>
      </c>
      <c r="E119" s="62">
        <v>107</v>
      </c>
      <c r="F119" s="43">
        <v>0.99270337531284625</v>
      </c>
      <c r="G119" s="61">
        <v>11.927539809072769</v>
      </c>
      <c r="H119" s="23">
        <v>-28580.704712968371</v>
      </c>
      <c r="I119" s="23">
        <v>-28580.704712968371</v>
      </c>
      <c r="J119" s="23">
        <v>0</v>
      </c>
      <c r="K119" s="23">
        <v>0</v>
      </c>
    </row>
    <row r="120" spans="2:11">
      <c r="B120" s="61">
        <f t="shared" si="18"/>
        <v>26.75</v>
      </c>
      <c r="C120" s="24">
        <f>EXP(-'CDS-MC'!HazardRate*B120)</f>
        <v>0.7652903306228257</v>
      </c>
      <c r="D120" s="57" t="e">
        <f t="shared" ca="1" si="19"/>
        <v>#N/A</v>
      </c>
      <c r="E120" s="62">
        <v>108</v>
      </c>
      <c r="F120" s="43">
        <v>7.2966246871537521E-3</v>
      </c>
      <c r="G120" s="61">
        <v>492.03434093772847</v>
      </c>
      <c r="H120" s="23">
        <v>-28580.704712968371</v>
      </c>
      <c r="I120" s="23">
        <v>-28580.704712968371</v>
      </c>
      <c r="J120" s="23">
        <v>0</v>
      </c>
      <c r="K120" s="23">
        <v>0</v>
      </c>
    </row>
    <row r="121" spans="2:11">
      <c r="B121" s="61">
        <f t="shared" si="18"/>
        <v>27</v>
      </c>
      <c r="C121" s="24">
        <f>EXP(-'CDS-MC'!HazardRate*B121)</f>
        <v>0.76337949433685315</v>
      </c>
      <c r="D121" s="57" t="e">
        <f t="shared" ca="1" si="19"/>
        <v>#N/A</v>
      </c>
      <c r="E121" s="62">
        <v>109</v>
      </c>
      <c r="F121" s="43">
        <v>0.2853130645004589</v>
      </c>
      <c r="G121" s="61">
        <v>196.76906364400571</v>
      </c>
      <c r="H121" s="23">
        <v>-28580.704712968371</v>
      </c>
      <c r="I121" s="23">
        <v>-28580.704712968371</v>
      </c>
      <c r="J121" s="23">
        <v>0</v>
      </c>
      <c r="K121" s="23">
        <v>0</v>
      </c>
    </row>
    <row r="122" spans="2:11">
      <c r="B122" s="61">
        <f t="shared" si="18"/>
        <v>27.25</v>
      </c>
      <c r="C122" s="24">
        <f>EXP(-'CDS-MC'!HazardRate*B122)</f>
        <v>0.76147342917520522</v>
      </c>
      <c r="D122" s="57" t="e">
        <f t="shared" ca="1" si="19"/>
        <v>#N/A</v>
      </c>
      <c r="E122" s="62">
        <v>110</v>
      </c>
      <c r="F122" s="43">
        <v>0.7146869354995411</v>
      </c>
      <c r="G122" s="61">
        <v>33.591068462169694</v>
      </c>
      <c r="H122" s="23">
        <v>-28580.704712968371</v>
      </c>
      <c r="I122" s="23">
        <v>-28580.704712968371</v>
      </c>
      <c r="J122" s="23">
        <v>0</v>
      </c>
      <c r="K122" s="23">
        <v>0</v>
      </c>
    </row>
    <row r="123" spans="2:11">
      <c r="B123" s="61">
        <f t="shared" si="18"/>
        <v>27.5</v>
      </c>
      <c r="C123" s="24">
        <f>EXP(-'CDS-MC'!HazardRate*B123)</f>
        <v>0.75957212322496848</v>
      </c>
      <c r="D123" s="57" t="e">
        <f t="shared" ca="1" si="19"/>
        <v>#N/A</v>
      </c>
      <c r="E123" s="62">
        <v>111</v>
      </c>
      <c r="F123" s="43">
        <v>0.90234237850144594</v>
      </c>
      <c r="G123" s="61">
        <v>297.15476851831852</v>
      </c>
      <c r="H123" s="23">
        <v>-28580.704712968371</v>
      </c>
      <c r="I123" s="23">
        <v>-28580.704712968371</v>
      </c>
      <c r="J123" s="23">
        <v>0</v>
      </c>
      <c r="K123" s="23">
        <v>0</v>
      </c>
    </row>
    <row r="124" spans="2:11">
      <c r="B124" s="61">
        <f t="shared" si="18"/>
        <v>27.75</v>
      </c>
      <c r="C124" s="24">
        <f>EXP(-'CDS-MC'!HazardRate*B124)</f>
        <v>0.75767556460297436</v>
      </c>
      <c r="D124" s="57" t="e">
        <f t="shared" ca="1" si="19"/>
        <v>#N/A</v>
      </c>
      <c r="E124" s="62">
        <v>112</v>
      </c>
      <c r="F124" s="43">
        <v>9.7657621498554059E-2</v>
      </c>
      <c r="G124" s="61">
        <v>232.62875755647863</v>
      </c>
      <c r="H124" s="23">
        <v>-28580.704712968371</v>
      </c>
      <c r="I124" s="23">
        <v>-28580.704712968371</v>
      </c>
      <c r="J124" s="23">
        <v>0</v>
      </c>
      <c r="K124" s="23">
        <v>0</v>
      </c>
    </row>
    <row r="125" spans="2:11">
      <c r="B125" s="61">
        <f t="shared" si="18"/>
        <v>28</v>
      </c>
      <c r="C125" s="24">
        <f>EXP(-'CDS-MC'!HazardRate*B125)</f>
        <v>0.75578374145572547</v>
      </c>
      <c r="D125" s="57" t="e">
        <f t="shared" ca="1" si="19"/>
        <v>#N/A</v>
      </c>
      <c r="E125" s="62">
        <v>113</v>
      </c>
      <c r="F125" s="43">
        <v>0.35780004864167281</v>
      </c>
      <c r="G125" s="61">
        <v>10.335165201458418</v>
      </c>
      <c r="H125" s="23">
        <v>-28580.704712968371</v>
      </c>
      <c r="I125" s="23">
        <v>-28580.704712968371</v>
      </c>
      <c r="J125" s="23">
        <v>0</v>
      </c>
      <c r="K125" s="23">
        <v>0</v>
      </c>
    </row>
    <row r="126" spans="2:11">
      <c r="B126" s="61">
        <f t="shared" si="18"/>
        <v>28.25</v>
      </c>
      <c r="C126" s="24">
        <f>EXP(-'CDS-MC'!HazardRate*B126)</f>
        <v>0.75389664195932082</v>
      </c>
      <c r="D126" s="57" t="e">
        <f t="shared" ca="1" si="19"/>
        <v>#N/A</v>
      </c>
      <c r="E126" s="62">
        <v>114</v>
      </c>
      <c r="F126" s="43">
        <v>0.64219995135832719</v>
      </c>
      <c r="G126" s="61">
        <v>44.285557306897616</v>
      </c>
      <c r="H126" s="23">
        <v>-28580.704712968371</v>
      </c>
      <c r="I126" s="23">
        <v>-28580.704712968371</v>
      </c>
      <c r="J126" s="23">
        <v>0</v>
      </c>
      <c r="K126" s="23">
        <v>0</v>
      </c>
    </row>
    <row r="127" spans="2:11">
      <c r="B127" s="61">
        <f t="shared" si="18"/>
        <v>28.5</v>
      </c>
      <c r="C127" s="24">
        <f>EXP(-'CDS-MC'!HazardRate*B127)</f>
        <v>0.75201425431938262</v>
      </c>
      <c r="D127" s="57" t="e">
        <f t="shared" ca="1" si="19"/>
        <v>#N/A</v>
      </c>
      <c r="E127" s="62">
        <v>115</v>
      </c>
      <c r="F127" s="43">
        <v>0.3094631901911683</v>
      </c>
      <c r="G127" s="61">
        <v>26.874050397228416</v>
      </c>
      <c r="H127" s="23">
        <v>-28580.704712968371</v>
      </c>
      <c r="I127" s="23">
        <v>-28580.704712968371</v>
      </c>
      <c r="J127" s="23">
        <v>0</v>
      </c>
      <c r="K127" s="23">
        <v>0</v>
      </c>
    </row>
    <row r="128" spans="2:11">
      <c r="B128" s="61">
        <f t="shared" si="18"/>
        <v>28.75</v>
      </c>
      <c r="C128" s="24">
        <f>EXP(-'CDS-MC'!HazardRate*B128)</f>
        <v>0.75013656677098184</v>
      </c>
      <c r="D128" s="57" t="e">
        <f t="shared" ca="1" si="19"/>
        <v>#N/A</v>
      </c>
      <c r="E128" s="62">
        <v>116</v>
      </c>
      <c r="F128" s="43">
        <v>0.6905368098088317</v>
      </c>
      <c r="G128" s="61">
        <v>37.028599863428049</v>
      </c>
      <c r="H128" s="23">
        <v>-28580.704712968371</v>
      </c>
      <c r="I128" s="23">
        <v>-28580.704712968371</v>
      </c>
      <c r="J128" s="23">
        <v>0</v>
      </c>
      <c r="K128" s="23">
        <v>0</v>
      </c>
    </row>
    <row r="129" spans="2:11">
      <c r="B129" s="61">
        <f t="shared" si="18"/>
        <v>29</v>
      </c>
      <c r="C129" s="24">
        <f>EXP(-'CDS-MC'!HazardRate*B129)</f>
        <v>0.74826356757856527</v>
      </c>
      <c r="D129" s="57" t="e">
        <f t="shared" ca="1" si="19"/>
        <v>#N/A</v>
      </c>
      <c r="E129" s="62">
        <v>117</v>
      </c>
      <c r="F129" s="43">
        <v>0.4339719625898133</v>
      </c>
      <c r="G129" s="61">
        <v>1.0153201497775868</v>
      </c>
      <c r="H129" s="23">
        <v>579547.42156158469</v>
      </c>
      <c r="I129" s="23">
        <v>-5930.7340029433071</v>
      </c>
      <c r="J129" s="23">
        <v>-732.76364901693114</v>
      </c>
      <c r="K129" s="23">
        <v>586210.91921354493</v>
      </c>
    </row>
    <row r="130" spans="2:11">
      <c r="B130" s="61">
        <f t="shared" si="18"/>
        <v>29.25</v>
      </c>
      <c r="C130" s="24">
        <f>EXP(-'CDS-MC'!HazardRate*B130)</f>
        <v>0.74639524503588173</v>
      </c>
      <c r="D130" s="57" t="e">
        <f t="shared" ca="1" si="19"/>
        <v>#N/A</v>
      </c>
      <c r="E130" s="62">
        <v>118</v>
      </c>
      <c r="F130" s="43">
        <v>0.5660280374101867</v>
      </c>
      <c r="G130" s="61">
        <v>56.911166594542372</v>
      </c>
      <c r="H130" s="23">
        <v>-28580.704712968371</v>
      </c>
      <c r="I130" s="23">
        <v>-28580.704712968371</v>
      </c>
      <c r="J130" s="23">
        <v>0</v>
      </c>
      <c r="K130" s="23">
        <v>0</v>
      </c>
    </row>
    <row r="131" spans="2:11">
      <c r="B131" s="61">
        <f t="shared" si="18"/>
        <v>29.5</v>
      </c>
      <c r="C131" s="24">
        <f>EXP(-'CDS-MC'!HazardRate*B131)</f>
        <v>0.74453158746590942</v>
      </c>
      <c r="D131" s="57" t="e">
        <f t="shared" ca="1" si="19"/>
        <v>#N/A</v>
      </c>
      <c r="E131" s="62">
        <v>119</v>
      </c>
      <c r="F131" s="43">
        <v>0.95910144042978274</v>
      </c>
      <c r="G131" s="61">
        <v>65.459851927747266</v>
      </c>
      <c r="H131" s="23">
        <v>-28580.704712968371</v>
      </c>
      <c r="I131" s="23">
        <v>-28580.704712968371</v>
      </c>
      <c r="J131" s="23">
        <v>0</v>
      </c>
      <c r="K131" s="23">
        <v>0</v>
      </c>
    </row>
    <row r="132" spans="2:11">
      <c r="B132" s="61">
        <f t="shared" si="18"/>
        <v>29.75</v>
      </c>
      <c r="C132" s="24">
        <f>EXP(-'CDS-MC'!HazardRate*B132)</f>
        <v>0.74267258322078233</v>
      </c>
      <c r="D132" s="57" t="e">
        <f t="shared" ca="1" si="19"/>
        <v>#N/A</v>
      </c>
      <c r="E132" s="62">
        <v>120</v>
      </c>
      <c r="F132" s="43">
        <v>4.0898559570217263E-2</v>
      </c>
      <c r="G132" s="61">
        <v>319.66604348856572</v>
      </c>
      <c r="H132" s="23">
        <v>-28580.704712968371</v>
      </c>
      <c r="I132" s="23">
        <v>-28580.704712968371</v>
      </c>
      <c r="J132" s="23">
        <v>0</v>
      </c>
      <c r="K132" s="23">
        <v>0</v>
      </c>
    </row>
    <row r="133" spans="2:11">
      <c r="B133" s="61">
        <f t="shared" si="18"/>
        <v>30</v>
      </c>
      <c r="C133" s="24">
        <f>EXP(-'CDS-MC'!HazardRate*B133)</f>
        <v>0.74081822068171788</v>
      </c>
      <c r="D133" s="57" t="e">
        <f t="shared" ca="1" si="19"/>
        <v>#N/A</v>
      </c>
      <c r="E133" s="62">
        <v>121</v>
      </c>
      <c r="F133" s="43">
        <v>0.52236418652287264</v>
      </c>
      <c r="G133" s="61">
        <v>39.084599992184671</v>
      </c>
      <c r="H133" s="23">
        <v>-28580.704712968371</v>
      </c>
      <c r="I133" s="23">
        <v>-28580.704712968371</v>
      </c>
      <c r="J133" s="23">
        <v>0</v>
      </c>
      <c r="K133" s="23">
        <v>0</v>
      </c>
    </row>
    <row r="134" spans="2:11">
      <c r="E134" s="62">
        <v>122</v>
      </c>
      <c r="F134" s="43">
        <v>0.47763581347712736</v>
      </c>
      <c r="G134" s="61">
        <v>73.890673337268595</v>
      </c>
      <c r="H134" s="23">
        <v>-28580.704712968371</v>
      </c>
      <c r="I134" s="23">
        <v>-28580.704712968371</v>
      </c>
      <c r="J134" s="23">
        <v>0</v>
      </c>
      <c r="K134" s="23">
        <v>0</v>
      </c>
    </row>
    <row r="135" spans="2:11">
      <c r="E135" s="62">
        <v>123</v>
      </c>
      <c r="F135" s="43">
        <v>0.90411483341367294</v>
      </c>
      <c r="G135" s="61">
        <v>19.358277871698327</v>
      </c>
      <c r="H135" s="23">
        <v>-28580.704712968371</v>
      </c>
      <c r="I135" s="23">
        <v>-28580.704712968371</v>
      </c>
      <c r="J135" s="23">
        <v>0</v>
      </c>
      <c r="K135" s="23">
        <v>0</v>
      </c>
    </row>
    <row r="136" spans="2:11">
      <c r="E136" s="62">
        <v>124</v>
      </c>
      <c r="F136" s="43">
        <v>9.5885166586327064E-2</v>
      </c>
      <c r="G136" s="61">
        <v>234.46039849027201</v>
      </c>
      <c r="H136" s="23">
        <v>-28580.704712968371</v>
      </c>
      <c r="I136" s="23">
        <v>-28580.704712968371</v>
      </c>
      <c r="J136" s="23">
        <v>0</v>
      </c>
      <c r="K136" s="23">
        <v>0</v>
      </c>
    </row>
    <row r="137" spans="2:11">
      <c r="E137" s="62">
        <v>125</v>
      </c>
      <c r="F137" s="43">
        <v>2.0634052295200322E-2</v>
      </c>
      <c r="G137" s="61">
        <v>309.84636630202505</v>
      </c>
      <c r="H137" s="23">
        <v>-28580.704712968371</v>
      </c>
      <c r="I137" s="23">
        <v>-28580.704712968371</v>
      </c>
      <c r="J137" s="23">
        <v>0</v>
      </c>
      <c r="K137" s="23">
        <v>0</v>
      </c>
    </row>
    <row r="138" spans="2:11">
      <c r="E138" s="62">
        <v>126</v>
      </c>
      <c r="F138" s="43">
        <v>0.97936594770479968</v>
      </c>
      <c r="G138" s="61">
        <v>2.0849908845212797</v>
      </c>
      <c r="H138" s="23">
        <v>562936.73695936962</v>
      </c>
      <c r="I138" s="23">
        <v>-11752.175920696782</v>
      </c>
      <c r="J138" s="23">
        <v>-719.26021637054612</v>
      </c>
      <c r="K138" s="23">
        <v>575408.17309643689</v>
      </c>
    </row>
    <row r="139" spans="2:11">
      <c r="E139" s="62">
        <v>127</v>
      </c>
      <c r="F139" s="43">
        <v>0.43514629944839622</v>
      </c>
      <c r="G139" s="61">
        <v>339.45154734640749</v>
      </c>
      <c r="H139" s="23">
        <v>-28580.704712968371</v>
      </c>
      <c r="I139" s="23">
        <v>-28580.704712968371</v>
      </c>
      <c r="J139" s="23">
        <v>0</v>
      </c>
      <c r="K139" s="23">
        <v>0</v>
      </c>
    </row>
    <row r="140" spans="2:11">
      <c r="E140" s="62">
        <v>128</v>
      </c>
      <c r="F140" s="43">
        <v>0.56485370055160378</v>
      </c>
      <c r="G140" s="61">
        <v>57.118851844249676</v>
      </c>
      <c r="H140" s="23">
        <v>-28580.704712968371</v>
      </c>
      <c r="I140" s="23">
        <v>-28580.704712968371</v>
      </c>
      <c r="J140" s="23">
        <v>0</v>
      </c>
      <c r="K140" s="23">
        <v>0</v>
      </c>
    </row>
    <row r="141" spans="2:11">
      <c r="E141" s="62">
        <v>129</v>
      </c>
      <c r="F141" s="43">
        <v>0.5062812733309302</v>
      </c>
      <c r="G141" s="61">
        <v>29.868059546369494</v>
      </c>
      <c r="H141" s="23">
        <v>-28580.704712968371</v>
      </c>
      <c r="I141" s="23">
        <v>-28580.704712968371</v>
      </c>
      <c r="J141" s="23">
        <v>0</v>
      </c>
      <c r="K141" s="23">
        <v>0</v>
      </c>
    </row>
    <row r="142" spans="2:11">
      <c r="E142" s="62">
        <v>130</v>
      </c>
      <c r="F142" s="43">
        <v>0.4937187266690698</v>
      </c>
      <c r="G142" s="61">
        <v>70.578930316452343</v>
      </c>
      <c r="H142" s="23">
        <v>-28580.704712968371</v>
      </c>
      <c r="I142" s="23">
        <v>-28580.704712968371</v>
      </c>
      <c r="J142" s="23">
        <v>0</v>
      </c>
      <c r="K142" s="23">
        <v>0</v>
      </c>
    </row>
    <row r="143" spans="2:11">
      <c r="E143" s="62">
        <v>131</v>
      </c>
      <c r="F143" s="43">
        <v>0.62086913956386436</v>
      </c>
      <c r="G143" s="61">
        <v>32.898477464116404</v>
      </c>
      <c r="H143" s="23">
        <v>-28580.704712968371</v>
      </c>
      <c r="I143" s="23">
        <v>-28580.704712968371</v>
      </c>
      <c r="J143" s="23">
        <v>0</v>
      </c>
      <c r="K143" s="23">
        <v>0</v>
      </c>
    </row>
    <row r="144" spans="2:11">
      <c r="E144" s="62">
        <v>132</v>
      </c>
      <c r="F144" s="43">
        <v>0.37913086043613564</v>
      </c>
      <c r="G144" s="61">
        <v>96.987385529890091</v>
      </c>
      <c r="H144" s="23">
        <v>-28580.704712968371</v>
      </c>
      <c r="I144" s="23">
        <v>-28580.704712968371</v>
      </c>
      <c r="J144" s="23">
        <v>0</v>
      </c>
      <c r="K144" s="23">
        <v>0</v>
      </c>
    </row>
    <row r="145" spans="5:11">
      <c r="E145" s="62">
        <v>133</v>
      </c>
      <c r="F145" s="43">
        <v>0.35192951754789248</v>
      </c>
      <c r="G145" s="61">
        <v>127.42914439788535</v>
      </c>
      <c r="H145" s="23">
        <v>-28580.704712968371</v>
      </c>
      <c r="I145" s="23">
        <v>-28580.704712968371</v>
      </c>
      <c r="J145" s="23">
        <v>0</v>
      </c>
      <c r="K145" s="23">
        <v>0</v>
      </c>
    </row>
    <row r="146" spans="5:11">
      <c r="E146" s="62">
        <v>134</v>
      </c>
      <c r="F146" s="43">
        <v>0.64807048245210752</v>
      </c>
      <c r="G146" s="61">
        <v>43.375581932858935</v>
      </c>
      <c r="H146" s="23">
        <v>-28580.704712968371</v>
      </c>
      <c r="I146" s="23">
        <v>-28580.704712968371</v>
      </c>
      <c r="J146" s="23">
        <v>0</v>
      </c>
      <c r="K146" s="23">
        <v>0</v>
      </c>
    </row>
    <row r="147" spans="5:11">
      <c r="E147" s="62">
        <v>135</v>
      </c>
      <c r="F147" s="43">
        <v>0.1931398345312294</v>
      </c>
      <c r="G147" s="61">
        <v>121.71383606948265</v>
      </c>
      <c r="H147" s="23">
        <v>-28580.704712968371</v>
      </c>
      <c r="I147" s="23">
        <v>-28580.704712968371</v>
      </c>
      <c r="J147" s="23">
        <v>0</v>
      </c>
      <c r="K147" s="23">
        <v>0</v>
      </c>
    </row>
    <row r="148" spans="5:11">
      <c r="E148" s="62">
        <v>136</v>
      </c>
      <c r="F148" s="43">
        <v>0.8068601654687706</v>
      </c>
      <c r="G148" s="61">
        <v>21.460490271675138</v>
      </c>
      <c r="H148" s="23">
        <v>-28580.704712968371</v>
      </c>
      <c r="I148" s="23">
        <v>-28580.704712968371</v>
      </c>
      <c r="J148" s="23">
        <v>0</v>
      </c>
      <c r="K148" s="23">
        <v>0</v>
      </c>
    </row>
    <row r="149" spans="5:11">
      <c r="E149" s="62">
        <v>137</v>
      </c>
      <c r="F149" s="43">
        <v>0.11876787020171176</v>
      </c>
      <c r="G149" s="61">
        <v>157.09377666081161</v>
      </c>
      <c r="H149" s="23">
        <v>-28580.704712968371</v>
      </c>
      <c r="I149" s="23">
        <v>-28580.704712968371</v>
      </c>
      <c r="J149" s="23">
        <v>0</v>
      </c>
      <c r="K149" s="23">
        <v>0</v>
      </c>
    </row>
    <row r="150" spans="5:11">
      <c r="E150" s="62">
        <v>138</v>
      </c>
      <c r="F150" s="43">
        <v>0.88123212979828824</v>
      </c>
      <c r="G150" s="61">
        <v>12.643420330434216</v>
      </c>
      <c r="H150" s="23">
        <v>-28580.704712968371</v>
      </c>
      <c r="I150" s="23">
        <v>-28580.704712968371</v>
      </c>
      <c r="J150" s="23">
        <v>0</v>
      </c>
      <c r="K150" s="23">
        <v>0</v>
      </c>
    </row>
    <row r="151" spans="5:11">
      <c r="E151" s="62">
        <v>139</v>
      </c>
      <c r="F151" s="43">
        <v>0.78687506714862665</v>
      </c>
      <c r="G151" s="61">
        <v>184.02215758107906</v>
      </c>
      <c r="H151" s="23">
        <v>-28580.704712968371</v>
      </c>
      <c r="I151" s="23">
        <v>-28580.704712968371</v>
      </c>
      <c r="J151" s="23">
        <v>0</v>
      </c>
      <c r="K151" s="23">
        <v>0</v>
      </c>
    </row>
    <row r="152" spans="5:11">
      <c r="E152" s="62">
        <v>140</v>
      </c>
      <c r="F152" s="43">
        <v>0.21312493285137335</v>
      </c>
      <c r="G152" s="61">
        <v>154.58767460112753</v>
      </c>
      <c r="H152" s="23">
        <v>-28580.704712968371</v>
      </c>
      <c r="I152" s="23">
        <v>-28580.704712968371</v>
      </c>
      <c r="J152" s="23">
        <v>0</v>
      </c>
      <c r="K152" s="23">
        <v>0</v>
      </c>
    </row>
    <row r="153" spans="5:11">
      <c r="E153" s="62">
        <v>141</v>
      </c>
      <c r="F153" s="43">
        <v>0.71187507924313198</v>
      </c>
      <c r="G153" s="61">
        <v>10.761038091065085</v>
      </c>
      <c r="H153" s="23">
        <v>-28580.704712968371</v>
      </c>
      <c r="I153" s="23">
        <v>-28580.704712968371</v>
      </c>
      <c r="J153" s="23">
        <v>0</v>
      </c>
      <c r="K153" s="23">
        <v>0</v>
      </c>
    </row>
    <row r="154" spans="5:11">
      <c r="E154" s="62">
        <v>142</v>
      </c>
      <c r="F154" s="43">
        <v>0.28812492075686802</v>
      </c>
      <c r="G154" s="61">
        <v>124.4361140261655</v>
      </c>
      <c r="H154" s="23">
        <v>-28580.704712968371</v>
      </c>
      <c r="I154" s="23">
        <v>-28580.704712968371</v>
      </c>
      <c r="J154" s="23">
        <v>0</v>
      </c>
      <c r="K154" s="23">
        <v>0</v>
      </c>
    </row>
    <row r="155" spans="5:11">
      <c r="E155" s="62">
        <v>143</v>
      </c>
      <c r="F155" s="43">
        <v>0.12960513059593137</v>
      </c>
      <c r="G155" s="61">
        <v>100.61451779196622</v>
      </c>
      <c r="H155" s="23">
        <v>-28580.704712968371</v>
      </c>
      <c r="I155" s="23">
        <v>-28580.704712968371</v>
      </c>
      <c r="J155" s="23">
        <v>0</v>
      </c>
      <c r="K155" s="23">
        <v>0</v>
      </c>
    </row>
    <row r="156" spans="5:11">
      <c r="E156" s="62">
        <v>144</v>
      </c>
      <c r="F156" s="43">
        <v>0.87039486940406863</v>
      </c>
      <c r="G156" s="61">
        <v>13.880829742440723</v>
      </c>
      <c r="H156" s="23">
        <v>-28580.704712968371</v>
      </c>
      <c r="I156" s="23">
        <v>-28580.704712968371</v>
      </c>
      <c r="J156" s="23">
        <v>0</v>
      </c>
      <c r="K156" s="23">
        <v>0</v>
      </c>
    </row>
    <row r="157" spans="5:11">
      <c r="E157" s="62">
        <v>145</v>
      </c>
      <c r="F157" s="43">
        <v>0.58387623676000677</v>
      </c>
      <c r="G157" s="61">
        <v>137.13487674410987</v>
      </c>
      <c r="H157" s="23">
        <v>-28580.704712968371</v>
      </c>
      <c r="I157" s="23">
        <v>-28580.704712968371</v>
      </c>
      <c r="J157" s="23">
        <v>0</v>
      </c>
      <c r="K157" s="23">
        <v>0</v>
      </c>
    </row>
    <row r="158" spans="5:11">
      <c r="E158" s="62">
        <v>146</v>
      </c>
      <c r="F158" s="43">
        <v>0.41612376323999323</v>
      </c>
      <c r="G158" s="61">
        <v>87.677255517909501</v>
      </c>
      <c r="H158" s="23">
        <v>-28580.704712968371</v>
      </c>
      <c r="I158" s="23">
        <v>-28580.704712968371</v>
      </c>
      <c r="J158" s="23">
        <v>0</v>
      </c>
      <c r="K158" s="23">
        <v>0</v>
      </c>
    </row>
    <row r="159" spans="5:11">
      <c r="E159" s="62">
        <v>147</v>
      </c>
      <c r="F159" s="43">
        <v>8.4150719852158717E-2</v>
      </c>
      <c r="G159" s="61">
        <v>2.845085577360992</v>
      </c>
      <c r="H159" s="23">
        <v>550679.91397737269</v>
      </c>
      <c r="I159" s="23">
        <v>-16047.747403425752</v>
      </c>
      <c r="J159" s="23">
        <v>-709.29619697221335</v>
      </c>
      <c r="K159" s="23">
        <v>567436.95757777069</v>
      </c>
    </row>
    <row r="160" spans="5:11">
      <c r="E160" s="62">
        <v>148</v>
      </c>
      <c r="F160" s="43">
        <v>0.91584928014784128</v>
      </c>
      <c r="G160" s="61">
        <v>8.7903469169732809</v>
      </c>
      <c r="H160" s="23">
        <v>-28580.704712968371</v>
      </c>
      <c r="I160" s="23">
        <v>-28580.704712968371</v>
      </c>
      <c r="J160" s="23">
        <v>0</v>
      </c>
      <c r="K160" s="23">
        <v>0</v>
      </c>
    </row>
    <row r="161" spans="5:11">
      <c r="E161" s="62">
        <v>149</v>
      </c>
      <c r="F161" s="43">
        <v>0.70549052660492195</v>
      </c>
      <c r="G161" s="61">
        <v>127.80267395151014</v>
      </c>
      <c r="H161" s="23">
        <v>-28580.704712968371</v>
      </c>
      <c r="I161" s="23">
        <v>-28580.704712968371</v>
      </c>
      <c r="J161" s="23">
        <v>0</v>
      </c>
      <c r="K161" s="23">
        <v>0</v>
      </c>
    </row>
    <row r="162" spans="5:11">
      <c r="E162" s="62">
        <v>150</v>
      </c>
      <c r="F162" s="43">
        <v>0.29450947339507805</v>
      </c>
      <c r="G162" s="61">
        <v>122.24441086826431</v>
      </c>
      <c r="H162" s="23">
        <v>-28580.704712968371</v>
      </c>
      <c r="I162" s="23">
        <v>-28580.704712968371</v>
      </c>
      <c r="J162" s="23">
        <v>0</v>
      </c>
      <c r="K162" s="23">
        <v>0</v>
      </c>
    </row>
    <row r="163" spans="5:11">
      <c r="E163" s="62">
        <v>151</v>
      </c>
      <c r="F163" s="43">
        <v>0.36336996595156001</v>
      </c>
      <c r="G163" s="61">
        <v>330.15425159087647</v>
      </c>
      <c r="H163" s="23">
        <v>-28580.704712968371</v>
      </c>
      <c r="I163" s="23">
        <v>-28580.704712968371</v>
      </c>
      <c r="J163" s="23">
        <v>0</v>
      </c>
      <c r="K163" s="23">
        <v>0</v>
      </c>
    </row>
    <row r="164" spans="5:11">
      <c r="E164" s="62">
        <v>152</v>
      </c>
      <c r="F164" s="43">
        <v>0.63663003404843999</v>
      </c>
      <c r="G164" s="61">
        <v>45.156658640876522</v>
      </c>
      <c r="H164" s="23">
        <v>-28580.704712968371</v>
      </c>
      <c r="I164" s="23">
        <v>-28580.704712968371</v>
      </c>
      <c r="J164" s="23">
        <v>0</v>
      </c>
      <c r="K164" s="23">
        <v>0</v>
      </c>
    </row>
    <row r="165" spans="5:11">
      <c r="E165" s="62">
        <v>153</v>
      </c>
      <c r="F165" s="43">
        <v>0.26763465210362636</v>
      </c>
      <c r="G165" s="61">
        <v>92.091774287472163</v>
      </c>
      <c r="H165" s="23">
        <v>-28580.704712968371</v>
      </c>
      <c r="I165" s="23">
        <v>-28580.704712968371</v>
      </c>
      <c r="J165" s="23">
        <v>0</v>
      </c>
      <c r="K165" s="23">
        <v>0</v>
      </c>
    </row>
    <row r="166" spans="5:11">
      <c r="E166" s="62">
        <v>154</v>
      </c>
      <c r="F166" s="43">
        <v>0.73236534789637364</v>
      </c>
      <c r="G166" s="61">
        <v>31.147578038631607</v>
      </c>
      <c r="H166" s="23">
        <v>-28580.704712968371</v>
      </c>
      <c r="I166" s="23">
        <v>-28580.704712968371</v>
      </c>
      <c r="J166" s="23">
        <v>0</v>
      </c>
      <c r="K166" s="23">
        <v>0</v>
      </c>
    </row>
    <row r="167" spans="5:11">
      <c r="E167" s="62">
        <v>155</v>
      </c>
      <c r="F167" s="43">
        <v>0.77249133644081214</v>
      </c>
      <c r="G167" s="61">
        <v>142.07391498228597</v>
      </c>
      <c r="H167" s="23">
        <v>-28580.704712968371</v>
      </c>
      <c r="I167" s="23">
        <v>-28580.704712968371</v>
      </c>
      <c r="J167" s="23">
        <v>0</v>
      </c>
      <c r="K167" s="23">
        <v>0</v>
      </c>
    </row>
    <row r="168" spans="5:11">
      <c r="E168" s="62">
        <v>156</v>
      </c>
      <c r="F168" s="43">
        <v>0.22750866355918786</v>
      </c>
      <c r="G168" s="61">
        <v>148.05669597373691</v>
      </c>
      <c r="H168" s="23">
        <v>-28580.704712968371</v>
      </c>
      <c r="I168" s="23">
        <v>-28580.704712968371</v>
      </c>
      <c r="J168" s="23">
        <v>0</v>
      </c>
      <c r="K168" s="23">
        <v>0</v>
      </c>
    </row>
    <row r="169" spans="5:11">
      <c r="E169" s="62">
        <v>157</v>
      </c>
      <c r="F169" s="43">
        <v>4.3848949586338115E-3</v>
      </c>
      <c r="G169" s="61">
        <v>30.003192310920955</v>
      </c>
      <c r="H169" s="23">
        <v>-28580.704712968371</v>
      </c>
      <c r="I169" s="23">
        <v>-28580.704712968371</v>
      </c>
      <c r="J169" s="23">
        <v>0</v>
      </c>
      <c r="K169" s="23">
        <v>0</v>
      </c>
    </row>
    <row r="170" spans="5:11">
      <c r="E170" s="62">
        <v>158</v>
      </c>
      <c r="F170" s="43">
        <v>0.99561510504136619</v>
      </c>
      <c r="G170" s="61">
        <v>0.43945368065164697</v>
      </c>
      <c r="H170" s="23">
        <v>592209.76822575892</v>
      </c>
      <c r="I170" s="23">
        <v>-1493.0411917680374</v>
      </c>
      <c r="J170" s="23">
        <v>-743.05733343870713</v>
      </c>
      <c r="K170" s="23">
        <v>594445.86675096571</v>
      </c>
    </row>
    <row r="171" spans="5:11">
      <c r="E171" s="62">
        <v>159</v>
      </c>
      <c r="F171" s="43">
        <v>0.71680457346752025</v>
      </c>
      <c r="G171" s="61">
        <v>29.728482789260742</v>
      </c>
      <c r="H171" s="23">
        <v>-28580.704712968371</v>
      </c>
      <c r="I171" s="23">
        <v>-28580.704712968371</v>
      </c>
      <c r="J171" s="23">
        <v>0</v>
      </c>
      <c r="K171" s="23">
        <v>0</v>
      </c>
    </row>
    <row r="172" spans="5:11">
      <c r="E172" s="62">
        <v>160</v>
      </c>
      <c r="F172" s="43">
        <v>0.28319542653247975</v>
      </c>
      <c r="G172" s="61">
        <v>126.16180665426913</v>
      </c>
      <c r="H172" s="23">
        <v>-28580.704712968371</v>
      </c>
      <c r="I172" s="23">
        <v>-28580.704712968371</v>
      </c>
      <c r="J172" s="23">
        <v>0</v>
      </c>
      <c r="K172" s="23">
        <v>0</v>
      </c>
    </row>
    <row r="173" spans="5:11">
      <c r="E173" s="62">
        <v>161</v>
      </c>
      <c r="F173" s="43">
        <v>0.50681756272787637</v>
      </c>
      <c r="G173" s="61">
        <v>17.961865441333867</v>
      </c>
      <c r="H173" s="23">
        <v>-28580.704712968371</v>
      </c>
      <c r="I173" s="23">
        <v>-28580.704712968371</v>
      </c>
      <c r="J173" s="23">
        <v>0</v>
      </c>
      <c r="K173" s="23">
        <v>0</v>
      </c>
    </row>
    <row r="174" spans="5:11">
      <c r="E174" s="62">
        <v>162</v>
      </c>
      <c r="F174" s="43">
        <v>0.49318243727212363</v>
      </c>
      <c r="G174" s="61">
        <v>70.687611807431992</v>
      </c>
      <c r="H174" s="23">
        <v>-28580.704712968371</v>
      </c>
      <c r="I174" s="23">
        <v>-28580.704712968371</v>
      </c>
      <c r="J174" s="23">
        <v>0</v>
      </c>
      <c r="K174" s="23">
        <v>0</v>
      </c>
    </row>
    <row r="175" spans="5:11">
      <c r="E175" s="62">
        <v>163</v>
      </c>
      <c r="F175" s="43">
        <v>0.44830076377809558</v>
      </c>
      <c r="G175" s="61">
        <v>215.34059898972873</v>
      </c>
      <c r="H175" s="23">
        <v>-28580.704712968371</v>
      </c>
      <c r="I175" s="23">
        <v>-28580.704712968371</v>
      </c>
      <c r="J175" s="23">
        <v>0</v>
      </c>
      <c r="K175" s="23">
        <v>0</v>
      </c>
    </row>
    <row r="176" spans="5:11">
      <c r="E176" s="62">
        <v>164</v>
      </c>
      <c r="F176" s="43">
        <v>0.55169923622190442</v>
      </c>
      <c r="G176" s="61">
        <v>59.475224311307642</v>
      </c>
      <c r="H176" s="23">
        <v>-28580.704712968371</v>
      </c>
      <c r="I176" s="23">
        <v>-28580.704712968371</v>
      </c>
      <c r="J176" s="23">
        <v>0</v>
      </c>
      <c r="K176" s="23">
        <v>0</v>
      </c>
    </row>
    <row r="177" spans="5:11">
      <c r="E177" s="62">
        <v>165</v>
      </c>
      <c r="F177" s="43">
        <v>0.97726270147642147</v>
      </c>
      <c r="G177" s="61">
        <v>43.983594788660177</v>
      </c>
      <c r="H177" s="23">
        <v>-28580.704712968371</v>
      </c>
      <c r="I177" s="23">
        <v>-28580.704712968371</v>
      </c>
      <c r="J177" s="23">
        <v>0</v>
      </c>
      <c r="K177" s="23">
        <v>0</v>
      </c>
    </row>
    <row r="178" spans="5:11">
      <c r="E178" s="62">
        <v>166</v>
      </c>
      <c r="F178" s="43">
        <v>2.2737298523578531E-2</v>
      </c>
      <c r="G178" s="61">
        <v>378.37485961522611</v>
      </c>
      <c r="H178" s="23">
        <v>-28580.704712968371</v>
      </c>
      <c r="I178" s="23">
        <v>-28580.704712968371</v>
      </c>
      <c r="J178" s="23">
        <v>0</v>
      </c>
      <c r="K178" s="23">
        <v>0</v>
      </c>
    </row>
    <row r="179" spans="5:11">
      <c r="E179" s="62">
        <v>167</v>
      </c>
      <c r="F179" s="43">
        <v>1.5318951508861534E-2</v>
      </c>
      <c r="G179" s="61">
        <v>238.70960950291885</v>
      </c>
      <c r="H179" s="23">
        <v>-28580.704712968371</v>
      </c>
      <c r="I179" s="23">
        <v>-28580.704712968371</v>
      </c>
      <c r="J179" s="23">
        <v>0</v>
      </c>
      <c r="K179" s="23">
        <v>0</v>
      </c>
    </row>
    <row r="180" spans="5:11">
      <c r="E180" s="62">
        <f>E179+1</f>
        <v>168</v>
      </c>
      <c r="F180" s="43">
        <v>0.98468104849113847</v>
      </c>
      <c r="G180" s="61">
        <v>1.543749888582352</v>
      </c>
      <c r="H180" s="23">
        <v>571203.45969712711</v>
      </c>
      <c r="I180" s="23">
        <v>-8854.9897167272156</v>
      </c>
      <c r="J180" s="23">
        <v>-725.9805374391168</v>
      </c>
      <c r="K180" s="23">
        <v>580784.42995129339</v>
      </c>
    </row>
    <row r="181" spans="5:11">
      <c r="E181" s="62">
        <v>170</v>
      </c>
      <c r="F181" s="43">
        <v>0.6459166425475934</v>
      </c>
      <c r="G181" s="61">
        <v>83.248136833620848</v>
      </c>
      <c r="H181" s="23">
        <v>-28580.704712968371</v>
      </c>
      <c r="I181" s="23">
        <v>-28580.704712968371</v>
      </c>
      <c r="J181" s="23">
        <v>0</v>
      </c>
      <c r="K181" s="23">
        <v>0</v>
      </c>
    </row>
    <row r="182" spans="5:11">
      <c r="E182" s="62">
        <v>171</v>
      </c>
      <c r="F182" s="43">
        <v>0.3540833574524066</v>
      </c>
      <c r="G182" s="61">
        <v>103.82229205383879</v>
      </c>
      <c r="H182" s="23">
        <v>-28580.704712968371</v>
      </c>
      <c r="I182" s="23">
        <v>-28580.704712968371</v>
      </c>
      <c r="J182" s="23">
        <v>0</v>
      </c>
      <c r="K182" s="23">
        <v>0</v>
      </c>
    </row>
    <row r="183" spans="5:11">
      <c r="E183" s="62">
        <v>172</v>
      </c>
      <c r="F183" s="43">
        <v>0.34890959919716102</v>
      </c>
      <c r="G183" s="61">
        <v>6.3590573575994638</v>
      </c>
      <c r="H183" s="23">
        <v>-28580.704712968371</v>
      </c>
      <c r="I183" s="23">
        <v>-28580.704712968371</v>
      </c>
      <c r="J183" s="23">
        <v>0</v>
      </c>
      <c r="K183" s="23">
        <v>0</v>
      </c>
    </row>
    <row r="184" spans="5:11">
      <c r="E184" s="62">
        <v>173</v>
      </c>
      <c r="F184" s="43">
        <v>0.65109040080283898</v>
      </c>
      <c r="G184" s="61">
        <v>42.910678189386289</v>
      </c>
      <c r="H184" s="23">
        <v>-28580.704712968371</v>
      </c>
      <c r="I184" s="23">
        <v>-28580.704712968371</v>
      </c>
      <c r="J184" s="23">
        <v>0</v>
      </c>
      <c r="K184" s="23">
        <v>0</v>
      </c>
    </row>
    <row r="185" spans="5:11">
      <c r="E185" s="62">
        <v>174</v>
      </c>
      <c r="F185" s="43">
        <v>0.90811569402695358</v>
      </c>
      <c r="G185" s="61">
        <v>74.921519948500631</v>
      </c>
      <c r="H185" s="23">
        <v>-28580.704712968371</v>
      </c>
      <c r="I185" s="23">
        <v>-28580.704712968371</v>
      </c>
      <c r="J185" s="23">
        <v>0</v>
      </c>
      <c r="K185" s="23">
        <v>0</v>
      </c>
    </row>
    <row r="186" spans="5:11">
      <c r="E186" s="62">
        <v>175</v>
      </c>
      <c r="F186" s="43">
        <v>9.1884305973046421E-2</v>
      </c>
      <c r="G186" s="61">
        <v>238.72250370760256</v>
      </c>
      <c r="H186" s="23">
        <v>-28580.704712968371</v>
      </c>
      <c r="I186" s="23">
        <v>-28580.704712968371</v>
      </c>
      <c r="J186" s="23">
        <v>0</v>
      </c>
      <c r="K186" s="23">
        <v>0</v>
      </c>
    </row>
    <row r="187" spans="5:11">
      <c r="E187" s="62">
        <v>176</v>
      </c>
      <c r="F187" s="43">
        <v>0.68027346646171716</v>
      </c>
      <c r="G187" s="61">
        <v>106.92141416405119</v>
      </c>
      <c r="H187" s="23">
        <v>-28580.704712968371</v>
      </c>
      <c r="I187" s="23">
        <v>-28580.704712968371</v>
      </c>
      <c r="J187" s="23">
        <v>0</v>
      </c>
      <c r="K187" s="23">
        <v>0</v>
      </c>
    </row>
    <row r="188" spans="5:11">
      <c r="E188" s="62">
        <v>177</v>
      </c>
      <c r="F188" s="43">
        <v>0.31972653353828284</v>
      </c>
      <c r="G188" s="61">
        <v>114.02892312451911</v>
      </c>
      <c r="H188" s="23">
        <v>-28580.704712968371</v>
      </c>
      <c r="I188" s="23">
        <v>-28580.704712968371</v>
      </c>
      <c r="J188" s="23">
        <v>0</v>
      </c>
      <c r="K188" s="23">
        <v>0</v>
      </c>
    </row>
    <row r="189" spans="5:11">
      <c r="E189" s="62">
        <v>178</v>
      </c>
      <c r="F189" s="43">
        <v>0.39561501587667303</v>
      </c>
      <c r="G189" s="61">
        <v>150.34604327376715</v>
      </c>
      <c r="H189" s="23">
        <v>-28580.704712968371</v>
      </c>
      <c r="I189" s="23">
        <v>-28580.704712968371</v>
      </c>
      <c r="J189" s="23">
        <v>0</v>
      </c>
      <c r="K189" s="23">
        <v>0</v>
      </c>
    </row>
    <row r="190" spans="5:11">
      <c r="E190" s="62">
        <v>179</v>
      </c>
      <c r="F190" s="43">
        <v>0.60438498412332697</v>
      </c>
      <c r="G190" s="61">
        <v>50.354389316198635</v>
      </c>
      <c r="H190" s="23">
        <v>-28580.704712968371</v>
      </c>
      <c r="I190" s="23">
        <v>-28580.704712968371</v>
      </c>
      <c r="J190" s="23">
        <v>0</v>
      </c>
      <c r="K190" s="23">
        <v>0</v>
      </c>
    </row>
    <row r="191" spans="5:11">
      <c r="E191" s="62">
        <v>180</v>
      </c>
      <c r="F191" s="43">
        <v>0.36881863130778314</v>
      </c>
      <c r="G191" s="61">
        <v>4.848653580576741</v>
      </c>
      <c r="H191" s="23">
        <v>518818.79058993806</v>
      </c>
      <c r="I191" s="23">
        <v>-27213.914462524161</v>
      </c>
      <c r="J191" s="23">
        <v>-683.39512522210543</v>
      </c>
      <c r="K191" s="23">
        <v>546716.10017768433</v>
      </c>
    </row>
    <row r="192" spans="5:11">
      <c r="E192" s="62">
        <v>181</v>
      </c>
      <c r="F192" s="43">
        <v>0.63118136869221686</v>
      </c>
      <c r="G192" s="61">
        <v>46.016202716714133</v>
      </c>
      <c r="H192" s="23">
        <v>-28580.704712968371</v>
      </c>
      <c r="I192" s="23">
        <v>-28580.704712968371</v>
      </c>
      <c r="J192" s="23">
        <v>0</v>
      </c>
      <c r="K192" s="23">
        <v>0</v>
      </c>
    </row>
    <row r="193" spans="5:11">
      <c r="E193" s="62">
        <v>182</v>
      </c>
      <c r="F193" s="43">
        <v>0.48871196597167699</v>
      </c>
      <c r="G193" s="61">
        <v>50.316762025060193</v>
      </c>
      <c r="H193" s="23">
        <v>-28580.704712968371</v>
      </c>
      <c r="I193" s="23">
        <v>-28580.704712968371</v>
      </c>
      <c r="J193" s="23">
        <v>0</v>
      </c>
      <c r="K193" s="23">
        <v>0</v>
      </c>
    </row>
    <row r="194" spans="5:11">
      <c r="E194" s="62">
        <v>183</v>
      </c>
      <c r="F194" s="43">
        <v>0.51128803402832301</v>
      </c>
      <c r="G194" s="61">
        <v>67.082218020480695</v>
      </c>
      <c r="H194" s="23">
        <v>-28580.704712968371</v>
      </c>
      <c r="I194" s="23">
        <v>-28580.704712968371</v>
      </c>
      <c r="J194" s="23">
        <v>0</v>
      </c>
      <c r="K194" s="23">
        <v>0</v>
      </c>
    </row>
    <row r="195" spans="5:11">
      <c r="E195" s="62">
        <v>184</v>
      </c>
      <c r="F195" s="43">
        <v>0.70851515340537619</v>
      </c>
      <c r="G195" s="61">
        <v>16.138172189569534</v>
      </c>
      <c r="H195" s="23">
        <v>-28580.704712968371</v>
      </c>
      <c r="I195" s="23">
        <v>-28580.704712968371</v>
      </c>
      <c r="J195" s="23">
        <v>0</v>
      </c>
      <c r="K195" s="23">
        <v>0</v>
      </c>
    </row>
    <row r="196" spans="5:11">
      <c r="E196" s="62">
        <v>185</v>
      </c>
      <c r="F196" s="43">
        <v>0.29148484659462381</v>
      </c>
      <c r="G196" s="61">
        <v>123.27672587808145</v>
      </c>
      <c r="H196" s="23">
        <v>-28580.704712968371</v>
      </c>
      <c r="I196" s="23">
        <v>-28580.704712968371</v>
      </c>
      <c r="J196" s="23">
        <v>0</v>
      </c>
      <c r="K196" s="23">
        <v>0</v>
      </c>
    </row>
    <row r="197" spans="5:11">
      <c r="E197" s="62">
        <v>186</v>
      </c>
      <c r="F197" s="43">
        <v>0.32483280963291383</v>
      </c>
      <c r="G197" s="61">
        <v>29.367279407885643</v>
      </c>
      <c r="H197" s="23">
        <v>-28580.704712968371</v>
      </c>
      <c r="I197" s="23">
        <v>-28580.704712968371</v>
      </c>
      <c r="J197" s="23">
        <v>0</v>
      </c>
      <c r="K197" s="23">
        <v>0</v>
      </c>
    </row>
    <row r="198" spans="5:11">
      <c r="E198" s="62">
        <v>187</v>
      </c>
      <c r="F198" s="43">
        <v>0.67516719036708617</v>
      </c>
      <c r="G198" s="61">
        <v>39.279492934685024</v>
      </c>
      <c r="H198" s="23">
        <v>-28580.704712968371</v>
      </c>
      <c r="I198" s="23">
        <v>-28580.704712968371</v>
      </c>
      <c r="J198" s="23">
        <v>0</v>
      </c>
      <c r="K198" s="23">
        <v>0</v>
      </c>
    </row>
    <row r="199" spans="5:11">
      <c r="E199" s="62">
        <v>188</v>
      </c>
      <c r="F199" s="43">
        <v>0.87375917167702966</v>
      </c>
      <c r="G199" s="61">
        <v>67.95287710314031</v>
      </c>
      <c r="H199" s="23">
        <v>-28580.704712968371</v>
      </c>
      <c r="I199" s="23">
        <v>-28580.704712968371</v>
      </c>
      <c r="J199" s="23">
        <v>0</v>
      </c>
      <c r="K199" s="23">
        <v>0</v>
      </c>
    </row>
    <row r="200" spans="5:11">
      <c r="E200" s="62">
        <v>189</v>
      </c>
      <c r="F200" s="43">
        <v>0.12624082832297034</v>
      </c>
      <c r="G200" s="61">
        <v>206.95638604123548</v>
      </c>
      <c r="H200" s="23">
        <v>-28580.704712968371</v>
      </c>
      <c r="I200" s="23">
        <v>-28580.704712968371</v>
      </c>
      <c r="J200" s="23">
        <v>0</v>
      </c>
      <c r="K200" s="23">
        <v>0</v>
      </c>
    </row>
    <row r="201" spans="5:11">
      <c r="E201" s="62">
        <v>190</v>
      </c>
      <c r="F201" s="43">
        <v>9.3291389646657841E-2</v>
      </c>
      <c r="G201" s="61">
        <v>188.31703160351555</v>
      </c>
      <c r="H201" s="23">
        <v>-28580.704712968371</v>
      </c>
      <c r="I201" s="23">
        <v>-28580.704712968371</v>
      </c>
      <c r="J201" s="23">
        <v>0</v>
      </c>
      <c r="K201" s="23">
        <v>0</v>
      </c>
    </row>
    <row r="202" spans="5:11">
      <c r="E202" s="62">
        <v>191</v>
      </c>
      <c r="F202" s="43">
        <v>0.90670861035334216</v>
      </c>
      <c r="G202" s="61">
        <v>9.7934148011102806</v>
      </c>
      <c r="H202" s="23">
        <v>-28580.704712968371</v>
      </c>
      <c r="I202" s="23">
        <v>-28580.704712968371</v>
      </c>
      <c r="J202" s="23">
        <v>0</v>
      </c>
      <c r="K202" s="23">
        <v>0</v>
      </c>
    </row>
    <row r="203" spans="5:11">
      <c r="E203" s="62">
        <v>192</v>
      </c>
      <c r="F203" s="43">
        <v>0.44372167623644598</v>
      </c>
      <c r="G203" s="61">
        <v>156.09987389921588</v>
      </c>
      <c r="H203" s="23">
        <v>-28580.704712968371</v>
      </c>
      <c r="I203" s="23">
        <v>-28580.704712968371</v>
      </c>
      <c r="J203" s="23">
        <v>0</v>
      </c>
      <c r="K203" s="23">
        <v>0</v>
      </c>
    </row>
    <row r="204" spans="5:11">
      <c r="E204" s="62">
        <v>193</v>
      </c>
      <c r="F204" s="43">
        <v>0.55627832376355402</v>
      </c>
      <c r="G204" s="61">
        <v>58.648652767253139</v>
      </c>
      <c r="H204" s="23">
        <v>-28580.704712968371</v>
      </c>
      <c r="I204" s="23">
        <v>-28580.704712968371</v>
      </c>
      <c r="J204" s="23">
        <v>0</v>
      </c>
      <c r="K204" s="23">
        <v>0</v>
      </c>
    </row>
    <row r="205" spans="5:11">
      <c r="E205" s="62">
        <v>194</v>
      </c>
      <c r="F205" s="43">
        <v>0.42318139082259065</v>
      </c>
      <c r="G205" s="61">
        <v>54.258472387095864</v>
      </c>
      <c r="H205" s="23">
        <v>-28580.704712968371</v>
      </c>
      <c r="I205" s="23">
        <v>-28580.704712968371</v>
      </c>
      <c r="J205" s="23">
        <v>0</v>
      </c>
      <c r="K205" s="23">
        <v>0</v>
      </c>
    </row>
    <row r="206" spans="5:11">
      <c r="E206" s="62">
        <v>195</v>
      </c>
      <c r="F206" s="43">
        <v>0.57681860917740935</v>
      </c>
      <c r="G206" s="61">
        <v>55.022743074159216</v>
      </c>
      <c r="H206" s="23">
        <v>-28580.704712968371</v>
      </c>
      <c r="I206" s="23">
        <v>-28580.704712968371</v>
      </c>
      <c r="J206" s="23">
        <v>0</v>
      </c>
      <c r="K206" s="23">
        <v>0</v>
      </c>
    </row>
    <row r="207" spans="5:11">
      <c r="E207" s="62">
        <v>196</v>
      </c>
      <c r="F207" s="43">
        <v>0.91136143316287888</v>
      </c>
      <c r="G207" s="61">
        <v>84.263882735147419</v>
      </c>
      <c r="H207" s="23">
        <v>-28580.704712968371</v>
      </c>
      <c r="I207" s="23">
        <v>-28580.704712968371</v>
      </c>
      <c r="J207" s="23">
        <v>0</v>
      </c>
      <c r="K207" s="23">
        <v>0</v>
      </c>
    </row>
    <row r="208" spans="5:11">
      <c r="E208" s="62">
        <v>197</v>
      </c>
      <c r="F208" s="43">
        <v>8.8638566837121124E-2</v>
      </c>
      <c r="G208" s="61">
        <v>242.31882244676504</v>
      </c>
      <c r="H208" s="23">
        <v>-28580.704712968371</v>
      </c>
      <c r="I208" s="23">
        <v>-28580.704712968371</v>
      </c>
      <c r="J208" s="23">
        <v>0</v>
      </c>
      <c r="K208" s="23">
        <v>0</v>
      </c>
    </row>
    <row r="209" spans="5:11">
      <c r="E209" s="62">
        <v>198</v>
      </c>
      <c r="F209" s="43">
        <v>0.70599488646989195</v>
      </c>
      <c r="G209" s="61">
        <v>32.330718060279693</v>
      </c>
      <c r="H209" s="23">
        <v>-28580.704712968371</v>
      </c>
      <c r="I209" s="23">
        <v>-28580.704712968371</v>
      </c>
      <c r="J209" s="23">
        <v>0</v>
      </c>
      <c r="K209" s="23">
        <v>0</v>
      </c>
    </row>
    <row r="210" spans="5:11">
      <c r="E210" s="62">
        <v>199</v>
      </c>
      <c r="F210" s="43">
        <v>0.29400511353010805</v>
      </c>
      <c r="G210" s="61">
        <v>122.415811883516</v>
      </c>
      <c r="H210" s="23">
        <v>-28580.704712968371</v>
      </c>
      <c r="I210" s="23">
        <v>-28580.704712968371</v>
      </c>
      <c r="J210" s="23">
        <v>0</v>
      </c>
      <c r="K210" s="23">
        <v>0</v>
      </c>
    </row>
    <row r="211" spans="5:11">
      <c r="E211" s="62">
        <v>200</v>
      </c>
      <c r="F211" s="43">
        <v>6.7610710885914971E-2</v>
      </c>
      <c r="G211" s="61">
        <v>98.422235911553273</v>
      </c>
      <c r="H211" s="23">
        <v>-28580.704712968371</v>
      </c>
      <c r="I211" s="23">
        <v>-28580.704712968371</v>
      </c>
      <c r="J211" s="23">
        <v>0</v>
      </c>
      <c r="K211" s="23">
        <v>0</v>
      </c>
    </row>
    <row r="212" spans="5:11">
      <c r="E212" s="62">
        <v>201</v>
      </c>
      <c r="F212" s="43">
        <v>0.93238928911408503</v>
      </c>
      <c r="G212" s="61">
        <v>7.0004859323147333</v>
      </c>
      <c r="H212" s="23">
        <v>-28580.704712968371</v>
      </c>
      <c r="I212" s="23">
        <v>-28580.704712968371</v>
      </c>
      <c r="J212" s="23">
        <v>0</v>
      </c>
      <c r="K212" s="23">
        <v>0</v>
      </c>
    </row>
    <row r="213" spans="5:11">
      <c r="E213" s="62">
        <v>202</v>
      </c>
      <c r="F213" s="43">
        <v>0.78944778331139021</v>
      </c>
      <c r="G213" s="61">
        <v>417.3599414111128</v>
      </c>
      <c r="H213" s="23">
        <v>-28580.704712968371</v>
      </c>
      <c r="I213" s="23">
        <v>-28580.704712968371</v>
      </c>
      <c r="J213" s="23">
        <v>0</v>
      </c>
      <c r="K213" s="23">
        <v>0</v>
      </c>
    </row>
    <row r="214" spans="5:11">
      <c r="E214" s="62">
        <v>203</v>
      </c>
      <c r="F214" s="43">
        <v>0.21055221668860979</v>
      </c>
      <c r="G214" s="61">
        <v>155.80215963431334</v>
      </c>
      <c r="H214" s="23">
        <v>-28580.704712968371</v>
      </c>
      <c r="I214" s="23">
        <v>-28580.704712968371</v>
      </c>
      <c r="J214" s="23">
        <v>0</v>
      </c>
      <c r="K214" s="23">
        <v>0</v>
      </c>
    </row>
    <row r="215" spans="5:11">
      <c r="E215" s="62">
        <v>204</v>
      </c>
      <c r="F215" s="43">
        <v>0.78940173733267394</v>
      </c>
      <c r="G215" s="61">
        <v>61.611605146112211</v>
      </c>
      <c r="H215" s="23">
        <v>-28580.704712968371</v>
      </c>
      <c r="I215" s="23">
        <v>-28580.704712968371</v>
      </c>
      <c r="J215" s="23">
        <v>0</v>
      </c>
      <c r="K215" s="23">
        <v>0</v>
      </c>
    </row>
    <row r="216" spans="5:11">
      <c r="E216" s="62">
        <v>205</v>
      </c>
      <c r="F216" s="43">
        <v>0.21059826266732606</v>
      </c>
      <c r="G216" s="61">
        <v>155.78029287591849</v>
      </c>
      <c r="H216" s="23">
        <v>-28580.704712968371</v>
      </c>
      <c r="I216" s="23">
        <v>-28580.704712968371</v>
      </c>
      <c r="J216" s="23">
        <v>0</v>
      </c>
      <c r="K216" s="23">
        <v>0</v>
      </c>
    </row>
    <row r="217" spans="5:11">
      <c r="E217" s="62">
        <v>206</v>
      </c>
      <c r="F217" s="43">
        <v>0.43075924579826408</v>
      </c>
      <c r="G217" s="61">
        <v>67.565834485141679</v>
      </c>
      <c r="H217" s="23">
        <v>-28580.704712968371</v>
      </c>
      <c r="I217" s="23">
        <v>-28580.704712968371</v>
      </c>
      <c r="J217" s="23">
        <v>0</v>
      </c>
      <c r="K217" s="23">
        <v>0</v>
      </c>
    </row>
    <row r="218" spans="5:11">
      <c r="E218" s="62">
        <v>207</v>
      </c>
      <c r="F218" s="43">
        <v>0.56924075420173592</v>
      </c>
      <c r="G218" s="61">
        <v>56.345181624004539</v>
      </c>
      <c r="H218" s="23">
        <v>-28580.704712968371</v>
      </c>
      <c r="I218" s="23">
        <v>-28580.704712968371</v>
      </c>
      <c r="J218" s="23">
        <v>0</v>
      </c>
      <c r="K218" s="23">
        <v>0</v>
      </c>
    </row>
    <row r="219" spans="5:11">
      <c r="E219" s="62">
        <v>208</v>
      </c>
      <c r="F219" s="43">
        <v>0.50710378474505702</v>
      </c>
      <c r="G219" s="61">
        <v>16.186383783330605</v>
      </c>
      <c r="H219" s="23">
        <v>-28580.704712968371</v>
      </c>
      <c r="I219" s="23">
        <v>-28580.704712968371</v>
      </c>
      <c r="J219" s="23">
        <v>0</v>
      </c>
      <c r="K219" s="23">
        <v>0</v>
      </c>
    </row>
    <row r="220" spans="5:11">
      <c r="E220" s="62">
        <v>209</v>
      </c>
      <c r="F220" s="43">
        <v>0.49289621525494298</v>
      </c>
      <c r="G220" s="61">
        <v>70.745664382545641</v>
      </c>
      <c r="H220" s="23">
        <v>-28580.704712968371</v>
      </c>
      <c r="I220" s="23">
        <v>-28580.704712968371</v>
      </c>
      <c r="J220" s="23">
        <v>0</v>
      </c>
      <c r="K220" s="23">
        <v>0</v>
      </c>
    </row>
    <row r="221" spans="5:11">
      <c r="E221" s="62">
        <v>210</v>
      </c>
      <c r="F221" s="43">
        <v>0.88825175934242862</v>
      </c>
      <c r="G221" s="61">
        <v>228.48448068726091</v>
      </c>
      <c r="H221" s="23">
        <v>-28580.704712968371</v>
      </c>
      <c r="I221" s="23">
        <v>-28580.704712968371</v>
      </c>
      <c r="J221" s="23">
        <v>0</v>
      </c>
      <c r="K221" s="23">
        <v>0</v>
      </c>
    </row>
    <row r="222" spans="5:11">
      <c r="E222" s="62">
        <v>211</v>
      </c>
      <c r="F222" s="43">
        <v>0.11174824065757138</v>
      </c>
      <c r="G222" s="61">
        <v>219.15067891687983</v>
      </c>
      <c r="H222" s="23">
        <v>-28580.704712968371</v>
      </c>
      <c r="I222" s="23">
        <v>-28580.704712968371</v>
      </c>
      <c r="J222" s="23">
        <v>0</v>
      </c>
      <c r="K222" s="23">
        <v>0</v>
      </c>
    </row>
    <row r="223" spans="5:11">
      <c r="E223" s="62">
        <v>212</v>
      </c>
      <c r="F223" s="43">
        <v>0.69061605409883464</v>
      </c>
      <c r="G223" s="61">
        <v>184.39623464877681</v>
      </c>
      <c r="H223" s="23">
        <v>-28580.704712968371</v>
      </c>
      <c r="I223" s="23">
        <v>-28580.704712968371</v>
      </c>
      <c r="J223" s="23">
        <v>0</v>
      </c>
      <c r="K223" s="23">
        <v>0</v>
      </c>
    </row>
    <row r="224" spans="5:11">
      <c r="E224" s="62">
        <v>213</v>
      </c>
      <c r="F224" s="43">
        <v>0.30938394590116536</v>
      </c>
      <c r="G224" s="61">
        <v>117.31722300330722</v>
      </c>
      <c r="H224" s="23">
        <v>-28580.704712968371</v>
      </c>
      <c r="I224" s="23">
        <v>-28580.704712968371</v>
      </c>
      <c r="J224" s="23">
        <v>0</v>
      </c>
      <c r="K224" s="23">
        <v>0</v>
      </c>
    </row>
    <row r="225" spans="5:11">
      <c r="E225" s="62">
        <v>214</v>
      </c>
      <c r="F225" s="43">
        <v>0.79011478560397175</v>
      </c>
      <c r="G225" s="61">
        <v>92.000060476259947</v>
      </c>
      <c r="H225" s="23">
        <v>-28580.704712968371</v>
      </c>
      <c r="I225" s="23">
        <v>-28580.704712968371</v>
      </c>
      <c r="J225" s="23">
        <v>0</v>
      </c>
      <c r="K225" s="23">
        <v>0</v>
      </c>
    </row>
    <row r="226" spans="5:11">
      <c r="E226" s="62">
        <v>215</v>
      </c>
      <c r="F226" s="43">
        <v>0.20988521439602825</v>
      </c>
      <c r="G226" s="61">
        <v>156.11944958180266</v>
      </c>
      <c r="H226" s="23">
        <v>-28580.704712968371</v>
      </c>
      <c r="I226" s="23">
        <v>-28580.704712968371</v>
      </c>
      <c r="J226" s="23">
        <v>0</v>
      </c>
      <c r="K226" s="23">
        <v>0</v>
      </c>
    </row>
    <row r="227" spans="5:11">
      <c r="E227" s="62">
        <v>216</v>
      </c>
      <c r="F227" s="43">
        <v>0.1333251040559329</v>
      </c>
      <c r="G227" s="61">
        <v>70.186445821533553</v>
      </c>
      <c r="H227" s="23">
        <v>-28580.704712968371</v>
      </c>
      <c r="I227" s="23">
        <v>-28580.704712968371</v>
      </c>
      <c r="J227" s="23">
        <v>0</v>
      </c>
      <c r="K227" s="23">
        <v>0</v>
      </c>
    </row>
    <row r="228" spans="5:11">
      <c r="E228" s="62">
        <v>217</v>
      </c>
      <c r="F228" s="43">
        <v>0.8666748959440671</v>
      </c>
      <c r="G228" s="61">
        <v>14.309134836567615</v>
      </c>
      <c r="H228" s="23">
        <v>-28580.704712968371</v>
      </c>
      <c r="I228" s="23">
        <v>-28580.704712968371</v>
      </c>
      <c r="J228" s="23">
        <v>0</v>
      </c>
      <c r="K228" s="23">
        <v>0</v>
      </c>
    </row>
    <row r="229" spans="5:11">
      <c r="E229" s="62">
        <v>218</v>
      </c>
      <c r="F229" s="43">
        <v>0.46150281618792433</v>
      </c>
      <c r="G229" s="61">
        <v>16.381667651289412</v>
      </c>
      <c r="H229" s="23">
        <v>-28580.704712968371</v>
      </c>
      <c r="I229" s="23">
        <v>-28580.704712968371</v>
      </c>
      <c r="J229" s="23">
        <v>0</v>
      </c>
      <c r="K229" s="23">
        <v>0</v>
      </c>
    </row>
    <row r="230" spans="5:11">
      <c r="E230" s="62">
        <v>219</v>
      </c>
      <c r="F230" s="43">
        <v>0.53849718381207567</v>
      </c>
      <c r="G230" s="61">
        <v>61.897301208910747</v>
      </c>
      <c r="H230" s="23">
        <v>-28580.704712968371</v>
      </c>
      <c r="I230" s="23">
        <v>-28580.704712968371</v>
      </c>
      <c r="J230" s="23">
        <v>0</v>
      </c>
      <c r="K230" s="23">
        <v>0</v>
      </c>
    </row>
    <row r="231" spans="5:11">
      <c r="E231" s="62">
        <v>220</v>
      </c>
      <c r="F231" s="43">
        <v>0.33023552238298559</v>
      </c>
      <c r="G231" s="61">
        <v>233.2365549811918</v>
      </c>
      <c r="H231" s="23">
        <v>-28580.704712968371</v>
      </c>
      <c r="I231" s="23">
        <v>-28580.704712968371</v>
      </c>
      <c r="J231" s="23">
        <v>0</v>
      </c>
      <c r="K231" s="23">
        <v>0</v>
      </c>
    </row>
    <row r="232" spans="5:11">
      <c r="E232" s="62">
        <v>221</v>
      </c>
      <c r="F232" s="43">
        <v>0.66976447761701441</v>
      </c>
      <c r="G232" s="61">
        <v>40.08291543416081</v>
      </c>
      <c r="H232" s="23">
        <v>-28580.704712968371</v>
      </c>
      <c r="I232" s="23">
        <v>-28580.704712968371</v>
      </c>
      <c r="J232" s="23">
        <v>0</v>
      </c>
      <c r="K232" s="23">
        <v>0</v>
      </c>
    </row>
    <row r="233" spans="5:11">
      <c r="E233" s="62">
        <v>222</v>
      </c>
      <c r="F233" s="43">
        <v>0.82743649895325488</v>
      </c>
      <c r="G233" s="61">
        <v>169.74431754601378</v>
      </c>
      <c r="H233" s="23">
        <v>-28580.704712968371</v>
      </c>
      <c r="I233" s="23">
        <v>-28580.704712968371</v>
      </c>
      <c r="J233" s="23">
        <v>0</v>
      </c>
      <c r="K233" s="23">
        <v>0</v>
      </c>
    </row>
    <row r="234" spans="5:11">
      <c r="E234" s="62">
        <v>223</v>
      </c>
      <c r="F234" s="43">
        <v>0.17256350104674512</v>
      </c>
      <c r="G234" s="61">
        <v>175.69899882408893</v>
      </c>
      <c r="H234" s="23">
        <v>-28580.704712968371</v>
      </c>
      <c r="I234" s="23">
        <v>-28580.704712968371</v>
      </c>
      <c r="J234" s="23">
        <v>0</v>
      </c>
      <c r="K234" s="23">
        <v>0</v>
      </c>
    </row>
    <row r="235" spans="5:11">
      <c r="E235" s="62">
        <v>224</v>
      </c>
      <c r="F235" s="43">
        <v>0.45378359337841878</v>
      </c>
      <c r="G235" s="61">
        <v>63.639115530984768</v>
      </c>
      <c r="H235" s="23">
        <v>-28580.704712968371</v>
      </c>
      <c r="I235" s="23">
        <v>-28580.704712968371</v>
      </c>
      <c r="J235" s="23">
        <v>0</v>
      </c>
      <c r="K235" s="23">
        <v>0</v>
      </c>
    </row>
    <row r="236" spans="5:11">
      <c r="E236" s="62">
        <v>225</v>
      </c>
      <c r="F236" s="43">
        <v>0.54621640662158122</v>
      </c>
      <c r="G236" s="61">
        <v>60.474003263902254</v>
      </c>
      <c r="H236" s="23">
        <v>-28580.704712968371</v>
      </c>
      <c r="I236" s="23">
        <v>-28580.704712968371</v>
      </c>
      <c r="J236" s="23">
        <v>0</v>
      </c>
      <c r="K236" s="23">
        <v>0</v>
      </c>
    </row>
    <row r="237" spans="5:11">
      <c r="E237" s="62">
        <v>226</v>
      </c>
      <c r="F237" s="43">
        <v>6.5025397974541432E-2</v>
      </c>
      <c r="G237" s="61">
        <v>270.34985806678128</v>
      </c>
      <c r="H237" s="23">
        <v>-28580.704712968371</v>
      </c>
      <c r="I237" s="23">
        <v>-28580.704712968371</v>
      </c>
      <c r="J237" s="23">
        <v>0</v>
      </c>
      <c r="K237" s="23">
        <v>0</v>
      </c>
    </row>
    <row r="238" spans="5:11">
      <c r="E238" s="62">
        <v>227</v>
      </c>
      <c r="F238" s="43">
        <v>0.93497460202545857</v>
      </c>
      <c r="G238" s="61">
        <v>6.7235913671522791</v>
      </c>
      <c r="H238" s="23">
        <v>-28580.704712968371</v>
      </c>
      <c r="I238" s="23">
        <v>-28580.704712968371</v>
      </c>
      <c r="J238" s="23">
        <v>0</v>
      </c>
      <c r="K238" s="23">
        <v>0</v>
      </c>
    </row>
    <row r="239" spans="5:11">
      <c r="E239" s="62">
        <v>228</v>
      </c>
      <c r="F239" s="43">
        <v>2.1789599239451451E-2</v>
      </c>
      <c r="G239" s="61">
        <v>16.453805561287009</v>
      </c>
      <c r="H239" s="23">
        <v>-28580.704712968371</v>
      </c>
      <c r="I239" s="23">
        <v>-28580.704712968371</v>
      </c>
      <c r="J239" s="23">
        <v>0</v>
      </c>
      <c r="K239" s="23">
        <v>0</v>
      </c>
    </row>
    <row r="240" spans="5:11">
      <c r="E240" s="62">
        <v>229</v>
      </c>
      <c r="F240" s="43">
        <v>0.97821040076054855</v>
      </c>
      <c r="G240" s="61">
        <v>2.2030498383263764</v>
      </c>
      <c r="H240" s="23">
        <v>562936.73695936962</v>
      </c>
      <c r="I240" s="23">
        <v>-11752.175920696782</v>
      </c>
      <c r="J240" s="23">
        <v>-719.26021637054612</v>
      </c>
      <c r="K240" s="23">
        <v>575408.17309643689</v>
      </c>
    </row>
    <row r="241" spans="5:11">
      <c r="E241" s="62">
        <v>230</v>
      </c>
      <c r="F241" s="43">
        <v>0.12899515186331045</v>
      </c>
      <c r="G241" s="61">
        <v>62.57865475282167</v>
      </c>
      <c r="H241" s="23">
        <v>-28580.704712968371</v>
      </c>
      <c r="I241" s="23">
        <v>-28580.704712968371</v>
      </c>
      <c r="J241" s="23">
        <v>0</v>
      </c>
      <c r="K241" s="23">
        <v>0</v>
      </c>
    </row>
    <row r="242" spans="5:11">
      <c r="E242" s="62">
        <v>231</v>
      </c>
      <c r="F242" s="43">
        <v>0.87100484813668955</v>
      </c>
      <c r="G242" s="61">
        <v>13.810773597211782</v>
      </c>
      <c r="H242" s="23">
        <v>-28580.704712968371</v>
      </c>
      <c r="I242" s="23">
        <v>-28580.704712968371</v>
      </c>
      <c r="J242" s="23">
        <v>0</v>
      </c>
      <c r="K242" s="23">
        <v>0</v>
      </c>
    </row>
    <row r="243" spans="5:11">
      <c r="E243" s="62">
        <v>232</v>
      </c>
      <c r="F243" s="43">
        <v>0.75444602834259489</v>
      </c>
      <c r="G243" s="61">
        <v>72.348128737809972</v>
      </c>
      <c r="H243" s="23">
        <v>-28580.704712968371</v>
      </c>
      <c r="I243" s="23">
        <v>-28580.704712968371</v>
      </c>
      <c r="J243" s="23">
        <v>0</v>
      </c>
      <c r="K243" s="23">
        <v>0</v>
      </c>
    </row>
    <row r="244" spans="5:11">
      <c r="E244" s="62">
        <v>233</v>
      </c>
      <c r="F244" s="43">
        <v>0.24555397165740511</v>
      </c>
      <c r="G244" s="61">
        <v>140.42385120913221</v>
      </c>
      <c r="H244" s="23">
        <v>-28580.704712968371</v>
      </c>
      <c r="I244" s="23">
        <v>-28580.704712968371</v>
      </c>
      <c r="J244" s="23">
        <v>0</v>
      </c>
      <c r="K244" s="23">
        <v>0</v>
      </c>
    </row>
    <row r="245" spans="5:11">
      <c r="E245" s="62">
        <v>234</v>
      </c>
      <c r="F245" s="43">
        <v>0.66094757189385511</v>
      </c>
      <c r="G245" s="61">
        <v>69.541267993035419</v>
      </c>
      <c r="H245" s="23">
        <v>-28580.704712968371</v>
      </c>
      <c r="I245" s="23">
        <v>-28580.704712968371</v>
      </c>
      <c r="J245" s="23">
        <v>0</v>
      </c>
      <c r="K245" s="23">
        <v>0</v>
      </c>
    </row>
    <row r="246" spans="5:11">
      <c r="E246" s="62">
        <v>235</v>
      </c>
      <c r="F246" s="43">
        <v>0.33905242810614489</v>
      </c>
      <c r="G246" s="61">
        <v>108.16005283791978</v>
      </c>
      <c r="H246" s="23">
        <v>-28580.704712968371</v>
      </c>
      <c r="I246" s="23">
        <v>-28580.704712968371</v>
      </c>
      <c r="J246" s="23">
        <v>0</v>
      </c>
      <c r="K246" s="23">
        <v>0</v>
      </c>
    </row>
    <row r="247" spans="5:11">
      <c r="E247" s="62">
        <v>236</v>
      </c>
      <c r="F247" s="43">
        <v>0.8826322893505959</v>
      </c>
      <c r="G247" s="61">
        <v>65.697320032504479</v>
      </c>
      <c r="H247" s="23">
        <v>-28580.704712968371</v>
      </c>
      <c r="I247" s="23">
        <v>-28580.704712968371</v>
      </c>
      <c r="J247" s="23">
        <v>0</v>
      </c>
      <c r="K247" s="23">
        <v>0</v>
      </c>
    </row>
    <row r="248" spans="5:11">
      <c r="E248" s="62">
        <v>237</v>
      </c>
      <c r="F248" s="43">
        <v>0.1173677106494041</v>
      </c>
      <c r="G248" s="61">
        <v>214.24434464756555</v>
      </c>
      <c r="H248" s="23">
        <v>-28580.704712968371</v>
      </c>
      <c r="I248" s="23">
        <v>-28580.704712968371</v>
      </c>
      <c r="J248" s="23">
        <v>0</v>
      </c>
      <c r="K248" s="23">
        <v>0</v>
      </c>
    </row>
    <row r="249" spans="5:11">
      <c r="E249" s="62">
        <v>238</v>
      </c>
      <c r="F249" s="43">
        <v>0.66616373189266753</v>
      </c>
      <c r="G249" s="61">
        <v>174.15133293997249</v>
      </c>
      <c r="H249" s="23">
        <v>-28580.704712968371</v>
      </c>
      <c r="I249" s="23">
        <v>-28580.704712968371</v>
      </c>
      <c r="J249" s="23">
        <v>0</v>
      </c>
      <c r="K249" s="23">
        <v>0</v>
      </c>
    </row>
    <row r="250" spans="5:11">
      <c r="E250" s="62">
        <v>239</v>
      </c>
      <c r="F250" s="43">
        <v>0.33383626810733247</v>
      </c>
      <c r="G250" s="61">
        <v>109.71046214477211</v>
      </c>
      <c r="H250" s="23">
        <v>-28580.704712968371</v>
      </c>
      <c r="I250" s="23">
        <v>-28580.704712968371</v>
      </c>
      <c r="J250" s="23">
        <v>0</v>
      </c>
      <c r="K250" s="23">
        <v>0</v>
      </c>
    </row>
    <row r="251" spans="5:11">
      <c r="E251" s="62">
        <v>240</v>
      </c>
      <c r="F251" s="43">
        <v>0.76066081273490749</v>
      </c>
      <c r="G251" s="61">
        <v>68.116614331701612</v>
      </c>
      <c r="H251" s="23">
        <v>-28580.704712968371</v>
      </c>
      <c r="I251" s="23">
        <v>-28580.704712968371</v>
      </c>
      <c r="J251" s="23">
        <v>0</v>
      </c>
      <c r="K251" s="23">
        <v>0</v>
      </c>
    </row>
    <row r="252" spans="5:11">
      <c r="E252" s="62">
        <v>241</v>
      </c>
      <c r="F252" s="43">
        <v>0.23933918726509251</v>
      </c>
      <c r="G252" s="61">
        <v>142.98735395762478</v>
      </c>
      <c r="H252" s="23">
        <v>-28580.704712968371</v>
      </c>
      <c r="I252" s="23">
        <v>-28580.704712968371</v>
      </c>
      <c r="J252" s="23">
        <v>0</v>
      </c>
      <c r="K252" s="23">
        <v>0</v>
      </c>
    </row>
    <row r="253" spans="5:11">
      <c r="E253" s="62">
        <v>242</v>
      </c>
      <c r="F253" s="43">
        <v>0.75674295995277208</v>
      </c>
      <c r="G253" s="61">
        <v>119.065190846856</v>
      </c>
      <c r="H253" s="23">
        <v>-28580.704712968371</v>
      </c>
      <c r="I253" s="23">
        <v>-28580.704712968371</v>
      </c>
      <c r="J253" s="23">
        <v>0</v>
      </c>
      <c r="K253" s="23">
        <v>0</v>
      </c>
    </row>
    <row r="254" spans="5:11">
      <c r="E254" s="62">
        <v>243</v>
      </c>
      <c r="F254" s="43">
        <v>0.24325704004722792</v>
      </c>
      <c r="G254" s="61">
        <v>141.36366167223753</v>
      </c>
      <c r="H254" s="23">
        <v>-28580.704712968371</v>
      </c>
      <c r="I254" s="23">
        <v>-28580.704712968371</v>
      </c>
      <c r="J254" s="23">
        <v>0</v>
      </c>
      <c r="K254" s="23">
        <v>0</v>
      </c>
    </row>
    <row r="255" spans="5:11">
      <c r="E255" s="62">
        <v>244</v>
      </c>
      <c r="F255" s="43">
        <v>0.88538595345251969</v>
      </c>
      <c r="G255" s="61">
        <v>20.292766159037292</v>
      </c>
      <c r="H255" s="23">
        <v>-28580.704712968371</v>
      </c>
      <c r="I255" s="23">
        <v>-28580.704712968371</v>
      </c>
      <c r="J255" s="23">
        <v>0</v>
      </c>
      <c r="K255" s="23">
        <v>0</v>
      </c>
    </row>
    <row r="256" spans="5:11">
      <c r="E256" s="62">
        <v>245</v>
      </c>
      <c r="F256" s="43">
        <v>0.11461404654748031</v>
      </c>
      <c r="G256" s="61">
        <v>216.61849119902726</v>
      </c>
      <c r="H256" s="23">
        <v>-28580.704712968371</v>
      </c>
      <c r="I256" s="23">
        <v>-28580.704712968371</v>
      </c>
      <c r="J256" s="23">
        <v>0</v>
      </c>
      <c r="K256" s="23">
        <v>0</v>
      </c>
    </row>
    <row r="257" spans="5:11">
      <c r="E257" s="62">
        <v>246</v>
      </c>
      <c r="F257" s="43">
        <v>0.39437713494099169</v>
      </c>
      <c r="G257" s="61">
        <v>161.75217878145537</v>
      </c>
      <c r="H257" s="23">
        <v>-28580.704712968371</v>
      </c>
      <c r="I257" s="23">
        <v>-28580.704712968371</v>
      </c>
      <c r="J257" s="23">
        <v>0</v>
      </c>
      <c r="K257" s="23">
        <v>0</v>
      </c>
    </row>
    <row r="258" spans="5:11">
      <c r="E258" s="62">
        <v>247</v>
      </c>
      <c r="F258" s="43">
        <v>0.60562286505900831</v>
      </c>
      <c r="G258" s="61">
        <v>50.149782152968378</v>
      </c>
      <c r="H258" s="23">
        <v>-28580.704712968371</v>
      </c>
      <c r="I258" s="23">
        <v>-28580.704712968371</v>
      </c>
      <c r="J258" s="23">
        <v>0</v>
      </c>
      <c r="K258" s="23">
        <v>0</v>
      </c>
    </row>
    <row r="259" spans="5:11">
      <c r="E259" s="62">
        <v>248</v>
      </c>
      <c r="F259" s="43">
        <v>0.72063838690516069</v>
      </c>
      <c r="G259" s="61">
        <v>107.02764360101551</v>
      </c>
      <c r="H259" s="23">
        <v>-28580.704712968371</v>
      </c>
      <c r="I259" s="23">
        <v>-28580.704712968371</v>
      </c>
      <c r="J259" s="23">
        <v>0</v>
      </c>
      <c r="K259" s="23">
        <v>0</v>
      </c>
    </row>
    <row r="260" spans="5:11">
      <c r="E260" s="62">
        <v>249</v>
      </c>
      <c r="F260" s="43">
        <v>0.27936161309483931</v>
      </c>
      <c r="G260" s="61">
        <v>127.52482320962844</v>
      </c>
      <c r="H260" s="23">
        <v>-28580.704712968371</v>
      </c>
      <c r="I260" s="23">
        <v>-28580.704712968371</v>
      </c>
      <c r="J260" s="23">
        <v>0</v>
      </c>
      <c r="K260" s="23">
        <v>0</v>
      </c>
    </row>
    <row r="261" spans="5:11">
      <c r="E261" s="62">
        <v>250</v>
      </c>
      <c r="F261" s="43">
        <v>0.71521589916309247</v>
      </c>
      <c r="G261" s="61">
        <v>93.915574543500213</v>
      </c>
      <c r="H261" s="23">
        <v>-28580.704712968371</v>
      </c>
      <c r="I261" s="23">
        <v>-28580.704712968371</v>
      </c>
      <c r="J261" s="23">
        <v>0</v>
      </c>
      <c r="K261" s="23">
        <v>0</v>
      </c>
    </row>
    <row r="262" spans="5:11">
      <c r="E262" s="62">
        <v>251</v>
      </c>
      <c r="F262" s="43">
        <v>0.28478410083690753</v>
      </c>
      <c r="G262" s="61">
        <v>125.60239267157351</v>
      </c>
      <c r="H262" s="23">
        <v>-28580.704712968371</v>
      </c>
      <c r="I262" s="23">
        <v>-28580.704712968371</v>
      </c>
      <c r="J262" s="23">
        <v>0</v>
      </c>
      <c r="K262" s="23">
        <v>0</v>
      </c>
    </row>
    <row r="263" spans="5:11">
      <c r="E263" s="62">
        <v>252</v>
      </c>
      <c r="F263" s="43">
        <v>0.33107830779626035</v>
      </c>
      <c r="G263" s="61">
        <v>33.36742830515368</v>
      </c>
      <c r="H263" s="23">
        <v>-28580.704712968371</v>
      </c>
      <c r="I263" s="23">
        <v>-28580.704712968371</v>
      </c>
      <c r="J263" s="23">
        <v>0</v>
      </c>
      <c r="K263" s="23">
        <v>0</v>
      </c>
    </row>
    <row r="264" spans="5:11">
      <c r="E264" s="62">
        <v>253</v>
      </c>
      <c r="F264" s="43">
        <v>0.66892169220373965</v>
      </c>
      <c r="G264" s="61">
        <v>40.208827771737731</v>
      </c>
      <c r="H264" s="23">
        <v>-28580.704712968371</v>
      </c>
      <c r="I264" s="23">
        <v>-28580.704712968371</v>
      </c>
      <c r="J264" s="23">
        <v>0</v>
      </c>
      <c r="K264" s="23">
        <v>0</v>
      </c>
    </row>
    <row r="265" spans="5:11">
      <c r="E265" s="62">
        <v>254</v>
      </c>
      <c r="F265" s="43">
        <v>0.20233358904028731</v>
      </c>
      <c r="G265" s="61">
        <v>4.208555199428381</v>
      </c>
      <c r="H265" s="23">
        <v>530628.03630754212</v>
      </c>
      <c r="I265" s="23">
        <v>-23075.202562092149</v>
      </c>
      <c r="J265" s="23">
        <v>-692.99529270292135</v>
      </c>
      <c r="K265" s="23">
        <v>554396.23416233715</v>
      </c>
    </row>
    <row r="266" spans="5:11">
      <c r="E266" s="62">
        <v>255</v>
      </c>
      <c r="F266" s="43">
        <v>0.79766641095971269</v>
      </c>
      <c r="G266" s="61">
        <v>22.606480031060926</v>
      </c>
      <c r="H266" s="23">
        <v>-28580.704712968371</v>
      </c>
      <c r="I266" s="23">
        <v>-28580.704712968371</v>
      </c>
      <c r="J266" s="23">
        <v>0</v>
      </c>
      <c r="K266" s="23">
        <v>0</v>
      </c>
    </row>
    <row r="267" spans="5:11">
      <c r="E267" s="62">
        <v>256</v>
      </c>
      <c r="F267" s="43">
        <v>0.65416602653753164</v>
      </c>
      <c r="G267" s="61">
        <v>44.476219381755243</v>
      </c>
      <c r="H267" s="23">
        <v>-28580.704712968371</v>
      </c>
      <c r="I267" s="23">
        <v>-28580.704712968371</v>
      </c>
      <c r="J267" s="23">
        <v>0</v>
      </c>
      <c r="K267" s="23">
        <v>0</v>
      </c>
    </row>
    <row r="268" spans="5:11">
      <c r="E268" s="62">
        <v>257</v>
      </c>
      <c r="F268" s="43">
        <v>0.34583397346246836</v>
      </c>
      <c r="G268" s="61">
        <v>106.17964645712942</v>
      </c>
      <c r="H268" s="23">
        <v>-28580.704712968371</v>
      </c>
      <c r="I268" s="23">
        <v>-28580.704712968371</v>
      </c>
      <c r="J268" s="23">
        <v>0</v>
      </c>
      <c r="K268" s="23">
        <v>0</v>
      </c>
    </row>
    <row r="269" spans="5:11">
      <c r="E269" s="62">
        <v>258</v>
      </c>
      <c r="F269" s="43">
        <v>0.13275387228112068</v>
      </c>
      <c r="G269" s="61">
        <v>215.96231612491226</v>
      </c>
      <c r="H269" s="23">
        <v>-28580.704712968371</v>
      </c>
      <c r="I269" s="23">
        <v>-28580.704712968371</v>
      </c>
      <c r="J269" s="23">
        <v>0</v>
      </c>
      <c r="K269" s="23">
        <v>0</v>
      </c>
    </row>
    <row r="270" spans="5:11">
      <c r="E270" s="62">
        <v>259</v>
      </c>
      <c r="F270" s="43">
        <v>0.86724612771887932</v>
      </c>
      <c r="G270" s="61">
        <v>14.243245815362773</v>
      </c>
      <c r="H270" s="23">
        <v>-28580.704712968371</v>
      </c>
      <c r="I270" s="23">
        <v>-28580.704712968371</v>
      </c>
      <c r="J270" s="23">
        <v>0</v>
      </c>
      <c r="K270" s="23">
        <v>0</v>
      </c>
    </row>
    <row r="271" spans="5:11">
      <c r="E271" s="62">
        <v>260</v>
      </c>
      <c r="F271" s="43">
        <v>0.63959179568977598</v>
      </c>
      <c r="G271" s="61">
        <v>243.46646947176569</v>
      </c>
      <c r="H271" s="23">
        <v>-28580.704712968371</v>
      </c>
      <c r="I271" s="23">
        <v>-28580.704712968371</v>
      </c>
      <c r="J271" s="23">
        <v>0</v>
      </c>
      <c r="K271" s="23">
        <v>0</v>
      </c>
    </row>
    <row r="272" spans="5:11">
      <c r="E272" s="62">
        <v>261</v>
      </c>
      <c r="F272" s="43">
        <v>0.36040820431022402</v>
      </c>
      <c r="G272" s="61">
        <v>102.05179890502791</v>
      </c>
      <c r="H272" s="23">
        <v>-28580.704712968371</v>
      </c>
      <c r="I272" s="23">
        <v>-28580.704712968371</v>
      </c>
      <c r="J272" s="23">
        <v>0</v>
      </c>
      <c r="K272" s="23">
        <v>0</v>
      </c>
    </row>
    <row r="273" spans="5:11">
      <c r="E273" s="62">
        <v>262</v>
      </c>
      <c r="F273" s="43">
        <v>0.82416355109789963</v>
      </c>
      <c r="G273" s="61">
        <v>21.70670433801385</v>
      </c>
      <c r="H273" s="23">
        <v>-28580.704712968371</v>
      </c>
      <c r="I273" s="23">
        <v>-28580.704712968371</v>
      </c>
      <c r="J273" s="23">
        <v>0</v>
      </c>
      <c r="K273" s="23">
        <v>0</v>
      </c>
    </row>
    <row r="274" spans="5:11">
      <c r="E274" s="62">
        <v>263</v>
      </c>
      <c r="F274" s="43">
        <v>0.17583644890210037</v>
      </c>
      <c r="G274" s="61">
        <v>173.82009835824979</v>
      </c>
      <c r="H274" s="23">
        <v>-28580.704712968371</v>
      </c>
      <c r="I274" s="23">
        <v>-28580.704712968371</v>
      </c>
      <c r="J274" s="23">
        <v>0</v>
      </c>
      <c r="K274" s="23">
        <v>0</v>
      </c>
    </row>
    <row r="275" spans="5:11">
      <c r="E275" s="62">
        <v>264</v>
      </c>
      <c r="F275" s="43">
        <v>0.85775527615418079</v>
      </c>
      <c r="G275" s="61">
        <v>353.42105011483397</v>
      </c>
      <c r="H275" s="23">
        <v>-28580.704712968371</v>
      </c>
      <c r="I275" s="23">
        <v>-28580.704712968371</v>
      </c>
      <c r="J275" s="23">
        <v>0</v>
      </c>
      <c r="K275" s="23">
        <v>0</v>
      </c>
    </row>
    <row r="276" spans="5:11">
      <c r="E276" s="62">
        <v>265</v>
      </c>
      <c r="F276" s="43">
        <v>0.14224472384581921</v>
      </c>
      <c r="G276" s="61">
        <v>195.02062973783777</v>
      </c>
      <c r="H276" s="23">
        <v>-28580.704712968371</v>
      </c>
      <c r="I276" s="23">
        <v>-28580.704712968371</v>
      </c>
      <c r="J276" s="23">
        <v>0</v>
      </c>
      <c r="K276" s="23">
        <v>0</v>
      </c>
    </row>
    <row r="277" spans="5:11">
      <c r="E277" s="62">
        <v>266</v>
      </c>
      <c r="F277" s="43">
        <v>0.70342288199239533</v>
      </c>
      <c r="G277" s="61">
        <v>115.50080875549075</v>
      </c>
      <c r="H277" s="23">
        <v>-28580.704712968371</v>
      </c>
      <c r="I277" s="23">
        <v>-28580.704712968371</v>
      </c>
      <c r="J277" s="23">
        <v>0</v>
      </c>
      <c r="K277" s="23">
        <v>0</v>
      </c>
    </row>
    <row r="278" spans="5:11">
      <c r="E278" s="62">
        <v>267</v>
      </c>
      <c r="F278" s="43">
        <v>0.29657711800760467</v>
      </c>
      <c r="G278" s="61">
        <v>121.54479999023333</v>
      </c>
      <c r="H278" s="23">
        <v>-28580.704712968371</v>
      </c>
      <c r="I278" s="23">
        <v>-28580.704712968371</v>
      </c>
      <c r="J278" s="23">
        <v>0</v>
      </c>
      <c r="K278" s="23">
        <v>0</v>
      </c>
    </row>
    <row r="279" spans="5:11">
      <c r="E279" s="62">
        <v>268</v>
      </c>
      <c r="F279" s="43">
        <v>0.58384491036658692</v>
      </c>
      <c r="G279" s="61">
        <v>230.10421889797442</v>
      </c>
      <c r="H279" s="23">
        <v>-28580.704712968371</v>
      </c>
      <c r="I279" s="23">
        <v>-28580.704712968371</v>
      </c>
      <c r="J279" s="23">
        <v>0</v>
      </c>
      <c r="K279" s="23">
        <v>0</v>
      </c>
    </row>
    <row r="280" spans="5:11">
      <c r="E280" s="62">
        <v>269</v>
      </c>
      <c r="F280" s="43">
        <v>0.41615508963341308</v>
      </c>
      <c r="G280" s="61">
        <v>87.669727657907643</v>
      </c>
      <c r="H280" s="23">
        <v>-28580.704712968371</v>
      </c>
      <c r="I280" s="23">
        <v>-28580.704712968371</v>
      </c>
      <c r="J280" s="23">
        <v>0</v>
      </c>
      <c r="K280" s="23">
        <v>0</v>
      </c>
    </row>
    <row r="281" spans="5:11">
      <c r="E281" s="62">
        <v>270</v>
      </c>
      <c r="F281" s="43">
        <v>5.7215202532156173E-2</v>
      </c>
      <c r="G281" s="61">
        <v>134.04725391801654</v>
      </c>
      <c r="H281" s="23">
        <v>-28580.704712968371</v>
      </c>
      <c r="I281" s="23">
        <v>-28580.704712968371</v>
      </c>
      <c r="J281" s="23">
        <v>0</v>
      </c>
      <c r="K281" s="23">
        <v>0</v>
      </c>
    </row>
    <row r="282" spans="5:11">
      <c r="E282" s="62">
        <v>271</v>
      </c>
      <c r="F282" s="43">
        <v>0.94278479746784383</v>
      </c>
      <c r="G282" s="61">
        <v>5.8917232925174741</v>
      </c>
      <c r="H282" s="23">
        <v>-28580.704712968371</v>
      </c>
      <c r="I282" s="23">
        <v>-28580.704712968371</v>
      </c>
      <c r="J282" s="23">
        <v>0</v>
      </c>
      <c r="K282" s="23">
        <v>0</v>
      </c>
    </row>
    <row r="283" spans="5:11">
      <c r="E283" s="62">
        <v>272</v>
      </c>
      <c r="F283" s="43">
        <v>0.64358622374999253</v>
      </c>
      <c r="G283" s="61">
        <v>205.95287102833692</v>
      </c>
      <c r="H283" s="23">
        <v>-28580.704712968371</v>
      </c>
      <c r="I283" s="23">
        <v>-28580.704712968371</v>
      </c>
      <c r="J283" s="23">
        <v>0</v>
      </c>
      <c r="K283" s="23">
        <v>0</v>
      </c>
    </row>
    <row r="284" spans="5:11">
      <c r="E284" s="62">
        <v>273</v>
      </c>
      <c r="F284" s="43">
        <v>0.35641377625000747</v>
      </c>
      <c r="G284" s="61">
        <v>103.16629302323923</v>
      </c>
      <c r="H284" s="23">
        <v>-28580.704712968371</v>
      </c>
      <c r="I284" s="23">
        <v>-28580.704712968371</v>
      </c>
      <c r="J284" s="23">
        <v>0</v>
      </c>
      <c r="K284" s="23">
        <v>0</v>
      </c>
    </row>
    <row r="285" spans="5:11">
      <c r="E285" s="62">
        <v>274</v>
      </c>
      <c r="F285" s="43">
        <v>0.71915379151581671</v>
      </c>
      <c r="G285" s="61">
        <v>245.99590746039667</v>
      </c>
      <c r="H285" s="23">
        <v>-28580.704712968371</v>
      </c>
      <c r="I285" s="23">
        <v>-28580.704712968371</v>
      </c>
      <c r="J285" s="23">
        <v>0</v>
      </c>
      <c r="K285" s="23">
        <v>0</v>
      </c>
    </row>
    <row r="286" spans="5:11">
      <c r="E286" s="62">
        <v>275</v>
      </c>
      <c r="F286" s="43">
        <v>0.28084620848418329</v>
      </c>
      <c r="G286" s="61">
        <v>126.99480602401557</v>
      </c>
      <c r="H286" s="23">
        <v>-28580.704712968371</v>
      </c>
      <c r="I286" s="23">
        <v>-28580.704712968371</v>
      </c>
      <c r="J286" s="23">
        <v>0</v>
      </c>
      <c r="K286" s="23">
        <v>0</v>
      </c>
    </row>
    <row r="287" spans="5:11">
      <c r="E287" s="62">
        <v>276</v>
      </c>
      <c r="F287" s="43">
        <v>0.80076660169308067</v>
      </c>
      <c r="G287" s="61">
        <v>17.460865498620315</v>
      </c>
      <c r="H287" s="23">
        <v>-28580.704712968371</v>
      </c>
      <c r="I287" s="23">
        <v>-28580.704712968371</v>
      </c>
      <c r="J287" s="23">
        <v>0</v>
      </c>
      <c r="K287" s="23">
        <v>0</v>
      </c>
    </row>
    <row r="288" spans="5:11">
      <c r="E288" s="62">
        <v>277</v>
      </c>
      <c r="F288" s="43">
        <v>0.19923339830691933</v>
      </c>
      <c r="G288" s="61">
        <v>161.32782857020422</v>
      </c>
      <c r="H288" s="23">
        <v>-28580.704712968371</v>
      </c>
      <c r="I288" s="23">
        <v>-28580.704712968371</v>
      </c>
      <c r="J288" s="23">
        <v>0</v>
      </c>
      <c r="K288" s="23">
        <v>0</v>
      </c>
    </row>
    <row r="289" spans="5:11">
      <c r="E289" s="62">
        <v>278</v>
      </c>
      <c r="F289" s="43">
        <v>0.25636396130765127</v>
      </c>
      <c r="G289" s="61">
        <v>70.552646810942107</v>
      </c>
      <c r="H289" s="23">
        <v>-28580.704712968371</v>
      </c>
      <c r="I289" s="23">
        <v>-28580.704712968371</v>
      </c>
      <c r="J289" s="23">
        <v>0</v>
      </c>
      <c r="K289" s="23">
        <v>0</v>
      </c>
    </row>
    <row r="290" spans="5:11">
      <c r="E290" s="62">
        <v>279</v>
      </c>
      <c r="F290" s="43">
        <v>0.74363603869234873</v>
      </c>
      <c r="G290" s="61">
        <v>29.620355915008954</v>
      </c>
      <c r="H290" s="23">
        <v>-28580.704712968371</v>
      </c>
      <c r="I290" s="23">
        <v>-28580.704712968371</v>
      </c>
      <c r="J290" s="23">
        <v>0</v>
      </c>
      <c r="K290" s="23">
        <v>0</v>
      </c>
    </row>
    <row r="291" spans="5:11">
      <c r="E291" s="62">
        <v>280</v>
      </c>
      <c r="F291" s="43">
        <v>0.78029247745330288</v>
      </c>
      <c r="G291" s="61">
        <v>36.33691708893393</v>
      </c>
      <c r="H291" s="23">
        <v>-28580.704712968371</v>
      </c>
      <c r="I291" s="23">
        <v>-28580.704712968371</v>
      </c>
      <c r="J291" s="23">
        <v>0</v>
      </c>
      <c r="K291" s="23">
        <v>0</v>
      </c>
    </row>
    <row r="292" spans="5:11">
      <c r="E292" s="62">
        <v>281</v>
      </c>
      <c r="F292" s="43">
        <v>0.21970752254669712</v>
      </c>
      <c r="G292" s="61">
        <v>151.54580600926479</v>
      </c>
      <c r="H292" s="23">
        <v>-28580.704712968371</v>
      </c>
      <c r="I292" s="23">
        <v>-28580.704712968371</v>
      </c>
      <c r="J292" s="23">
        <v>0</v>
      </c>
      <c r="K292" s="23">
        <v>0</v>
      </c>
    </row>
    <row r="293" spans="5:11">
      <c r="E293" s="62">
        <v>282</v>
      </c>
      <c r="F293" s="43">
        <v>0.61655967756459873</v>
      </c>
      <c r="G293" s="61">
        <v>61.296672005617424</v>
      </c>
      <c r="H293" s="23">
        <v>-28580.704712968371</v>
      </c>
      <c r="I293" s="23">
        <v>-28580.704712968371</v>
      </c>
      <c r="J293" s="23">
        <v>0</v>
      </c>
      <c r="K293" s="23">
        <v>0</v>
      </c>
    </row>
    <row r="294" spans="5:11">
      <c r="E294" s="62">
        <v>283</v>
      </c>
      <c r="F294" s="43">
        <v>0.38344032243540127</v>
      </c>
      <c r="G294" s="61">
        <v>95.857128322927537</v>
      </c>
      <c r="H294" s="23">
        <v>-28580.704712968371</v>
      </c>
      <c r="I294" s="23">
        <v>-28580.704712968371</v>
      </c>
      <c r="J294" s="23">
        <v>0</v>
      </c>
      <c r="K294" s="23">
        <v>0</v>
      </c>
    </row>
    <row r="295" spans="5:11">
      <c r="E295" s="62">
        <v>284</v>
      </c>
      <c r="F295" s="43">
        <v>0.94046935453402003</v>
      </c>
      <c r="G295" s="61">
        <v>479.59250386406609</v>
      </c>
      <c r="H295" s="23">
        <v>-28580.704712968371</v>
      </c>
      <c r="I295" s="23">
        <v>-28580.704712968371</v>
      </c>
      <c r="J295" s="23">
        <v>0</v>
      </c>
      <c r="K295" s="23">
        <v>0</v>
      </c>
    </row>
    <row r="296" spans="5:11">
      <c r="E296" s="62">
        <v>285</v>
      </c>
      <c r="F296" s="43">
        <v>5.953064546597997E-2</v>
      </c>
      <c r="G296" s="61">
        <v>282.1264049174797</v>
      </c>
      <c r="H296" s="23">
        <v>-28580.704712968371</v>
      </c>
      <c r="I296" s="23">
        <v>-28580.704712968371</v>
      </c>
      <c r="J296" s="23">
        <v>0</v>
      </c>
      <c r="K296" s="23">
        <v>0</v>
      </c>
    </row>
    <row r="297" spans="5:11">
      <c r="E297" s="62">
        <v>286</v>
      </c>
      <c r="F297" s="43">
        <v>0.27934710635794313</v>
      </c>
      <c r="G297" s="61">
        <v>18.642514705082561</v>
      </c>
      <c r="H297" s="23">
        <v>-28580.704712968371</v>
      </c>
      <c r="I297" s="23">
        <v>-28580.704712968371</v>
      </c>
      <c r="J297" s="23">
        <v>0</v>
      </c>
      <c r="K297" s="23">
        <v>0</v>
      </c>
    </row>
    <row r="298" spans="5:11">
      <c r="E298" s="62">
        <v>287</v>
      </c>
      <c r="F298" s="43">
        <v>0.72065289364205687</v>
      </c>
      <c r="G298" s="61">
        <v>32.75976811387293</v>
      </c>
      <c r="H298" s="23">
        <v>-28580.704712968371</v>
      </c>
      <c r="I298" s="23">
        <v>-28580.704712968371</v>
      </c>
      <c r="J298" s="23">
        <v>0</v>
      </c>
      <c r="K298" s="23">
        <v>0</v>
      </c>
    </row>
    <row r="299" spans="5:11">
      <c r="E299" s="62">
        <v>288</v>
      </c>
      <c r="F299" s="43">
        <v>0.2993265191699348</v>
      </c>
      <c r="G299" s="61">
        <v>218.54163271379113</v>
      </c>
      <c r="H299" s="23">
        <v>-28580.704712968371</v>
      </c>
      <c r="I299" s="23">
        <v>-28580.704712968371</v>
      </c>
      <c r="J299" s="23">
        <v>0</v>
      </c>
      <c r="K299" s="23">
        <v>0</v>
      </c>
    </row>
    <row r="300" spans="5:11">
      <c r="E300" s="62">
        <v>289</v>
      </c>
      <c r="F300" s="43">
        <v>0.7006734808300652</v>
      </c>
      <c r="G300" s="61">
        <v>35.571329100364906</v>
      </c>
      <c r="H300" s="23">
        <v>-28580.704712968371</v>
      </c>
      <c r="I300" s="23">
        <v>-28580.704712968371</v>
      </c>
      <c r="J300" s="23">
        <v>0</v>
      </c>
      <c r="K300" s="23">
        <v>0</v>
      </c>
    </row>
    <row r="301" spans="5:11">
      <c r="E301" s="62">
        <v>290</v>
      </c>
      <c r="F301" s="43">
        <v>0.22647795878920141</v>
      </c>
      <c r="G301" s="61">
        <v>212.22871563712542</v>
      </c>
      <c r="H301" s="23">
        <v>-28580.704712968371</v>
      </c>
      <c r="I301" s="23">
        <v>-28580.704712968371</v>
      </c>
      <c r="J301" s="23">
        <v>0</v>
      </c>
      <c r="K301" s="23">
        <v>0</v>
      </c>
    </row>
    <row r="302" spans="5:11">
      <c r="E302" s="62">
        <v>291</v>
      </c>
      <c r="F302" s="43">
        <v>0.77352204121079859</v>
      </c>
      <c r="G302" s="61">
        <v>25.680111395057054</v>
      </c>
      <c r="H302" s="23">
        <v>-28580.704712968371</v>
      </c>
      <c r="I302" s="23">
        <v>-28580.704712968371</v>
      </c>
      <c r="J302" s="23">
        <v>0</v>
      </c>
      <c r="K302" s="23">
        <v>0</v>
      </c>
    </row>
    <row r="303" spans="5:11">
      <c r="E303" s="62">
        <v>292</v>
      </c>
      <c r="F303" s="43">
        <v>0.82238361993640008</v>
      </c>
      <c r="G303" s="61">
        <v>310.17632333554093</v>
      </c>
      <c r="H303" s="23">
        <v>-28580.704712968371</v>
      </c>
      <c r="I303" s="23">
        <v>-28580.704712968371</v>
      </c>
      <c r="J303" s="23">
        <v>0</v>
      </c>
      <c r="K303" s="23">
        <v>0</v>
      </c>
    </row>
    <row r="304" spans="5:11">
      <c r="E304" s="62">
        <v>293</v>
      </c>
      <c r="F304" s="43">
        <v>0.17761638006359992</v>
      </c>
      <c r="G304" s="61">
        <v>172.8129222589163</v>
      </c>
      <c r="H304" s="23">
        <v>-28580.704712968371</v>
      </c>
      <c r="I304" s="23">
        <v>-28580.704712968371</v>
      </c>
      <c r="J304" s="23">
        <v>0</v>
      </c>
      <c r="K304" s="23">
        <v>0</v>
      </c>
    </row>
    <row r="305" spans="5:11">
      <c r="E305" s="62">
        <v>294</v>
      </c>
      <c r="F305" s="43">
        <v>0.18023218314663614</v>
      </c>
      <c r="G305" s="61">
        <v>6.6625517188530115</v>
      </c>
      <c r="H305" s="23">
        <v>-28580.704712968371</v>
      </c>
      <c r="I305" s="23">
        <v>-28580.704712968371</v>
      </c>
      <c r="J305" s="23">
        <v>0</v>
      </c>
      <c r="K305" s="23">
        <v>0</v>
      </c>
    </row>
    <row r="306" spans="5:11">
      <c r="E306" s="62">
        <v>295</v>
      </c>
      <c r="F306" s="43">
        <v>0.81976781685336386</v>
      </c>
      <c r="G306" s="61">
        <v>19.87341289972434</v>
      </c>
      <c r="H306" s="23">
        <v>-28580.704712968371</v>
      </c>
      <c r="I306" s="23">
        <v>-28580.704712968371</v>
      </c>
      <c r="J306" s="23">
        <v>0</v>
      </c>
      <c r="K306" s="23">
        <v>0</v>
      </c>
    </row>
    <row r="307" spans="5:11">
      <c r="E307" s="62">
        <v>296</v>
      </c>
      <c r="F307" s="43">
        <v>0.2109622874088225</v>
      </c>
      <c r="G307" s="61">
        <v>160.29942535676122</v>
      </c>
      <c r="H307" s="23">
        <v>-28580.704712968371</v>
      </c>
      <c r="I307" s="23">
        <v>-28580.704712968371</v>
      </c>
      <c r="J307" s="23">
        <v>0</v>
      </c>
      <c r="K307" s="23">
        <v>0</v>
      </c>
    </row>
    <row r="308" spans="5:11">
      <c r="E308" s="62">
        <v>297</v>
      </c>
      <c r="F308" s="43">
        <v>0.7890377125911775</v>
      </c>
      <c r="G308" s="61">
        <v>23.694116131761422</v>
      </c>
      <c r="H308" s="23">
        <v>-28580.704712968371</v>
      </c>
      <c r="I308" s="23">
        <v>-28580.704712968371</v>
      </c>
      <c r="J308" s="23">
        <v>0</v>
      </c>
      <c r="K308" s="23">
        <v>0</v>
      </c>
    </row>
    <row r="309" spans="5:11">
      <c r="E309" s="62">
        <v>298</v>
      </c>
      <c r="F309" s="43">
        <v>0.94473242758830001</v>
      </c>
      <c r="G309" s="61">
        <v>289.85338609381404</v>
      </c>
      <c r="H309" s="23">
        <v>-28580.704712968371</v>
      </c>
      <c r="I309" s="23">
        <v>-28580.704712968371</v>
      </c>
      <c r="J309" s="23">
        <v>0</v>
      </c>
      <c r="K309" s="23">
        <v>0</v>
      </c>
    </row>
    <row r="310" spans="5:11">
      <c r="E310" s="62">
        <v>299</v>
      </c>
      <c r="F310" s="43">
        <v>5.5267572411699994E-2</v>
      </c>
      <c r="G310" s="61">
        <v>289.55689364518611</v>
      </c>
      <c r="H310" s="23">
        <v>-28580.704712968371</v>
      </c>
      <c r="I310" s="23">
        <v>-28580.704712968371</v>
      </c>
      <c r="J310" s="23">
        <v>0</v>
      </c>
      <c r="K310" s="23">
        <v>0</v>
      </c>
    </row>
    <row r="311" spans="5:11">
      <c r="E311" s="62">
        <v>300</v>
      </c>
      <c r="F311" s="43">
        <v>2.7621465536364909E-4</v>
      </c>
      <c r="G311" s="61">
        <v>65.749800494128323</v>
      </c>
      <c r="H311" s="23">
        <v>-28580.704712968371</v>
      </c>
      <c r="I311" s="23">
        <v>-28580.704712968371</v>
      </c>
      <c r="J311" s="23">
        <v>0</v>
      </c>
      <c r="K311" s="23">
        <v>0</v>
      </c>
    </row>
    <row r="312" spans="5:11">
      <c r="E312" s="62">
        <v>301</v>
      </c>
      <c r="F312" s="43">
        <v>0.99972378534463635</v>
      </c>
      <c r="G312" s="61">
        <v>2.7625280965757976E-2</v>
      </c>
      <c r="H312" s="23">
        <v>596469.95611133089</v>
      </c>
      <c r="I312" s="23">
        <v>0</v>
      </c>
      <c r="J312" s="23">
        <v>-746.52059588401869</v>
      </c>
      <c r="K312" s="23">
        <v>597216.47670721496</v>
      </c>
    </row>
    <row r="313" spans="5:11">
      <c r="E313" s="62">
        <v>302</v>
      </c>
      <c r="F313" s="43">
        <v>1.9526431615721873E-2</v>
      </c>
      <c r="G313" s="61">
        <v>7.8612233894100569</v>
      </c>
      <c r="H313" s="23">
        <v>-28580.704712968371</v>
      </c>
      <c r="I313" s="23">
        <v>-28580.704712968371</v>
      </c>
      <c r="J313" s="23">
        <v>0</v>
      </c>
      <c r="K313" s="23">
        <v>0</v>
      </c>
    </row>
    <row r="314" spans="5:11">
      <c r="E314" s="62">
        <v>303</v>
      </c>
      <c r="F314" s="43">
        <v>0.98047356838427813</v>
      </c>
      <c r="G314" s="61">
        <v>1.9719590991825371</v>
      </c>
      <c r="H314" s="23">
        <v>567060.48828038177</v>
      </c>
      <c r="I314" s="23">
        <v>-10306.95079160545</v>
      </c>
      <c r="J314" s="23">
        <v>-722.61256454566615</v>
      </c>
      <c r="K314" s="23">
        <v>578090.05163653288</v>
      </c>
    </row>
    <row r="315" spans="5:11">
      <c r="E315" s="62">
        <v>304</v>
      </c>
      <c r="F315" s="43">
        <v>0.87117997985928486</v>
      </c>
      <c r="G315" s="61">
        <v>254.15146794132278</v>
      </c>
      <c r="H315" s="23">
        <v>-28580.704712968371</v>
      </c>
      <c r="I315" s="23">
        <v>-28580.704712968371</v>
      </c>
      <c r="J315" s="23">
        <v>0</v>
      </c>
      <c r="K315" s="23">
        <v>0</v>
      </c>
    </row>
    <row r="316" spans="5:11">
      <c r="E316" s="62">
        <v>305</v>
      </c>
      <c r="F316" s="43">
        <v>0.12882002014071514</v>
      </c>
      <c r="G316" s="61">
        <v>204.93390415156702</v>
      </c>
      <c r="H316" s="23">
        <v>-28580.704712968371</v>
      </c>
      <c r="I316" s="23">
        <v>-28580.704712968371</v>
      </c>
      <c r="J316" s="23">
        <v>0</v>
      </c>
      <c r="K316" s="23">
        <v>0</v>
      </c>
    </row>
    <row r="317" spans="5:11">
      <c r="E317" s="62">
        <v>306</v>
      </c>
      <c r="F317" s="43">
        <v>0.31711423404144701</v>
      </c>
      <c r="G317" s="61">
        <v>49.962526188423851</v>
      </c>
      <c r="H317" s="23">
        <v>-28580.704712968371</v>
      </c>
      <c r="I317" s="23">
        <v>-28580.704712968371</v>
      </c>
      <c r="J317" s="23">
        <v>0</v>
      </c>
      <c r="K317" s="23">
        <v>0</v>
      </c>
    </row>
    <row r="318" spans="5:11">
      <c r="E318" s="62">
        <v>307</v>
      </c>
      <c r="F318" s="43">
        <v>0.68288576595855299</v>
      </c>
      <c r="G318" s="61">
        <v>38.142768675472276</v>
      </c>
      <c r="H318" s="23">
        <v>-28580.704712968371</v>
      </c>
      <c r="I318" s="23">
        <v>-28580.704712968371</v>
      </c>
      <c r="J318" s="23">
        <v>0</v>
      </c>
      <c r="K318" s="23">
        <v>0</v>
      </c>
    </row>
    <row r="319" spans="5:11">
      <c r="E319" s="62">
        <v>308</v>
      </c>
      <c r="F319" s="43">
        <v>0.66303089729570019</v>
      </c>
      <c r="G319" s="61">
        <v>23.202085863854489</v>
      </c>
      <c r="H319" s="23">
        <v>-28580.704712968371</v>
      </c>
      <c r="I319" s="23">
        <v>-28580.704712968371</v>
      </c>
      <c r="J319" s="23">
        <v>0</v>
      </c>
      <c r="K319" s="23">
        <v>0</v>
      </c>
    </row>
    <row r="320" spans="5:11">
      <c r="E320" s="62">
        <v>309</v>
      </c>
      <c r="F320" s="43">
        <v>0.33696910270429981</v>
      </c>
      <c r="G320" s="61">
        <v>108.77640362029825</v>
      </c>
      <c r="H320" s="23">
        <v>-28580.704712968371</v>
      </c>
      <c r="I320" s="23">
        <v>-28580.704712968371</v>
      </c>
      <c r="J320" s="23">
        <v>0</v>
      </c>
      <c r="K320" s="23">
        <v>0</v>
      </c>
    </row>
    <row r="321" spans="5:11">
      <c r="E321" s="62">
        <v>310</v>
      </c>
      <c r="F321" s="43">
        <v>0.93327792782159114</v>
      </c>
      <c r="G321" s="61">
        <v>30.194299773405913</v>
      </c>
      <c r="H321" s="23">
        <v>-28580.704712968371</v>
      </c>
      <c r="I321" s="23">
        <v>-28580.704712968371</v>
      </c>
      <c r="J321" s="23">
        <v>0</v>
      </c>
      <c r="K321" s="23">
        <v>0</v>
      </c>
    </row>
    <row r="322" spans="5:11">
      <c r="E322" s="62">
        <v>311</v>
      </c>
      <c r="F322" s="43">
        <v>6.6722072178408864E-2</v>
      </c>
      <c r="G322" s="61">
        <v>270.72194635840611</v>
      </c>
      <c r="H322" s="23">
        <v>-28580.704712968371</v>
      </c>
      <c r="I322" s="23">
        <v>-28580.704712968371</v>
      </c>
      <c r="J322" s="23">
        <v>0</v>
      </c>
      <c r="K322" s="23">
        <v>0</v>
      </c>
    </row>
    <row r="323" spans="5:11">
      <c r="E323" s="62">
        <v>312</v>
      </c>
      <c r="F323" s="43">
        <v>9.0763479540967196E-2</v>
      </c>
      <c r="G323" s="61">
        <v>55.680775656328649</v>
      </c>
      <c r="H323" s="23">
        <v>-28580.704712968371</v>
      </c>
      <c r="I323" s="23">
        <v>-28580.704712968371</v>
      </c>
      <c r="J323" s="23">
        <v>0</v>
      </c>
      <c r="K323" s="23">
        <v>0</v>
      </c>
    </row>
    <row r="324" spans="5:11">
      <c r="E324" s="62">
        <v>313</v>
      </c>
      <c r="F324" s="43">
        <v>0.9092365204590328</v>
      </c>
      <c r="G324" s="61">
        <v>9.5150020125634853</v>
      </c>
      <c r="H324" s="23">
        <v>-28580.704712968371</v>
      </c>
      <c r="I324" s="23">
        <v>-28580.704712968371</v>
      </c>
      <c r="J324" s="23">
        <v>0</v>
      </c>
      <c r="K324" s="23">
        <v>0</v>
      </c>
    </row>
    <row r="325" spans="5:11">
      <c r="E325" s="62">
        <v>314</v>
      </c>
      <c r="F325" s="43">
        <v>0.98262268018652033</v>
      </c>
      <c r="G325" s="61">
        <v>7.0122468541196703</v>
      </c>
      <c r="H325" s="23">
        <v>-28580.704712968371</v>
      </c>
      <c r="I325" s="23">
        <v>-28580.704712968371</v>
      </c>
      <c r="J325" s="23">
        <v>0</v>
      </c>
      <c r="K325" s="23">
        <v>0</v>
      </c>
    </row>
    <row r="326" spans="5:11">
      <c r="E326" s="62">
        <v>315</v>
      </c>
      <c r="F326" s="43">
        <v>1.7377319813479675E-2</v>
      </c>
      <c r="G326" s="61">
        <v>405.25893819986686</v>
      </c>
      <c r="H326" s="23">
        <v>-28580.704712968371</v>
      </c>
      <c r="I326" s="23">
        <v>-28580.704712968371</v>
      </c>
      <c r="J326" s="23">
        <v>0</v>
      </c>
      <c r="K326" s="23">
        <v>0</v>
      </c>
    </row>
    <row r="327" spans="5:11">
      <c r="E327" s="62">
        <v>316</v>
      </c>
      <c r="F327" s="43">
        <v>0.68761184321107227</v>
      </c>
      <c r="G327" s="61">
        <v>39.534655336283322</v>
      </c>
      <c r="H327" s="23">
        <v>-28580.704712968371</v>
      </c>
      <c r="I327" s="23">
        <v>-28580.704712968371</v>
      </c>
      <c r="J327" s="23">
        <v>0</v>
      </c>
      <c r="K327" s="23">
        <v>0</v>
      </c>
    </row>
    <row r="328" spans="5:11">
      <c r="E328" s="62">
        <v>317</v>
      </c>
      <c r="F328" s="43">
        <v>0.31238815678892773</v>
      </c>
      <c r="G328" s="61">
        <v>116.35087721419852</v>
      </c>
      <c r="H328" s="23">
        <v>-28580.704712968371</v>
      </c>
      <c r="I328" s="23">
        <v>-28580.704712968371</v>
      </c>
      <c r="J328" s="23">
        <v>0</v>
      </c>
      <c r="K328" s="23">
        <v>0</v>
      </c>
    </row>
    <row r="329" spans="5:11">
      <c r="E329" s="62">
        <v>318</v>
      </c>
      <c r="F329" s="43">
        <v>0.84807040547828882</v>
      </c>
      <c r="G329" s="61">
        <v>62.827520751267883</v>
      </c>
      <c r="H329" s="23">
        <v>-28580.704712968371</v>
      </c>
      <c r="I329" s="23">
        <v>-28580.704712968371</v>
      </c>
      <c r="J329" s="23">
        <v>0</v>
      </c>
      <c r="K329" s="23">
        <v>0</v>
      </c>
    </row>
    <row r="330" spans="5:11">
      <c r="E330" s="62">
        <v>319</v>
      </c>
      <c r="F330" s="43">
        <v>0.15192959452171118</v>
      </c>
      <c r="G330" s="61">
        <v>188.433805937942</v>
      </c>
      <c r="H330" s="23">
        <v>-28580.704712968371</v>
      </c>
      <c r="I330" s="23">
        <v>-28580.704712968371</v>
      </c>
      <c r="J330" s="23">
        <v>0</v>
      </c>
      <c r="K330" s="23">
        <v>0</v>
      </c>
    </row>
    <row r="331" spans="5:11">
      <c r="E331" s="62">
        <v>320</v>
      </c>
      <c r="F331" s="43">
        <v>0.83468724314384413</v>
      </c>
      <c r="G331" s="61">
        <v>4.9013774299236843</v>
      </c>
      <c r="H331" s="23">
        <v>518818.79058993806</v>
      </c>
      <c r="I331" s="23">
        <v>-27213.914462524161</v>
      </c>
      <c r="J331" s="23">
        <v>-683.39512522210543</v>
      </c>
      <c r="K331" s="23">
        <v>546716.10017768433</v>
      </c>
    </row>
    <row r="332" spans="5:11">
      <c r="E332" s="62">
        <v>321</v>
      </c>
      <c r="F332" s="43">
        <v>0.16531275685615587</v>
      </c>
      <c r="G332" s="61">
        <v>179.99161031694803</v>
      </c>
      <c r="H332" s="23">
        <v>-28580.704712968371</v>
      </c>
      <c r="I332" s="23">
        <v>-28580.704712968371</v>
      </c>
      <c r="J332" s="23">
        <v>0</v>
      </c>
      <c r="K332" s="23">
        <v>0</v>
      </c>
    </row>
    <row r="333" spans="5:11">
      <c r="E333" s="62">
        <v>322</v>
      </c>
      <c r="F333" s="43">
        <v>0.5317199666865623</v>
      </c>
      <c r="G333" s="61">
        <v>228.37341006416776</v>
      </c>
      <c r="H333" s="23">
        <v>-28580.704712968371</v>
      </c>
      <c r="I333" s="23">
        <v>-28580.704712968371</v>
      </c>
      <c r="J333" s="23">
        <v>0</v>
      </c>
      <c r="K333" s="23">
        <v>0</v>
      </c>
    </row>
    <row r="334" spans="5:11">
      <c r="E334" s="62">
        <v>323</v>
      </c>
      <c r="F334" s="43">
        <v>0.4682800333134377</v>
      </c>
      <c r="G334" s="61">
        <v>75.868880023067106</v>
      </c>
      <c r="H334" s="23">
        <v>-28580.704712968371</v>
      </c>
      <c r="I334" s="23">
        <v>-28580.704712968371</v>
      </c>
      <c r="J334" s="23">
        <v>0</v>
      </c>
      <c r="K334" s="23">
        <v>0</v>
      </c>
    </row>
    <row r="335" spans="5:11">
      <c r="E335" s="62">
        <v>324</v>
      </c>
      <c r="F335" s="43">
        <v>0.94353792042612838</v>
      </c>
      <c r="G335" s="61">
        <v>7.2311617856492481</v>
      </c>
      <c r="H335" s="23">
        <v>-28580.704712968371</v>
      </c>
      <c r="I335" s="23">
        <v>-28580.704712968371</v>
      </c>
      <c r="J335" s="23">
        <v>0</v>
      </c>
      <c r="K335" s="23">
        <v>0</v>
      </c>
    </row>
    <row r="336" spans="5:11">
      <c r="E336" s="62">
        <v>325</v>
      </c>
      <c r="F336" s="43">
        <v>5.6462079573871615E-2</v>
      </c>
      <c r="G336" s="61">
        <v>287.41860241416612</v>
      </c>
      <c r="H336" s="23">
        <v>-28580.704712968371</v>
      </c>
      <c r="I336" s="23">
        <v>-28580.704712968371</v>
      </c>
      <c r="J336" s="23">
        <v>0</v>
      </c>
      <c r="K336" s="23">
        <v>0</v>
      </c>
    </row>
    <row r="337" spans="5:11">
      <c r="E337" s="62">
        <v>326</v>
      </c>
      <c r="F337" s="43">
        <v>0.98176622382796164</v>
      </c>
      <c r="G337" s="61">
        <v>110.91792553686037</v>
      </c>
      <c r="H337" s="23">
        <v>-28580.704712968371</v>
      </c>
      <c r="I337" s="23">
        <v>-28580.704712968371</v>
      </c>
      <c r="J337" s="23">
        <v>0</v>
      </c>
      <c r="K337" s="23">
        <v>0</v>
      </c>
    </row>
    <row r="338" spans="5:11">
      <c r="E338" s="62">
        <v>327</v>
      </c>
      <c r="F338" s="43">
        <v>1.8233776172038363E-2</v>
      </c>
      <c r="G338" s="61">
        <v>400.44795712025251</v>
      </c>
      <c r="H338" s="23">
        <v>-28580.704712968371</v>
      </c>
      <c r="I338" s="23">
        <v>-28580.704712968371</v>
      </c>
      <c r="J338" s="23">
        <v>0</v>
      </c>
      <c r="K338" s="23">
        <v>0</v>
      </c>
    </row>
    <row r="339" spans="5:11">
      <c r="E339" s="62">
        <v>328</v>
      </c>
      <c r="F339" s="43">
        <v>0.4620142852142467</v>
      </c>
      <c r="G339" s="61">
        <v>387.77091351422843</v>
      </c>
      <c r="H339" s="23">
        <v>-28580.704712968371</v>
      </c>
      <c r="I339" s="23">
        <v>-28580.704712968371</v>
      </c>
      <c r="J339" s="23">
        <v>0</v>
      </c>
      <c r="K339" s="23">
        <v>0</v>
      </c>
    </row>
    <row r="340" spans="5:11">
      <c r="E340" s="62">
        <v>329</v>
      </c>
      <c r="F340" s="43">
        <v>0.5379857147857533</v>
      </c>
      <c r="G340" s="61">
        <v>61.992327161571268</v>
      </c>
      <c r="H340" s="23">
        <v>-28580.704712968371</v>
      </c>
      <c r="I340" s="23">
        <v>-28580.704712968371</v>
      </c>
      <c r="J340" s="23">
        <v>0</v>
      </c>
      <c r="K340" s="23">
        <v>0</v>
      </c>
    </row>
    <row r="341" spans="5:11">
      <c r="E341" s="62">
        <v>330</v>
      </c>
      <c r="F341" s="43">
        <v>0.250519050938799</v>
      </c>
      <c r="G341" s="61">
        <v>32.688802292987752</v>
      </c>
      <c r="H341" s="23">
        <v>-28580.704712968371</v>
      </c>
      <c r="I341" s="23">
        <v>-28580.704712968371</v>
      </c>
      <c r="J341" s="23">
        <v>0</v>
      </c>
      <c r="K341" s="23">
        <v>0</v>
      </c>
    </row>
    <row r="342" spans="5:11">
      <c r="E342" s="62">
        <v>331</v>
      </c>
      <c r="F342" s="43">
        <v>0.749480949061201</v>
      </c>
      <c r="G342" s="61">
        <v>28.83743799597293</v>
      </c>
      <c r="H342" s="23">
        <v>-28580.704712968371</v>
      </c>
      <c r="I342" s="23">
        <v>-28580.704712968371</v>
      </c>
      <c r="J342" s="23">
        <v>0</v>
      </c>
      <c r="K342" s="23">
        <v>0</v>
      </c>
    </row>
    <row r="343" spans="5:11">
      <c r="E343" s="62">
        <v>332</v>
      </c>
      <c r="F343" s="43">
        <v>0.27987033194313937</v>
      </c>
      <c r="G343" s="61">
        <v>170.04649853022775</v>
      </c>
      <c r="H343" s="23">
        <v>-28580.704712968371</v>
      </c>
      <c r="I343" s="23">
        <v>-28580.704712968371</v>
      </c>
      <c r="J343" s="23">
        <v>0</v>
      </c>
      <c r="K343" s="23">
        <v>0</v>
      </c>
    </row>
    <row r="344" spans="5:11">
      <c r="E344" s="62">
        <v>333</v>
      </c>
      <c r="F344" s="43">
        <v>0.72012966805686063</v>
      </c>
      <c r="G344" s="61">
        <v>32.83239886636904</v>
      </c>
      <c r="H344" s="23">
        <v>-28580.704712968371</v>
      </c>
      <c r="I344" s="23">
        <v>-28580.704712968371</v>
      </c>
      <c r="J344" s="23">
        <v>0</v>
      </c>
      <c r="K344" s="23">
        <v>0</v>
      </c>
    </row>
    <row r="345" spans="5:11">
      <c r="E345" s="62">
        <v>334</v>
      </c>
      <c r="F345" s="43">
        <v>0.98642342100616698</v>
      </c>
      <c r="G345" s="61">
        <v>223.21025229435202</v>
      </c>
      <c r="H345" s="23">
        <v>-28580.704712968371</v>
      </c>
      <c r="I345" s="23">
        <v>-28580.704712968371</v>
      </c>
      <c r="J345" s="23">
        <v>0</v>
      </c>
      <c r="K345" s="23">
        <v>0</v>
      </c>
    </row>
    <row r="346" spans="5:11">
      <c r="E346" s="62">
        <v>335</v>
      </c>
      <c r="F346" s="43">
        <v>1.3576578993833022E-2</v>
      </c>
      <c r="G346" s="61">
        <v>429.94091036218964</v>
      </c>
      <c r="H346" s="23">
        <v>-28580.704712968371</v>
      </c>
      <c r="I346" s="23">
        <v>-28580.704712968371</v>
      </c>
      <c r="J346" s="23">
        <v>0</v>
      </c>
      <c r="K346" s="23">
        <v>0</v>
      </c>
    </row>
    <row r="347" spans="5:11">
      <c r="E347" s="62">
        <v>336</v>
      </c>
      <c r="F347" s="43">
        <v>0.23865325848406638</v>
      </c>
      <c r="G347" s="61">
        <v>136.85355111774913</v>
      </c>
      <c r="H347" s="23">
        <v>-28580.704712968371</v>
      </c>
      <c r="I347" s="23">
        <v>-28580.704712968371</v>
      </c>
      <c r="J347" s="23">
        <v>0</v>
      </c>
      <c r="K347" s="23">
        <v>0</v>
      </c>
    </row>
    <row r="348" spans="5:11">
      <c r="E348" s="62">
        <v>337</v>
      </c>
      <c r="F348" s="43">
        <v>0.76134674151593362</v>
      </c>
      <c r="G348" s="61">
        <v>27.266638558117656</v>
      </c>
      <c r="H348" s="23">
        <v>-28580.704712968371</v>
      </c>
      <c r="I348" s="23">
        <v>-28580.704712968371</v>
      </c>
      <c r="J348" s="23">
        <v>0</v>
      </c>
      <c r="K348" s="23">
        <v>0</v>
      </c>
    </row>
    <row r="349" spans="5:11">
      <c r="E349" s="62">
        <v>338</v>
      </c>
      <c r="F349" s="43">
        <v>1.8633206046480444E-2</v>
      </c>
      <c r="G349" s="61">
        <v>241.21730038453214</v>
      </c>
      <c r="H349" s="23">
        <v>-28580.704712968371</v>
      </c>
      <c r="I349" s="23">
        <v>-28580.704712968371</v>
      </c>
      <c r="J349" s="23">
        <v>0</v>
      </c>
      <c r="K349" s="23">
        <v>0</v>
      </c>
    </row>
    <row r="350" spans="5:11">
      <c r="E350" s="62">
        <v>339</v>
      </c>
      <c r="F350" s="43">
        <v>0.98136679395351956</v>
      </c>
      <c r="G350" s="61">
        <v>1.8808991283398218</v>
      </c>
      <c r="H350" s="23">
        <v>567060.48828038177</v>
      </c>
      <c r="I350" s="23">
        <v>-10306.95079160545</v>
      </c>
      <c r="J350" s="23">
        <v>-722.61256454566615</v>
      </c>
      <c r="K350" s="23">
        <v>578090.05163653288</v>
      </c>
    </row>
    <row r="351" spans="5:11">
      <c r="E351" s="62">
        <v>340</v>
      </c>
      <c r="F351" s="43">
        <v>0.34123075728771912</v>
      </c>
      <c r="G351" s="61">
        <v>3.5696237183956501</v>
      </c>
      <c r="H351" s="23">
        <v>538592.88659810065</v>
      </c>
      <c r="I351" s="23">
        <v>-20283.811691669787</v>
      </c>
      <c r="J351" s="23">
        <v>-699.47021062549493</v>
      </c>
      <c r="K351" s="23">
        <v>559576.16850039596</v>
      </c>
    </row>
    <row r="352" spans="5:11">
      <c r="E352" s="62">
        <v>341</v>
      </c>
      <c r="F352" s="43">
        <v>0.65876924271228088</v>
      </c>
      <c r="G352" s="61">
        <v>41.738196860476243</v>
      </c>
      <c r="H352" s="23">
        <v>-28580.704712968371</v>
      </c>
      <c r="I352" s="23">
        <v>-28580.704712968371</v>
      </c>
      <c r="J352" s="23">
        <v>0</v>
      </c>
      <c r="K352" s="23">
        <v>0</v>
      </c>
    </row>
    <row r="353" spans="5:11">
      <c r="E353" s="62">
        <v>342</v>
      </c>
      <c r="F353" s="43">
        <v>8.570831719729588E-2</v>
      </c>
      <c r="G353" s="61">
        <v>3.3287374414266844</v>
      </c>
      <c r="H353" s="23">
        <v>542603.17541906552</v>
      </c>
      <c r="I353" s="23">
        <v>-18878.351049695419</v>
      </c>
      <c r="J353" s="23">
        <v>-702.73032098718511</v>
      </c>
      <c r="K353" s="23">
        <v>562184.25678974809</v>
      </c>
    </row>
    <row r="354" spans="5:11">
      <c r="E354" s="62">
        <v>343</v>
      </c>
      <c r="F354" s="43">
        <v>0.91429168280270412</v>
      </c>
      <c r="G354" s="61">
        <v>8.9605630645537229</v>
      </c>
      <c r="H354" s="23">
        <v>-28580.704712968371</v>
      </c>
      <c r="I354" s="23">
        <v>-28580.704712968371</v>
      </c>
      <c r="J354" s="23">
        <v>0</v>
      </c>
      <c r="K354" s="23">
        <v>0</v>
      </c>
    </row>
    <row r="355" spans="5:11">
      <c r="E355" s="62">
        <v>344</v>
      </c>
      <c r="F355" s="43">
        <v>5.8495444440625932E-2</v>
      </c>
      <c r="G355" s="61">
        <v>23.908187455111605</v>
      </c>
      <c r="H355" s="23">
        <v>-28580.704712968371</v>
      </c>
      <c r="I355" s="23">
        <v>-28580.704712968371</v>
      </c>
      <c r="J355" s="23">
        <v>0</v>
      </c>
      <c r="K355" s="23">
        <v>0</v>
      </c>
    </row>
    <row r="356" spans="5:11">
      <c r="E356" s="62">
        <v>345</v>
      </c>
      <c r="F356" s="43">
        <v>0.94150455555937407</v>
      </c>
      <c r="G356" s="61">
        <v>6.0276092278076208</v>
      </c>
      <c r="H356" s="23">
        <v>-28580.704712968371</v>
      </c>
      <c r="I356" s="23">
        <v>-28580.704712968371</v>
      </c>
      <c r="J356" s="23">
        <v>0</v>
      </c>
      <c r="K356" s="23">
        <v>0</v>
      </c>
    </row>
    <row r="357" spans="5:11">
      <c r="E357" s="62">
        <v>346</v>
      </c>
      <c r="F357" s="43">
        <v>0.51159965388033435</v>
      </c>
      <c r="G357" s="61">
        <v>10.423097223969444</v>
      </c>
      <c r="H357" s="23">
        <v>-28580.704712968371</v>
      </c>
      <c r="I357" s="23">
        <v>-28580.704712968371</v>
      </c>
      <c r="J357" s="23">
        <v>0</v>
      </c>
      <c r="K357" s="23">
        <v>0</v>
      </c>
    </row>
    <row r="358" spans="5:11">
      <c r="E358" s="62">
        <v>347</v>
      </c>
      <c r="F358" s="43">
        <v>0.48840034611966565</v>
      </c>
      <c r="G358" s="61">
        <v>71.661982806511446</v>
      </c>
      <c r="H358" s="23">
        <v>-28580.704712968371</v>
      </c>
      <c r="I358" s="23">
        <v>-28580.704712968371</v>
      </c>
      <c r="J358" s="23">
        <v>0</v>
      </c>
      <c r="K358" s="23">
        <v>0</v>
      </c>
    </row>
    <row r="359" spans="5:11">
      <c r="E359" s="62">
        <v>348</v>
      </c>
      <c r="F359" s="43">
        <v>0.40768042953860517</v>
      </c>
      <c r="G359" s="61">
        <v>64.481021027217793</v>
      </c>
      <c r="H359" s="23">
        <v>-28580.704712968371</v>
      </c>
      <c r="I359" s="23">
        <v>-28580.704712968371</v>
      </c>
      <c r="J359" s="23">
        <v>0</v>
      </c>
      <c r="K359" s="23">
        <v>0</v>
      </c>
    </row>
    <row r="360" spans="5:11">
      <c r="E360" s="62">
        <v>349</v>
      </c>
      <c r="F360" s="43">
        <v>0.59231957046139483</v>
      </c>
      <c r="G360" s="61">
        <v>52.370897477724633</v>
      </c>
      <c r="H360" s="23">
        <v>-28580.704712968371</v>
      </c>
      <c r="I360" s="23">
        <v>-28580.704712968371</v>
      </c>
      <c r="J360" s="23">
        <v>0</v>
      </c>
      <c r="K360" s="23">
        <v>0</v>
      </c>
    </row>
    <row r="361" spans="5:11">
      <c r="E361" s="62">
        <v>350</v>
      </c>
      <c r="F361" s="43">
        <v>0.35679646636370121</v>
      </c>
      <c r="G361" s="61">
        <v>189.82139947818203</v>
      </c>
      <c r="H361" s="23">
        <v>-28580.704712968371</v>
      </c>
      <c r="I361" s="23">
        <v>-28580.704712968371</v>
      </c>
      <c r="J361" s="23">
        <v>0</v>
      </c>
      <c r="K361" s="23">
        <v>0</v>
      </c>
    </row>
    <row r="362" spans="5:11">
      <c r="E362" s="62">
        <v>351</v>
      </c>
      <c r="F362" s="43">
        <v>0.64320353363629879</v>
      </c>
      <c r="G362" s="61">
        <v>44.129406729494228</v>
      </c>
      <c r="H362" s="23">
        <v>-28580.704712968371</v>
      </c>
      <c r="I362" s="23">
        <v>-28580.704712968371</v>
      </c>
      <c r="J362" s="23">
        <v>0</v>
      </c>
      <c r="K362" s="23">
        <v>0</v>
      </c>
    </row>
    <row r="363" spans="5:11">
      <c r="E363" s="62">
        <v>352</v>
      </c>
      <c r="F363" s="43">
        <v>0.69182961013544575</v>
      </c>
      <c r="G363" s="61">
        <v>22.867686771228389</v>
      </c>
      <c r="H363" s="23">
        <v>-28580.704712968371</v>
      </c>
      <c r="I363" s="23">
        <v>-28580.704712968371</v>
      </c>
      <c r="J363" s="23">
        <v>0</v>
      </c>
      <c r="K363" s="23">
        <v>0</v>
      </c>
    </row>
    <row r="364" spans="5:11">
      <c r="E364" s="62">
        <v>353</v>
      </c>
      <c r="F364" s="43">
        <v>0.30817038986455425</v>
      </c>
      <c r="G364" s="61">
        <v>117.71024351289741</v>
      </c>
      <c r="H364" s="23">
        <v>-28580.704712968371</v>
      </c>
      <c r="I364" s="23">
        <v>-28580.704712968371</v>
      </c>
      <c r="J364" s="23">
        <v>0</v>
      </c>
      <c r="K364" s="23">
        <v>0</v>
      </c>
    </row>
    <row r="365" spans="5:11">
      <c r="E365" s="62">
        <v>354</v>
      </c>
      <c r="F365" s="43">
        <v>0.79632172936569501</v>
      </c>
      <c r="G365" s="61">
        <v>53.181709600252937</v>
      </c>
      <c r="H365" s="23">
        <v>-28580.704712968371</v>
      </c>
      <c r="I365" s="23">
        <v>-28580.704712968371</v>
      </c>
      <c r="J365" s="23">
        <v>0</v>
      </c>
      <c r="K365" s="23">
        <v>0</v>
      </c>
    </row>
    <row r="366" spans="5:11">
      <c r="E366" s="62">
        <v>355</v>
      </c>
      <c r="F366" s="43">
        <v>0.20367827063430499</v>
      </c>
      <c r="G366" s="61">
        <v>159.12136348104951</v>
      </c>
      <c r="H366" s="23">
        <v>-28580.704712968371</v>
      </c>
      <c r="I366" s="23">
        <v>-28580.704712968371</v>
      </c>
      <c r="J366" s="23">
        <v>0</v>
      </c>
      <c r="K366" s="23">
        <v>0</v>
      </c>
    </row>
    <row r="367" spans="5:11">
      <c r="E367" s="62">
        <v>356</v>
      </c>
      <c r="F367" s="43">
        <v>0.41671402823216996</v>
      </c>
      <c r="G367" s="61">
        <v>80.491488244204902</v>
      </c>
      <c r="H367" s="23">
        <v>-28580.704712968371</v>
      </c>
      <c r="I367" s="23">
        <v>-28580.704712968371</v>
      </c>
      <c r="J367" s="23">
        <v>0</v>
      </c>
      <c r="K367" s="23">
        <v>0</v>
      </c>
    </row>
    <row r="368" spans="5:11">
      <c r="E368" s="62">
        <v>357</v>
      </c>
      <c r="F368" s="43">
        <v>0.58328597176783004</v>
      </c>
      <c r="G368" s="61">
        <v>53.90776952840239</v>
      </c>
      <c r="H368" s="23">
        <v>-28580.704712968371</v>
      </c>
      <c r="I368" s="23">
        <v>-28580.704712968371</v>
      </c>
      <c r="J368" s="23">
        <v>0</v>
      </c>
      <c r="K368" s="23">
        <v>0</v>
      </c>
    </row>
    <row r="369" spans="5:11">
      <c r="E369" s="62">
        <v>358</v>
      </c>
      <c r="F369" s="43">
        <v>0.61712921394731268</v>
      </c>
      <c r="G369" s="61">
        <v>70.359991430662774</v>
      </c>
      <c r="H369" s="23">
        <v>-28580.704712968371</v>
      </c>
      <c r="I369" s="23">
        <v>-28580.704712968371</v>
      </c>
      <c r="J369" s="23">
        <v>0</v>
      </c>
      <c r="K369" s="23">
        <v>0</v>
      </c>
    </row>
    <row r="370" spans="5:11">
      <c r="E370" s="62">
        <v>359</v>
      </c>
      <c r="F370" s="43">
        <v>0.38287078605268732</v>
      </c>
      <c r="G370" s="61">
        <v>96.005771995522409</v>
      </c>
      <c r="H370" s="23">
        <v>-28580.704712968371</v>
      </c>
      <c r="I370" s="23">
        <v>-28580.704712968371</v>
      </c>
      <c r="J370" s="23">
        <v>0</v>
      </c>
      <c r="K370" s="23">
        <v>0</v>
      </c>
    </row>
    <row r="371" spans="5:11">
      <c r="E371" s="62">
        <v>360</v>
      </c>
      <c r="F371" s="43">
        <v>0.39772004409798967</v>
      </c>
      <c r="G371" s="61">
        <v>22.135023345912984</v>
      </c>
      <c r="H371" s="23">
        <v>-28580.704712968371</v>
      </c>
      <c r="I371" s="23">
        <v>-28580.704712968371</v>
      </c>
      <c r="J371" s="23">
        <v>0</v>
      </c>
      <c r="K371" s="23">
        <v>0</v>
      </c>
    </row>
    <row r="372" spans="5:11">
      <c r="E372" s="62">
        <v>361</v>
      </c>
      <c r="F372" s="43">
        <v>0.60227995590201033</v>
      </c>
      <c r="G372" s="61">
        <v>50.703289874571652</v>
      </c>
      <c r="H372" s="23">
        <v>-28580.704712968371</v>
      </c>
      <c r="I372" s="23">
        <v>-28580.704712968371</v>
      </c>
      <c r="J372" s="23">
        <v>0</v>
      </c>
      <c r="K372" s="23">
        <v>0</v>
      </c>
    </row>
    <row r="373" spans="5:11">
      <c r="E373" s="62">
        <v>362</v>
      </c>
      <c r="F373" s="43">
        <v>0.52501226099749188</v>
      </c>
      <c r="G373" s="61">
        <v>128.50668343890055</v>
      </c>
      <c r="H373" s="23">
        <v>-28580.704712968371</v>
      </c>
      <c r="I373" s="23">
        <v>-28580.704712968371</v>
      </c>
      <c r="J373" s="23">
        <v>0</v>
      </c>
      <c r="K373" s="23">
        <v>0</v>
      </c>
    </row>
    <row r="374" spans="5:11">
      <c r="E374" s="62">
        <v>363</v>
      </c>
      <c r="F374" s="43">
        <v>0.47498773900250812</v>
      </c>
      <c r="G374" s="61">
        <v>74.446628790694618</v>
      </c>
      <c r="H374" s="23">
        <v>-28580.704712968371</v>
      </c>
      <c r="I374" s="23">
        <v>-28580.704712968371</v>
      </c>
      <c r="J374" s="23">
        <v>0</v>
      </c>
      <c r="K374" s="23">
        <v>0</v>
      </c>
    </row>
    <row r="375" spans="5:11">
      <c r="E375" s="62">
        <v>364</v>
      </c>
      <c r="F375" s="43">
        <v>0.78675333302858164</v>
      </c>
      <c r="G375" s="61">
        <v>54.502357597563488</v>
      </c>
      <c r="H375" s="23">
        <v>-28580.704712968371</v>
      </c>
      <c r="I375" s="23">
        <v>-28580.704712968371</v>
      </c>
      <c r="J375" s="23">
        <v>0</v>
      </c>
      <c r="K375" s="23">
        <v>0</v>
      </c>
    </row>
    <row r="376" spans="5:11">
      <c r="E376" s="62">
        <v>365</v>
      </c>
      <c r="F376" s="43">
        <v>0.21324666697141836</v>
      </c>
      <c r="G376" s="61">
        <v>154.53057224093121</v>
      </c>
      <c r="H376" s="23">
        <v>-28580.704712968371</v>
      </c>
      <c r="I376" s="23">
        <v>-28580.704712968371</v>
      </c>
      <c r="J376" s="23">
        <v>0</v>
      </c>
      <c r="K376" s="23">
        <v>0</v>
      </c>
    </row>
    <row r="377" spans="5:11">
      <c r="E377" s="62">
        <v>366</v>
      </c>
      <c r="F377" s="43">
        <v>0.45186109761156867</v>
      </c>
      <c r="G377" s="61">
        <v>59.109325856211221</v>
      </c>
      <c r="H377" s="23">
        <v>-28580.704712968371</v>
      </c>
      <c r="I377" s="23">
        <v>-28580.704712968371</v>
      </c>
      <c r="J377" s="23">
        <v>0</v>
      </c>
      <c r="K377" s="23">
        <v>0</v>
      </c>
    </row>
    <row r="378" spans="5:11">
      <c r="E378" s="62">
        <v>367</v>
      </c>
      <c r="F378" s="43">
        <v>0.54813890238843133</v>
      </c>
      <c r="G378" s="61">
        <v>60.122655264086191</v>
      </c>
      <c r="H378" s="23">
        <v>-28580.704712968371</v>
      </c>
      <c r="I378" s="23">
        <v>-28580.704712968371</v>
      </c>
      <c r="J378" s="23">
        <v>0</v>
      </c>
      <c r="K378" s="23">
        <v>0</v>
      </c>
    </row>
    <row r="379" spans="5:11">
      <c r="E379" s="62">
        <v>368</v>
      </c>
      <c r="F379" s="43">
        <v>0.64435449645868159</v>
      </c>
      <c r="G379" s="61">
        <v>18.686090176950991</v>
      </c>
      <c r="H379" s="23">
        <v>-28580.704712968371</v>
      </c>
      <c r="I379" s="23">
        <v>-28580.704712968371</v>
      </c>
      <c r="J379" s="23">
        <v>0</v>
      </c>
      <c r="K379" s="23">
        <v>0</v>
      </c>
    </row>
    <row r="380" spans="5:11">
      <c r="E380" s="62">
        <v>369</v>
      </c>
      <c r="F380" s="43">
        <v>0.35564550354131841</v>
      </c>
      <c r="G380" s="61">
        <v>103.38208208142987</v>
      </c>
      <c r="H380" s="23">
        <v>-28580.704712968371</v>
      </c>
      <c r="I380" s="23">
        <v>-28580.704712968371</v>
      </c>
      <c r="J380" s="23">
        <v>0</v>
      </c>
      <c r="K380" s="23">
        <v>0</v>
      </c>
    </row>
    <row r="381" spans="5:11">
      <c r="E381" s="62">
        <v>370</v>
      </c>
      <c r="F381" s="43">
        <v>0.27799211290728953</v>
      </c>
      <c r="G381" s="61">
        <v>129.48001205731725</v>
      </c>
      <c r="H381" s="23">
        <v>-28580.704712968371</v>
      </c>
      <c r="I381" s="23">
        <v>-28580.704712968371</v>
      </c>
      <c r="J381" s="23">
        <v>0</v>
      </c>
      <c r="K381" s="23">
        <v>0</v>
      </c>
    </row>
    <row r="382" spans="5:11">
      <c r="E382" s="62">
        <v>371</v>
      </c>
      <c r="F382" s="43">
        <v>0.72200788709271047</v>
      </c>
      <c r="G382" s="61">
        <v>32.571921619785421</v>
      </c>
      <c r="H382" s="23">
        <v>-28580.704712968371</v>
      </c>
      <c r="I382" s="23">
        <v>-28580.704712968371</v>
      </c>
      <c r="J382" s="23">
        <v>0</v>
      </c>
      <c r="K382" s="23">
        <v>0</v>
      </c>
    </row>
    <row r="383" spans="5:11">
      <c r="E383" s="62">
        <v>372</v>
      </c>
      <c r="F383" s="43">
        <v>0.54993953068742862</v>
      </c>
      <c r="G383" s="61">
        <v>154.70008325171204</v>
      </c>
      <c r="H383" s="23">
        <v>-28580.704712968371</v>
      </c>
      <c r="I383" s="23">
        <v>-28580.704712968371</v>
      </c>
      <c r="J383" s="23">
        <v>0</v>
      </c>
      <c r="K383" s="23">
        <v>0</v>
      </c>
    </row>
    <row r="384" spans="5:11">
      <c r="E384" s="62">
        <v>373</v>
      </c>
      <c r="F384" s="43">
        <v>0.45006046931257138</v>
      </c>
      <c r="G384" s="61">
        <v>79.837332899529258</v>
      </c>
      <c r="H384" s="23">
        <v>-28580.704712968371</v>
      </c>
      <c r="I384" s="23">
        <v>-28580.704712968371</v>
      </c>
      <c r="J384" s="23">
        <v>0</v>
      </c>
      <c r="K384" s="23">
        <v>0</v>
      </c>
    </row>
    <row r="385" spans="5:11">
      <c r="E385" s="62">
        <v>374</v>
      </c>
      <c r="F385" s="43">
        <v>0.7298785908262958</v>
      </c>
      <c r="G385" s="61">
        <v>180.03208227528017</v>
      </c>
      <c r="H385" s="23">
        <v>-28580.704712968371</v>
      </c>
      <c r="I385" s="23">
        <v>-28580.704712968371</v>
      </c>
      <c r="J385" s="23">
        <v>0</v>
      </c>
      <c r="K385" s="23">
        <v>0</v>
      </c>
    </row>
    <row r="386" spans="5:11">
      <c r="E386" s="62">
        <v>375</v>
      </c>
      <c r="F386" s="43">
        <v>0.2701214091737042</v>
      </c>
      <c r="G386" s="61">
        <v>130.88837574458333</v>
      </c>
      <c r="H386" s="23">
        <v>-28580.704712968371</v>
      </c>
      <c r="I386" s="23">
        <v>-28580.704712968371</v>
      </c>
      <c r="J386" s="23">
        <v>0</v>
      </c>
      <c r="K386" s="23">
        <v>0</v>
      </c>
    </row>
    <row r="387" spans="5:11">
      <c r="E387" s="62">
        <v>376</v>
      </c>
      <c r="F387" s="43">
        <v>5.0422599762581122E-2</v>
      </c>
      <c r="G387" s="61">
        <v>150.29448764777499</v>
      </c>
      <c r="H387" s="23">
        <v>-28580.704712968371</v>
      </c>
      <c r="I387" s="23">
        <v>-28580.704712968371</v>
      </c>
      <c r="J387" s="23">
        <v>0</v>
      </c>
      <c r="K387" s="23">
        <v>0</v>
      </c>
    </row>
    <row r="388" spans="5:11">
      <c r="E388" s="62">
        <v>377</v>
      </c>
      <c r="F388" s="43">
        <v>0.94957740023741888</v>
      </c>
      <c r="G388" s="61">
        <v>5.1738235214389414</v>
      </c>
      <c r="H388" s="23">
        <v>-28580.704712968371</v>
      </c>
      <c r="I388" s="23">
        <v>-28580.704712968371</v>
      </c>
      <c r="J388" s="23">
        <v>0</v>
      </c>
      <c r="K388" s="23">
        <v>0</v>
      </c>
    </row>
    <row r="389" spans="5:11">
      <c r="E389" s="62">
        <v>378</v>
      </c>
      <c r="F389" s="43">
        <v>0.83785954633034088</v>
      </c>
      <c r="G389" s="61">
        <v>105.90672332328646</v>
      </c>
      <c r="H389" s="23">
        <v>-28580.704712968371</v>
      </c>
      <c r="I389" s="23">
        <v>-28580.704712968371</v>
      </c>
      <c r="J389" s="23">
        <v>0</v>
      </c>
      <c r="K389" s="23">
        <v>0</v>
      </c>
    </row>
    <row r="390" spans="5:11">
      <c r="E390" s="62">
        <v>379</v>
      </c>
      <c r="F390" s="43">
        <v>0.16214045366965912</v>
      </c>
      <c r="G390" s="61">
        <v>181.9292321414531</v>
      </c>
      <c r="H390" s="23">
        <v>-28580.704712968371</v>
      </c>
      <c r="I390" s="23">
        <v>-28580.704712968371</v>
      </c>
      <c r="J390" s="23">
        <v>0</v>
      </c>
      <c r="K390" s="23">
        <v>0</v>
      </c>
    </row>
    <row r="391" spans="5:11">
      <c r="E391" s="62">
        <v>380</v>
      </c>
      <c r="F391" s="43">
        <v>0.42185253497230024</v>
      </c>
      <c r="G391" s="61">
        <v>19.57479745720179</v>
      </c>
      <c r="H391" s="23">
        <v>-28580.704712968371</v>
      </c>
      <c r="I391" s="23">
        <v>-28580.704712968371</v>
      </c>
      <c r="J391" s="23">
        <v>0</v>
      </c>
      <c r="K391" s="23">
        <v>0</v>
      </c>
    </row>
    <row r="392" spans="5:11">
      <c r="E392" s="62">
        <v>381</v>
      </c>
      <c r="F392" s="43">
        <v>0.57814746502769976</v>
      </c>
      <c r="G392" s="61">
        <v>54.792631304412495</v>
      </c>
      <c r="H392" s="23">
        <v>-28580.704712968371</v>
      </c>
      <c r="I392" s="23">
        <v>-28580.704712968371</v>
      </c>
      <c r="J392" s="23">
        <v>0</v>
      </c>
      <c r="K392" s="23">
        <v>0</v>
      </c>
    </row>
    <row r="393" spans="5:11">
      <c r="E393" s="62">
        <v>382</v>
      </c>
      <c r="F393" s="43">
        <v>0.2317723436029161</v>
      </c>
      <c r="G393" s="61">
        <v>238.62379957610341</v>
      </c>
      <c r="H393" s="23">
        <v>-28580.704712968371</v>
      </c>
      <c r="I393" s="23">
        <v>-28580.704712968371</v>
      </c>
      <c r="J393" s="23">
        <v>0</v>
      </c>
      <c r="K393" s="23">
        <v>0</v>
      </c>
    </row>
    <row r="394" spans="5:11">
      <c r="E394" s="62">
        <v>383</v>
      </c>
      <c r="F394" s="43">
        <v>0.7682276563970839</v>
      </c>
      <c r="G394" s="61">
        <v>26.366916216007596</v>
      </c>
      <c r="H394" s="23">
        <v>-28580.704712968371</v>
      </c>
      <c r="I394" s="23">
        <v>-28580.704712968371</v>
      </c>
      <c r="J394" s="23">
        <v>0</v>
      </c>
      <c r="K394" s="23">
        <v>0</v>
      </c>
    </row>
    <row r="395" spans="5:11">
      <c r="E395" s="62">
        <v>384</v>
      </c>
      <c r="F395" s="43">
        <v>0.48769363672078636</v>
      </c>
      <c r="G395" s="61">
        <v>170.68936324624383</v>
      </c>
      <c r="H395" s="23">
        <v>-28580.704712968371</v>
      </c>
      <c r="I395" s="23">
        <v>-28580.704712968371</v>
      </c>
      <c r="J395" s="23">
        <v>0</v>
      </c>
      <c r="K395" s="23">
        <v>0</v>
      </c>
    </row>
    <row r="396" spans="5:11">
      <c r="E396" s="62">
        <v>385</v>
      </c>
      <c r="F396" s="43">
        <v>0.51230636327921364</v>
      </c>
      <c r="G396" s="61">
        <v>66.883246711233696</v>
      </c>
      <c r="H396" s="23">
        <v>-28580.704712968371</v>
      </c>
      <c r="I396" s="23">
        <v>-28580.704712968371</v>
      </c>
      <c r="J396" s="23">
        <v>0</v>
      </c>
      <c r="K396" s="23">
        <v>0</v>
      </c>
    </row>
    <row r="397" spans="5:11">
      <c r="E397" s="62">
        <v>386</v>
      </c>
      <c r="F397" s="43">
        <v>0.50422038355709886</v>
      </c>
      <c r="G397" s="61">
        <v>18.108068197597625</v>
      </c>
      <c r="H397" s="23">
        <v>-28580.704712968371</v>
      </c>
      <c r="I397" s="23">
        <v>-28580.704712968371</v>
      </c>
      <c r="J397" s="23">
        <v>0</v>
      </c>
      <c r="K397" s="23">
        <v>0</v>
      </c>
    </row>
    <row r="398" spans="5:11">
      <c r="E398" s="62">
        <v>387</v>
      </c>
      <c r="F398" s="43">
        <v>0.49577961644290114</v>
      </c>
      <c r="G398" s="61">
        <v>70.162377268503931</v>
      </c>
      <c r="H398" s="23">
        <v>-28580.704712968371</v>
      </c>
      <c r="I398" s="23">
        <v>-28580.704712968371</v>
      </c>
      <c r="J398" s="23">
        <v>0</v>
      </c>
      <c r="K398" s="23">
        <v>0</v>
      </c>
    </row>
    <row r="399" spans="5:11">
      <c r="E399" s="62">
        <v>388</v>
      </c>
      <c r="F399" s="43">
        <v>3.0095479194082619E-2</v>
      </c>
      <c r="G399" s="61">
        <v>319.0958797220182</v>
      </c>
      <c r="H399" s="23">
        <v>-28580.704712968371</v>
      </c>
      <c r="I399" s="23">
        <v>-28580.704712968371</v>
      </c>
      <c r="J399" s="23">
        <v>0</v>
      </c>
      <c r="K399" s="23">
        <v>0</v>
      </c>
    </row>
    <row r="400" spans="5:11">
      <c r="E400" s="62">
        <v>389</v>
      </c>
      <c r="F400" s="43">
        <v>0.96990452080591738</v>
      </c>
      <c r="G400" s="61">
        <v>3.0557644488319475</v>
      </c>
      <c r="H400" s="23">
        <v>546632.15550656326</v>
      </c>
      <c r="I400" s="23">
        <v>-17466.339797370179</v>
      </c>
      <c r="J400" s="23">
        <v>-706.00562616262005</v>
      </c>
      <c r="K400" s="23">
        <v>564804.50093009602</v>
      </c>
    </row>
    <row r="401" spans="5:11">
      <c r="E401" s="62">
        <v>390</v>
      </c>
      <c r="F401" s="43">
        <v>1.7803839306210101E-2</v>
      </c>
      <c r="G401" s="61">
        <v>0.11315996530462892</v>
      </c>
      <c r="H401" s="23">
        <v>596469.95611133089</v>
      </c>
      <c r="I401" s="23">
        <v>0</v>
      </c>
      <c r="J401" s="23">
        <v>-746.52059588401869</v>
      </c>
      <c r="K401" s="23">
        <v>597216.47670721496</v>
      </c>
    </row>
    <row r="402" spans="5:11">
      <c r="E402" s="62">
        <v>391</v>
      </c>
      <c r="F402" s="43">
        <v>0.9821961606937899</v>
      </c>
      <c r="G402" s="61">
        <v>1.7964234268984098</v>
      </c>
      <c r="H402" s="23">
        <v>567060.48828038177</v>
      </c>
      <c r="I402" s="23">
        <v>-10306.95079160545</v>
      </c>
      <c r="J402" s="23">
        <v>-722.61256454566615</v>
      </c>
      <c r="K402" s="23">
        <v>578090.05163653288</v>
      </c>
    </row>
    <row r="403" spans="5:11">
      <c r="E403" s="62">
        <v>392</v>
      </c>
      <c r="F403" s="43">
        <v>0.53058011923061577</v>
      </c>
      <c r="G403" s="61">
        <v>256.87345942134749</v>
      </c>
      <c r="H403" s="23">
        <v>-28580.704712968371</v>
      </c>
      <c r="I403" s="23">
        <v>-28580.704712968371</v>
      </c>
      <c r="J403" s="23">
        <v>0</v>
      </c>
      <c r="K403" s="23">
        <v>0</v>
      </c>
    </row>
    <row r="404" spans="5:11">
      <c r="E404" s="62">
        <v>393</v>
      </c>
      <c r="F404" s="43">
        <v>0.46941988076938423</v>
      </c>
      <c r="G404" s="61">
        <v>75.625764288437608</v>
      </c>
      <c r="H404" s="23">
        <v>-28580.704712968371</v>
      </c>
      <c r="I404" s="23">
        <v>-28580.704712968371</v>
      </c>
      <c r="J404" s="23">
        <v>0</v>
      </c>
      <c r="K404" s="23">
        <v>0</v>
      </c>
    </row>
    <row r="405" spans="5:11">
      <c r="E405" s="62">
        <v>394</v>
      </c>
      <c r="F405" s="43">
        <v>0.22291458827536059</v>
      </c>
      <c r="G405" s="61">
        <v>90.499894780475984</v>
      </c>
      <c r="H405" s="23">
        <v>-28580.704712968371</v>
      </c>
      <c r="I405" s="23">
        <v>-28580.704712968371</v>
      </c>
      <c r="J405" s="23">
        <v>0</v>
      </c>
      <c r="K405" s="23">
        <v>0</v>
      </c>
    </row>
    <row r="406" spans="5:11">
      <c r="E406" s="62">
        <v>395</v>
      </c>
      <c r="F406" s="43">
        <v>0.77708541172463941</v>
      </c>
      <c r="G406" s="61">
        <v>25.220500965626375</v>
      </c>
      <c r="H406" s="23">
        <v>-28580.704712968371</v>
      </c>
      <c r="I406" s="23">
        <v>-28580.704712968371</v>
      </c>
      <c r="J406" s="23">
        <v>0</v>
      </c>
      <c r="K406" s="23">
        <v>0</v>
      </c>
    </row>
    <row r="407" spans="5:11">
      <c r="E407" s="62">
        <v>396</v>
      </c>
      <c r="F407" s="43">
        <v>0.45897260203444956</v>
      </c>
      <c r="G407" s="61">
        <v>114.56304302478428</v>
      </c>
      <c r="H407" s="23">
        <v>-28580.704712968371</v>
      </c>
      <c r="I407" s="23">
        <v>-28580.704712968371</v>
      </c>
      <c r="J407" s="23">
        <v>0</v>
      </c>
      <c r="K407" s="23">
        <v>0</v>
      </c>
    </row>
    <row r="408" spans="5:11">
      <c r="E408" s="62">
        <v>397</v>
      </c>
      <c r="F408" s="43">
        <v>0.54102739796555044</v>
      </c>
      <c r="G408" s="61">
        <v>61.428535822842136</v>
      </c>
      <c r="H408" s="23">
        <v>-28580.704712968371</v>
      </c>
      <c r="I408" s="23">
        <v>-28580.704712968371</v>
      </c>
      <c r="J408" s="23">
        <v>0</v>
      </c>
      <c r="K408" s="23">
        <v>0</v>
      </c>
    </row>
    <row r="409" spans="5:11">
      <c r="E409" s="62">
        <v>398</v>
      </c>
      <c r="F409" s="43">
        <v>0.13578741576036613</v>
      </c>
      <c r="G409" s="61">
        <v>10.185685388088553</v>
      </c>
      <c r="H409" s="23">
        <v>-28580.704712968371</v>
      </c>
      <c r="I409" s="23">
        <v>-28580.704712968371</v>
      </c>
      <c r="J409" s="23">
        <v>0</v>
      </c>
      <c r="K409" s="23">
        <v>0</v>
      </c>
    </row>
    <row r="410" spans="5:11">
      <c r="E410" s="62">
        <v>399</v>
      </c>
      <c r="F410" s="43">
        <v>0.86421258423963387</v>
      </c>
      <c r="G410" s="61">
        <v>14.59364938689251</v>
      </c>
      <c r="H410" s="23">
        <v>-28580.704712968371</v>
      </c>
      <c r="I410" s="23">
        <v>-28580.704712968371</v>
      </c>
      <c r="J410" s="23">
        <v>0</v>
      </c>
      <c r="K410" s="23">
        <v>0</v>
      </c>
    </row>
    <row r="411" spans="5:11">
      <c r="E411" s="62">
        <v>400</v>
      </c>
      <c r="F411" s="43">
        <v>0.59402486097139096</v>
      </c>
      <c r="G411" s="61">
        <v>3.2679061103298066</v>
      </c>
      <c r="H411" s="23">
        <v>542603.17541906552</v>
      </c>
      <c r="I411" s="23">
        <v>-18878.351049695419</v>
      </c>
      <c r="J411" s="23">
        <v>-702.73032098718511</v>
      </c>
      <c r="K411" s="23">
        <v>562184.25678974809</v>
      </c>
    </row>
    <row r="412" spans="5:11">
      <c r="E412" s="62">
        <v>401</v>
      </c>
      <c r="F412" s="43">
        <v>0.40597513902860904</v>
      </c>
      <c r="G412" s="61">
        <v>90.146335517495956</v>
      </c>
      <c r="H412" s="23">
        <v>-28580.704712968371</v>
      </c>
      <c r="I412" s="23">
        <v>-28580.704712968371</v>
      </c>
      <c r="J412" s="23">
        <v>0</v>
      </c>
      <c r="K412" s="23">
        <v>0</v>
      </c>
    </row>
    <row r="413" spans="5:11">
      <c r="E413" s="62">
        <v>402</v>
      </c>
      <c r="F413" s="43">
        <v>0.49157435850166009</v>
      </c>
      <c r="G413" s="61">
        <v>59.714556701613439</v>
      </c>
      <c r="H413" s="23">
        <v>-28580.704712968371</v>
      </c>
      <c r="I413" s="23">
        <v>-28580.704712968371</v>
      </c>
      <c r="J413" s="23">
        <v>0</v>
      </c>
      <c r="K413" s="23">
        <v>0</v>
      </c>
    </row>
    <row r="414" spans="5:11">
      <c r="E414" s="62">
        <v>403</v>
      </c>
      <c r="F414" s="43">
        <v>0.50842564149833991</v>
      </c>
      <c r="G414" s="61">
        <v>67.643630526137287</v>
      </c>
      <c r="H414" s="23">
        <v>-28580.704712968371</v>
      </c>
      <c r="I414" s="23">
        <v>-28580.704712968371</v>
      </c>
      <c r="J414" s="23">
        <v>0</v>
      </c>
      <c r="K414" s="23">
        <v>0</v>
      </c>
    </row>
    <row r="415" spans="5:11">
      <c r="E415" s="62">
        <v>404</v>
      </c>
      <c r="F415" s="43">
        <v>0.26379431704275536</v>
      </c>
      <c r="G415" s="61">
        <v>46.36729455514994</v>
      </c>
      <c r="H415" s="23">
        <v>-28580.704712968371</v>
      </c>
      <c r="I415" s="23">
        <v>-28580.704712968371</v>
      </c>
      <c r="J415" s="23">
        <v>0</v>
      </c>
      <c r="K415" s="23">
        <v>0</v>
      </c>
    </row>
    <row r="416" spans="5:11">
      <c r="E416" s="62">
        <v>405</v>
      </c>
      <c r="F416" s="43">
        <v>0.73620568295724464</v>
      </c>
      <c r="G416" s="61">
        <v>30.624573875534928</v>
      </c>
      <c r="H416" s="23">
        <v>-28580.704712968371</v>
      </c>
      <c r="I416" s="23">
        <v>-28580.704712968371</v>
      </c>
      <c r="J416" s="23">
        <v>0</v>
      </c>
      <c r="K416" s="23">
        <v>0</v>
      </c>
    </row>
    <row r="417" spans="5:11">
      <c r="E417" s="62">
        <v>406</v>
      </c>
      <c r="F417" s="43">
        <v>0.26624781482145299</v>
      </c>
      <c r="G417" s="61">
        <v>220.05584515930519</v>
      </c>
      <c r="H417" s="23">
        <v>-28580.704712968371</v>
      </c>
      <c r="I417" s="23">
        <v>-28580.704712968371</v>
      </c>
      <c r="J417" s="23">
        <v>0</v>
      </c>
      <c r="K417" s="23">
        <v>0</v>
      </c>
    </row>
    <row r="418" spans="5:11">
      <c r="E418" s="62">
        <v>407</v>
      </c>
      <c r="F418" s="43">
        <v>0.73375218517854701</v>
      </c>
      <c r="G418" s="61">
        <v>30.958392974743809</v>
      </c>
      <c r="H418" s="23">
        <v>-28580.704712968371</v>
      </c>
      <c r="I418" s="23">
        <v>-28580.704712968371</v>
      </c>
      <c r="J418" s="23">
        <v>0</v>
      </c>
      <c r="K418" s="23">
        <v>0</v>
      </c>
    </row>
    <row r="419" spans="5:11">
      <c r="E419" s="62">
        <v>408</v>
      </c>
      <c r="F419" s="43">
        <v>0.27024929999120306</v>
      </c>
      <c r="G419" s="61">
        <v>12.985035816676046</v>
      </c>
      <c r="H419" s="23">
        <v>-28580.704712968371</v>
      </c>
      <c r="I419" s="23">
        <v>-28580.704712968371</v>
      </c>
      <c r="J419" s="23">
        <v>0</v>
      </c>
      <c r="K419" s="23">
        <v>0</v>
      </c>
    </row>
    <row r="420" spans="5:11">
      <c r="E420" s="62">
        <v>409</v>
      </c>
      <c r="F420" s="43">
        <v>0.72975070000879694</v>
      </c>
      <c r="G420" s="61">
        <v>31.505231000370436</v>
      </c>
      <c r="H420" s="23">
        <v>-28580.704712968371</v>
      </c>
      <c r="I420" s="23">
        <v>-28580.704712968371</v>
      </c>
      <c r="J420" s="23">
        <v>0</v>
      </c>
      <c r="K420" s="23">
        <v>0</v>
      </c>
    </row>
    <row r="421" spans="5:11">
      <c r="E421" s="62">
        <v>410</v>
      </c>
      <c r="F421" s="43">
        <v>0.59945147187464498</v>
      </c>
      <c r="G421" s="61">
        <v>16.683625160951681</v>
      </c>
      <c r="H421" s="23">
        <v>-28580.704712968371</v>
      </c>
      <c r="I421" s="23">
        <v>-28580.704712968371</v>
      </c>
      <c r="J421" s="23">
        <v>0</v>
      </c>
      <c r="K421" s="23">
        <v>0</v>
      </c>
    </row>
    <row r="422" spans="5:11">
      <c r="E422" s="62">
        <v>411</v>
      </c>
      <c r="F422" s="43">
        <v>0.40054852812535502</v>
      </c>
      <c r="G422" s="61">
        <v>91.492035096175343</v>
      </c>
      <c r="H422" s="23">
        <v>-28580.704712968371</v>
      </c>
      <c r="I422" s="23">
        <v>-28580.704712968371</v>
      </c>
      <c r="J422" s="23">
        <v>0</v>
      </c>
      <c r="K422" s="23">
        <v>0</v>
      </c>
    </row>
    <row r="423" spans="5:11">
      <c r="E423" s="62">
        <v>412</v>
      </c>
      <c r="F423" s="43">
        <v>9.4513541542361912E-2</v>
      </c>
      <c r="G423" s="61">
        <v>170.92167763780418</v>
      </c>
      <c r="H423" s="23">
        <v>-28580.704712968371</v>
      </c>
      <c r="I423" s="23">
        <v>-28580.704712968371</v>
      </c>
      <c r="J423" s="23">
        <v>0</v>
      </c>
      <c r="K423" s="23">
        <v>0</v>
      </c>
    </row>
    <row r="424" spans="5:11">
      <c r="E424" s="62">
        <v>413</v>
      </c>
      <c r="F424" s="43">
        <v>0.90548645845763809</v>
      </c>
      <c r="G424" s="61">
        <v>9.9282956538424081</v>
      </c>
      <c r="H424" s="23">
        <v>-28580.704712968371</v>
      </c>
      <c r="I424" s="23">
        <v>-28580.704712968371</v>
      </c>
      <c r="J424" s="23">
        <v>0</v>
      </c>
      <c r="K424" s="23">
        <v>0</v>
      </c>
    </row>
    <row r="425" spans="5:11">
      <c r="E425" s="62">
        <v>414</v>
      </c>
      <c r="F425" s="43">
        <v>0.40702197419776454</v>
      </c>
      <c r="G425" s="61">
        <v>48.930955372521375</v>
      </c>
      <c r="H425" s="23">
        <v>-28580.704712968371</v>
      </c>
      <c r="I425" s="23">
        <v>-28580.704712968371</v>
      </c>
      <c r="J425" s="23">
        <v>0</v>
      </c>
      <c r="K425" s="23">
        <v>0</v>
      </c>
    </row>
    <row r="426" spans="5:11">
      <c r="E426" s="62">
        <v>415</v>
      </c>
      <c r="F426" s="43">
        <v>0.59297802580223546</v>
      </c>
      <c r="G426" s="61">
        <v>52.259793665374097</v>
      </c>
      <c r="H426" s="23">
        <v>-28580.704712968371</v>
      </c>
      <c r="I426" s="23">
        <v>-28580.704712968371</v>
      </c>
      <c r="J426" s="23">
        <v>0</v>
      </c>
      <c r="K426" s="23">
        <v>0</v>
      </c>
    </row>
    <row r="427" spans="5:11">
      <c r="E427" s="62">
        <v>416</v>
      </c>
      <c r="F427" s="43">
        <v>0.31866859287390958</v>
      </c>
      <c r="G427" s="61">
        <v>78.63027668452682</v>
      </c>
      <c r="H427" s="23">
        <v>-28580.704712968371</v>
      </c>
      <c r="I427" s="23">
        <v>-28580.704712968371</v>
      </c>
      <c r="J427" s="23">
        <v>0</v>
      </c>
      <c r="K427" s="23">
        <v>0</v>
      </c>
    </row>
    <row r="428" spans="5:11">
      <c r="E428" s="62">
        <v>417</v>
      </c>
      <c r="F428" s="43">
        <v>0.68133140712609042</v>
      </c>
      <c r="G428" s="61">
        <v>38.370644344499674</v>
      </c>
      <c r="H428" s="23">
        <v>-28580.704712968371</v>
      </c>
      <c r="I428" s="23">
        <v>-28580.704712968371</v>
      </c>
      <c r="J428" s="23">
        <v>0</v>
      </c>
      <c r="K428" s="23">
        <v>0</v>
      </c>
    </row>
    <row r="429" spans="5:11">
      <c r="E429" s="62">
        <v>418</v>
      </c>
      <c r="F429" s="43">
        <v>3.2583171216829521E-2</v>
      </c>
      <c r="G429" s="61">
        <v>22.48172622887326</v>
      </c>
      <c r="H429" s="23">
        <v>-28580.704712968371</v>
      </c>
      <c r="I429" s="23">
        <v>-28580.704712968371</v>
      </c>
      <c r="J429" s="23">
        <v>0</v>
      </c>
      <c r="K429" s="23">
        <v>0</v>
      </c>
    </row>
    <row r="430" spans="5:11">
      <c r="E430" s="62">
        <v>419</v>
      </c>
      <c r="F430" s="43">
        <v>0.96741682878317048</v>
      </c>
      <c r="G430" s="61">
        <v>3.3125822855403952</v>
      </c>
      <c r="H430" s="23">
        <v>542603.17541906552</v>
      </c>
      <c r="I430" s="23">
        <v>-18878.351049695419</v>
      </c>
      <c r="J430" s="23">
        <v>-702.73032098718511</v>
      </c>
      <c r="K430" s="23">
        <v>562184.25678974809</v>
      </c>
    </row>
    <row r="431" spans="5:11">
      <c r="E431" s="62">
        <v>420</v>
      </c>
      <c r="F431" s="43">
        <v>0.66381898496863811</v>
      </c>
      <c r="G431" s="61">
        <v>100.99906938656342</v>
      </c>
      <c r="H431" s="23">
        <v>-28580.704712968371</v>
      </c>
      <c r="I431" s="23">
        <v>-28580.704712968371</v>
      </c>
      <c r="J431" s="23">
        <v>0</v>
      </c>
      <c r="K431" s="23">
        <v>0</v>
      </c>
    </row>
    <row r="432" spans="5:11">
      <c r="E432" s="62">
        <v>421</v>
      </c>
      <c r="F432" s="43">
        <v>0.33618101503136189</v>
      </c>
      <c r="G432" s="61">
        <v>109.01055288722618</v>
      </c>
      <c r="H432" s="23">
        <v>-28580.704712968371</v>
      </c>
      <c r="I432" s="23">
        <v>-28580.704712968371</v>
      </c>
      <c r="J432" s="23">
        <v>0</v>
      </c>
      <c r="K432" s="23">
        <v>0</v>
      </c>
    </row>
    <row r="433" spans="5:11">
      <c r="E433" s="62">
        <v>422</v>
      </c>
      <c r="F433" s="43">
        <v>0.10526415825523749</v>
      </c>
      <c r="G433" s="61">
        <v>51.312751025069844</v>
      </c>
      <c r="H433" s="23">
        <v>-28580.704712968371</v>
      </c>
      <c r="I433" s="23">
        <v>-28580.704712968371</v>
      </c>
      <c r="J433" s="23">
        <v>0</v>
      </c>
      <c r="K433" s="23">
        <v>0</v>
      </c>
    </row>
    <row r="434" spans="5:11">
      <c r="E434" s="62">
        <v>423</v>
      </c>
      <c r="F434" s="43">
        <v>0.89473584174476251</v>
      </c>
      <c r="G434" s="61">
        <v>11.122675316082072</v>
      </c>
      <c r="H434" s="23">
        <v>-28580.704712968371</v>
      </c>
      <c r="I434" s="23">
        <v>-28580.704712968371</v>
      </c>
      <c r="J434" s="23">
        <v>0</v>
      </c>
      <c r="K434" s="23">
        <v>0</v>
      </c>
    </row>
    <row r="435" spans="5:11">
      <c r="E435" s="62">
        <v>424</v>
      </c>
      <c r="F435" s="43">
        <v>0.36450338737375332</v>
      </c>
      <c r="G435" s="61">
        <v>481.1937282724009</v>
      </c>
      <c r="H435" s="23">
        <v>-28580.704712968371</v>
      </c>
      <c r="I435" s="23">
        <v>-28580.704712968371</v>
      </c>
      <c r="J435" s="23">
        <v>0</v>
      </c>
      <c r="K435" s="23">
        <v>0</v>
      </c>
    </row>
    <row r="436" spans="5:11">
      <c r="E436" s="62">
        <v>425</v>
      </c>
      <c r="F436" s="43">
        <v>0.63549661262624668</v>
      </c>
      <c r="G436" s="61">
        <v>45.334851861664262</v>
      </c>
      <c r="H436" s="23">
        <v>-28580.704712968371</v>
      </c>
      <c r="I436" s="23">
        <v>-28580.704712968371</v>
      </c>
      <c r="J436" s="23">
        <v>0</v>
      </c>
      <c r="K436" s="23">
        <v>0</v>
      </c>
    </row>
    <row r="437" spans="5:11">
      <c r="E437" s="62">
        <v>426</v>
      </c>
      <c r="F437" s="43">
        <v>0.1358404505296148</v>
      </c>
      <c r="G437" s="61">
        <v>7.1090445970483431</v>
      </c>
      <c r="H437" s="23">
        <v>-28580.704712968371</v>
      </c>
      <c r="I437" s="23">
        <v>-28580.704712968371</v>
      </c>
      <c r="J437" s="23">
        <v>0</v>
      </c>
      <c r="K437" s="23">
        <v>0</v>
      </c>
    </row>
    <row r="438" spans="5:11">
      <c r="E438" s="62">
        <v>427</v>
      </c>
      <c r="F438" s="43">
        <v>0.8641595494703852</v>
      </c>
      <c r="G438" s="61">
        <v>14.599786348745914</v>
      </c>
      <c r="H438" s="23">
        <v>-28580.704712968371</v>
      </c>
      <c r="I438" s="23">
        <v>-28580.704712968371</v>
      </c>
      <c r="J438" s="23">
        <v>0</v>
      </c>
      <c r="K438" s="23">
        <v>0</v>
      </c>
    </row>
    <row r="439" spans="5:11">
      <c r="E439" s="62">
        <v>428</v>
      </c>
      <c r="F439" s="43">
        <v>0.79669172806007649</v>
      </c>
      <c r="G439" s="61">
        <v>32.37989213256013</v>
      </c>
      <c r="H439" s="23">
        <v>-28580.704712968371</v>
      </c>
      <c r="I439" s="23">
        <v>-28580.704712968371</v>
      </c>
      <c r="J439" s="23">
        <v>0</v>
      </c>
      <c r="K439" s="23">
        <v>0</v>
      </c>
    </row>
    <row r="440" spans="5:11">
      <c r="E440" s="62">
        <v>429</v>
      </c>
      <c r="F440" s="43">
        <v>0.20330827193992351</v>
      </c>
      <c r="G440" s="61">
        <v>159.30318708336094</v>
      </c>
      <c r="H440" s="23">
        <v>-28580.704712968371</v>
      </c>
      <c r="I440" s="23">
        <v>-28580.704712968371</v>
      </c>
      <c r="J440" s="23">
        <v>0</v>
      </c>
      <c r="K440" s="23">
        <v>0</v>
      </c>
    </row>
    <row r="441" spans="5:11">
      <c r="E441" s="62">
        <v>430</v>
      </c>
      <c r="F441" s="43">
        <v>0.12179927929537027</v>
      </c>
      <c r="G441" s="61">
        <v>67.841851577356934</v>
      </c>
      <c r="H441" s="23">
        <v>-28580.704712968371</v>
      </c>
      <c r="I441" s="23">
        <v>-28580.704712968371</v>
      </c>
      <c r="J441" s="23">
        <v>0</v>
      </c>
      <c r="K441" s="23">
        <v>0</v>
      </c>
    </row>
    <row r="442" spans="5:11">
      <c r="E442" s="62">
        <v>431</v>
      </c>
      <c r="F442" s="43">
        <v>0.87820072070462973</v>
      </c>
      <c r="G442" s="61">
        <v>12.988010019369783</v>
      </c>
      <c r="H442" s="23">
        <v>-28580.704712968371</v>
      </c>
      <c r="I442" s="23">
        <v>-28580.704712968371</v>
      </c>
      <c r="J442" s="23">
        <v>0</v>
      </c>
      <c r="K442" s="23">
        <v>0</v>
      </c>
    </row>
    <row r="443" spans="5:11">
      <c r="E443" s="62">
        <v>432</v>
      </c>
      <c r="F443" s="43">
        <v>0.37516771265079041</v>
      </c>
      <c r="G443" s="61">
        <v>151.60177330414189</v>
      </c>
      <c r="H443" s="23">
        <v>-28580.704712968371</v>
      </c>
      <c r="I443" s="23">
        <v>-28580.704712968371</v>
      </c>
      <c r="J443" s="23">
        <v>0</v>
      </c>
      <c r="K443" s="23">
        <v>0</v>
      </c>
    </row>
    <row r="444" spans="5:11">
      <c r="E444" s="62">
        <v>433</v>
      </c>
      <c r="F444" s="43">
        <v>0.62483228734920959</v>
      </c>
      <c r="G444" s="61">
        <v>47.027200549668478</v>
      </c>
      <c r="H444" s="23">
        <v>-28580.704712968371</v>
      </c>
      <c r="I444" s="23">
        <v>-28580.704712968371</v>
      </c>
      <c r="J444" s="23">
        <v>0</v>
      </c>
      <c r="K444" s="23">
        <v>0</v>
      </c>
    </row>
    <row r="445" spans="5:11">
      <c r="E445" s="62">
        <v>434</v>
      </c>
      <c r="F445" s="43">
        <v>0.72513579754971658</v>
      </c>
      <c r="G445" s="61">
        <v>8.1125305207421512</v>
      </c>
      <c r="H445" s="23">
        <v>-28580.704712968371</v>
      </c>
      <c r="I445" s="23">
        <v>-28580.704712968371</v>
      </c>
      <c r="J445" s="23">
        <v>0</v>
      </c>
      <c r="K445" s="23">
        <v>0</v>
      </c>
    </row>
    <row r="446" spans="5:11">
      <c r="E446" s="62">
        <v>435</v>
      </c>
      <c r="F446" s="43">
        <v>0.27486420245028342</v>
      </c>
      <c r="G446" s="61">
        <v>129.14781125512138</v>
      </c>
      <c r="H446" s="23">
        <v>-28580.704712968371</v>
      </c>
      <c r="I446" s="23">
        <v>-28580.704712968371</v>
      </c>
      <c r="J446" s="23">
        <v>0</v>
      </c>
      <c r="K446" s="23">
        <v>0</v>
      </c>
    </row>
    <row r="447" spans="5:11">
      <c r="E447" s="62">
        <v>436</v>
      </c>
      <c r="F447" s="43">
        <v>0.99787010102070273</v>
      </c>
      <c r="G447" s="61">
        <v>10.103915471810396</v>
      </c>
      <c r="H447" s="23">
        <v>-28580.704712968371</v>
      </c>
      <c r="I447" s="23">
        <v>-28580.704712968371</v>
      </c>
      <c r="J447" s="23">
        <v>0</v>
      </c>
      <c r="K447" s="23">
        <v>0</v>
      </c>
    </row>
    <row r="448" spans="5:11">
      <c r="E448" s="62">
        <v>437</v>
      </c>
      <c r="F448" s="43">
        <v>2.1298989792972733E-3</v>
      </c>
      <c r="G448" s="61">
        <v>615.16807279454906</v>
      </c>
      <c r="H448" s="23">
        <v>-28580.704712968371</v>
      </c>
      <c r="I448" s="23">
        <v>-28580.704712968371</v>
      </c>
      <c r="J448" s="23">
        <v>0</v>
      </c>
      <c r="K448" s="23">
        <v>0</v>
      </c>
    </row>
    <row r="449" spans="5:11">
      <c r="E449" s="62">
        <v>438</v>
      </c>
      <c r="F449" s="43">
        <v>0.76519836990687995</v>
      </c>
      <c r="G449" s="61">
        <v>332.01147812289753</v>
      </c>
      <c r="H449" s="23">
        <v>-28580.704712968371</v>
      </c>
      <c r="I449" s="23">
        <v>-28580.704712968371</v>
      </c>
      <c r="J449" s="23">
        <v>0</v>
      </c>
      <c r="K449" s="23">
        <v>0</v>
      </c>
    </row>
    <row r="450" spans="5:11">
      <c r="E450" s="62">
        <v>439</v>
      </c>
      <c r="F450" s="43">
        <v>0.23480163009312005</v>
      </c>
      <c r="G450" s="61">
        <v>144.9014248577337</v>
      </c>
      <c r="H450" s="23">
        <v>-28580.704712968371</v>
      </c>
      <c r="I450" s="23">
        <v>-28580.704712968371</v>
      </c>
      <c r="J450" s="23">
        <v>0</v>
      </c>
      <c r="K450" s="23">
        <v>0</v>
      </c>
    </row>
    <row r="451" spans="5:11">
      <c r="E451" s="62">
        <v>440</v>
      </c>
      <c r="F451" s="43">
        <v>0.37975535176273789</v>
      </c>
      <c r="G451" s="61">
        <v>6.5302076776710889</v>
      </c>
      <c r="H451" s="23">
        <v>-28580.704712968371</v>
      </c>
      <c r="I451" s="23">
        <v>-28580.704712968371</v>
      </c>
      <c r="J451" s="23">
        <v>0</v>
      </c>
      <c r="K451" s="23">
        <v>0</v>
      </c>
    </row>
    <row r="452" spans="5:11">
      <c r="E452" s="62">
        <v>441</v>
      </c>
      <c r="F452" s="43">
        <v>0.62024464823726211</v>
      </c>
      <c r="G452" s="61">
        <v>47.764128484364313</v>
      </c>
      <c r="H452" s="23">
        <v>-28580.704712968371</v>
      </c>
      <c r="I452" s="23">
        <v>-28580.704712968371</v>
      </c>
      <c r="J452" s="23">
        <v>0</v>
      </c>
      <c r="K452" s="23">
        <v>0</v>
      </c>
    </row>
    <row r="453" spans="5:11">
      <c r="E453" s="62">
        <v>442</v>
      </c>
      <c r="F453" s="43">
        <v>0.33856750758305132</v>
      </c>
      <c r="G453" s="61">
        <v>42.8679024873949</v>
      </c>
      <c r="H453" s="23">
        <v>-28580.704712968371</v>
      </c>
      <c r="I453" s="23">
        <v>-28580.704712968371</v>
      </c>
      <c r="J453" s="23">
        <v>0</v>
      </c>
      <c r="K453" s="23">
        <v>0</v>
      </c>
    </row>
    <row r="454" spans="5:11">
      <c r="E454" s="62">
        <v>443</v>
      </c>
      <c r="F454" s="43">
        <v>0.66143249241694868</v>
      </c>
      <c r="G454" s="61">
        <v>41.334735291455985</v>
      </c>
      <c r="H454" s="23">
        <v>-28580.704712968371</v>
      </c>
      <c r="I454" s="23">
        <v>-28580.704712968371</v>
      </c>
      <c r="J454" s="23">
        <v>0</v>
      </c>
      <c r="K454" s="23">
        <v>0</v>
      </c>
    </row>
    <row r="455" spans="5:11">
      <c r="E455" s="62">
        <v>444</v>
      </c>
      <c r="F455" s="43">
        <v>0.67876101040764114</v>
      </c>
      <c r="G455" s="61">
        <v>164.95607063833324</v>
      </c>
      <c r="H455" s="23">
        <v>-28580.704712968371</v>
      </c>
      <c r="I455" s="23">
        <v>-28580.704712968371</v>
      </c>
      <c r="J455" s="23">
        <v>0</v>
      </c>
      <c r="K455" s="23">
        <v>0</v>
      </c>
    </row>
    <row r="456" spans="5:11">
      <c r="E456" s="62">
        <v>445</v>
      </c>
      <c r="F456" s="43">
        <v>0.32123898959235886</v>
      </c>
      <c r="G456" s="61">
        <v>113.55699170025248</v>
      </c>
      <c r="H456" s="23">
        <v>-28580.704712968371</v>
      </c>
      <c r="I456" s="23">
        <v>-28580.704712968371</v>
      </c>
      <c r="J456" s="23">
        <v>0</v>
      </c>
      <c r="K456" s="23">
        <v>0</v>
      </c>
    </row>
    <row r="457" spans="5:11">
      <c r="E457" s="62">
        <v>446</v>
      </c>
      <c r="F457" s="43">
        <v>0.59376697212394081</v>
      </c>
      <c r="G457" s="61">
        <v>3.2590129447539002</v>
      </c>
      <c r="H457" s="23">
        <v>542603.17541906552</v>
      </c>
      <c r="I457" s="23">
        <v>-18878.351049695419</v>
      </c>
      <c r="J457" s="23">
        <v>-702.73032098718511</v>
      </c>
      <c r="K457" s="23">
        <v>562184.25678974809</v>
      </c>
    </row>
    <row r="458" spans="5:11">
      <c r="E458" s="62">
        <v>447</v>
      </c>
      <c r="F458" s="43">
        <v>0.40623302787605919</v>
      </c>
      <c r="G458" s="61">
        <v>90.082832374674965</v>
      </c>
      <c r="H458" s="23">
        <v>-28580.704712968371</v>
      </c>
      <c r="I458" s="23">
        <v>-28580.704712968371</v>
      </c>
      <c r="J458" s="23">
        <v>0</v>
      </c>
      <c r="K458" s="23">
        <v>0</v>
      </c>
    </row>
    <row r="459" spans="5:11">
      <c r="E459" s="62">
        <v>448</v>
      </c>
      <c r="F459" s="43">
        <v>0.23348798038696439</v>
      </c>
      <c r="G459" s="61">
        <v>14.089045481076949</v>
      </c>
      <c r="H459" s="23">
        <v>-28580.704712968371</v>
      </c>
      <c r="I459" s="23">
        <v>-28580.704712968371</v>
      </c>
      <c r="J459" s="23">
        <v>0</v>
      </c>
      <c r="K459" s="23">
        <v>0</v>
      </c>
    </row>
    <row r="460" spans="5:11">
      <c r="E460" s="62">
        <v>449</v>
      </c>
      <c r="F460" s="43">
        <v>0.76651201961303561</v>
      </c>
      <c r="G460" s="61">
        <v>26.590489962813407</v>
      </c>
      <c r="H460" s="23">
        <v>-28580.704712968371</v>
      </c>
      <c r="I460" s="23">
        <v>-28580.704712968371</v>
      </c>
      <c r="J460" s="23">
        <v>0</v>
      </c>
      <c r="K460" s="23">
        <v>0</v>
      </c>
    </row>
    <row r="461" spans="5:11">
      <c r="E461" s="62">
        <v>450</v>
      </c>
      <c r="F461" s="43">
        <v>4.7766284931398562E-2</v>
      </c>
      <c r="G461" s="61">
        <v>29.317368608324717</v>
      </c>
      <c r="H461" s="23">
        <v>-28580.704712968371</v>
      </c>
      <c r="I461" s="23">
        <v>-28580.704712968371</v>
      </c>
      <c r="J461" s="23">
        <v>0</v>
      </c>
      <c r="K461" s="23">
        <v>0</v>
      </c>
    </row>
    <row r="462" spans="5:11">
      <c r="E462" s="62">
        <v>451</v>
      </c>
      <c r="F462" s="43">
        <v>0.95223371506860144</v>
      </c>
      <c r="G462" s="61">
        <v>4.8944775299085235</v>
      </c>
      <c r="H462" s="23">
        <v>518818.79058993806</v>
      </c>
      <c r="I462" s="23">
        <v>-27213.914462524161</v>
      </c>
      <c r="J462" s="23">
        <v>-683.39512522210543</v>
      </c>
      <c r="K462" s="23">
        <v>546716.10017768433</v>
      </c>
    </row>
    <row r="463" spans="5:11">
      <c r="E463" s="62">
        <v>452</v>
      </c>
      <c r="F463" s="43">
        <v>0.84822119356090053</v>
      </c>
      <c r="G463" s="61">
        <v>37.566911907355802</v>
      </c>
      <c r="H463" s="23">
        <v>-28580.704712968371</v>
      </c>
      <c r="I463" s="23">
        <v>-28580.704712968371</v>
      </c>
      <c r="J463" s="23">
        <v>0</v>
      </c>
      <c r="K463" s="23">
        <v>0</v>
      </c>
    </row>
    <row r="464" spans="5:11">
      <c r="E464" s="62">
        <v>453</v>
      </c>
      <c r="F464" s="43">
        <v>0.15177880643909947</v>
      </c>
      <c r="G464" s="61">
        <v>188.53310387933877</v>
      </c>
      <c r="H464" s="23">
        <v>-28580.704712968371</v>
      </c>
      <c r="I464" s="23">
        <v>-28580.704712968371</v>
      </c>
      <c r="J464" s="23">
        <v>0</v>
      </c>
      <c r="K464" s="23">
        <v>0</v>
      </c>
    </row>
    <row r="465" spans="5:11">
      <c r="E465" s="62">
        <v>454</v>
      </c>
      <c r="F465" s="43">
        <v>1.2855160544130051E-2</v>
      </c>
      <c r="G465" s="61">
        <v>83.924574172170097</v>
      </c>
      <c r="H465" s="23">
        <v>-28580.704712968371</v>
      </c>
      <c r="I465" s="23">
        <v>-28580.704712968371</v>
      </c>
      <c r="J465" s="23">
        <v>0</v>
      </c>
      <c r="K465" s="23">
        <v>0</v>
      </c>
    </row>
    <row r="466" spans="5:11">
      <c r="E466" s="62">
        <v>455</v>
      </c>
      <c r="F466" s="43">
        <v>0.98714483945586995</v>
      </c>
      <c r="G466" s="61">
        <v>1.2938503145900182</v>
      </c>
      <c r="H466" s="23">
        <v>575365.74079116632</v>
      </c>
      <c r="I466" s="23">
        <v>-7396.2613009771694</v>
      </c>
      <c r="J466" s="23">
        <v>-729.36420787502323</v>
      </c>
      <c r="K466" s="23">
        <v>583491.3663000185</v>
      </c>
    </row>
    <row r="467" spans="5:11">
      <c r="E467" s="62">
        <v>456</v>
      </c>
      <c r="F467" s="43">
        <v>0.59812153373288346</v>
      </c>
      <c r="G467" s="61">
        <v>61.169735083468147</v>
      </c>
      <c r="H467" s="23">
        <v>-28580.704712968371</v>
      </c>
      <c r="I467" s="23">
        <v>-28580.704712968371</v>
      </c>
      <c r="J467" s="23">
        <v>0</v>
      </c>
      <c r="K467" s="23">
        <v>0</v>
      </c>
    </row>
    <row r="468" spans="5:11">
      <c r="E468" s="62">
        <v>457</v>
      </c>
      <c r="F468" s="43">
        <v>0.40187846626711654</v>
      </c>
      <c r="G468" s="61">
        <v>91.160555879045745</v>
      </c>
      <c r="H468" s="23">
        <v>-28580.704712968371</v>
      </c>
      <c r="I468" s="23">
        <v>-28580.704712968371</v>
      </c>
      <c r="J468" s="23">
        <v>0</v>
      </c>
      <c r="K468" s="23">
        <v>0</v>
      </c>
    </row>
    <row r="469" spans="5:11">
      <c r="E469" s="62">
        <v>458</v>
      </c>
      <c r="F469" s="43">
        <v>0.55812351856106845</v>
      </c>
      <c r="G469" s="61">
        <v>135.34381406761966</v>
      </c>
      <c r="H469" s="23">
        <v>-28580.704712968371</v>
      </c>
      <c r="I469" s="23">
        <v>-28580.704712968371</v>
      </c>
      <c r="J469" s="23">
        <v>0</v>
      </c>
      <c r="K469" s="23">
        <v>0</v>
      </c>
    </row>
    <row r="470" spans="5:11">
      <c r="E470" s="62">
        <v>459</v>
      </c>
      <c r="F470" s="43">
        <v>0.44187648143893155</v>
      </c>
      <c r="G470" s="61">
        <v>81.672488971698982</v>
      </c>
      <c r="H470" s="23">
        <v>-28580.704712968371</v>
      </c>
      <c r="I470" s="23">
        <v>-28580.704712968371</v>
      </c>
      <c r="J470" s="23">
        <v>0</v>
      </c>
      <c r="K470" s="23">
        <v>0</v>
      </c>
    </row>
    <row r="471" spans="5:11">
      <c r="E471" s="62">
        <v>460</v>
      </c>
      <c r="F471" s="43">
        <v>0.62639169999527577</v>
      </c>
      <c r="G471" s="61">
        <v>4.7672458113259166</v>
      </c>
      <c r="H471" s="23">
        <v>518818.79058993806</v>
      </c>
      <c r="I471" s="23">
        <v>-27213.914462524161</v>
      </c>
      <c r="J471" s="23">
        <v>-683.39512522210543</v>
      </c>
      <c r="K471" s="23">
        <v>546716.10017768433</v>
      </c>
    </row>
    <row r="472" spans="5:11">
      <c r="E472" s="62">
        <v>461</v>
      </c>
      <c r="F472" s="43">
        <v>0.37360830000472423</v>
      </c>
      <c r="G472" s="61">
        <v>98.454735658749243</v>
      </c>
      <c r="H472" s="23">
        <v>-28580.704712968371</v>
      </c>
      <c r="I472" s="23">
        <v>-28580.704712968371</v>
      </c>
      <c r="J472" s="23">
        <v>0</v>
      </c>
      <c r="K472" s="23">
        <v>0</v>
      </c>
    </row>
    <row r="473" spans="5:11">
      <c r="E473" s="62">
        <v>462</v>
      </c>
      <c r="F473" s="43">
        <v>0.86649913224484798</v>
      </c>
      <c r="G473" s="61">
        <v>50.965846506875089</v>
      </c>
      <c r="H473" s="23">
        <v>-28580.704712968371</v>
      </c>
      <c r="I473" s="23">
        <v>-28580.704712968371</v>
      </c>
      <c r="J473" s="23">
        <v>0</v>
      </c>
      <c r="K473" s="23">
        <v>0</v>
      </c>
    </row>
    <row r="474" spans="5:11">
      <c r="E474" s="62">
        <v>463</v>
      </c>
      <c r="F474" s="43">
        <v>0.13350086775515202</v>
      </c>
      <c r="G474" s="61">
        <v>201.3647301124366</v>
      </c>
      <c r="H474" s="23">
        <v>-28580.704712968371</v>
      </c>
      <c r="I474" s="23">
        <v>-28580.704712968371</v>
      </c>
      <c r="J474" s="23">
        <v>0</v>
      </c>
      <c r="K474" s="23">
        <v>0</v>
      </c>
    </row>
    <row r="475" spans="5:11">
      <c r="E475" s="62">
        <v>464</v>
      </c>
      <c r="F475" s="43">
        <v>0.2595220123412677</v>
      </c>
      <c r="G475" s="61">
        <v>258.24353840976954</v>
      </c>
      <c r="H475" s="23">
        <v>-28580.704712968371</v>
      </c>
      <c r="I475" s="23">
        <v>-28580.704712968371</v>
      </c>
      <c r="J475" s="23">
        <v>0</v>
      </c>
      <c r="K475" s="23">
        <v>0</v>
      </c>
    </row>
    <row r="476" spans="5:11">
      <c r="E476" s="62">
        <v>465</v>
      </c>
      <c r="F476" s="43">
        <v>0.7404779876587323</v>
      </c>
      <c r="G476" s="61">
        <v>30.04593720378854</v>
      </c>
      <c r="H476" s="23">
        <v>-28580.704712968371</v>
      </c>
      <c r="I476" s="23">
        <v>-28580.704712968371</v>
      </c>
      <c r="J476" s="23">
        <v>0</v>
      </c>
      <c r="K476" s="23">
        <v>0</v>
      </c>
    </row>
    <row r="477" spans="5:11">
      <c r="E477" s="62">
        <v>466</v>
      </c>
      <c r="F477" s="43">
        <v>0.32940979432923889</v>
      </c>
      <c r="G477" s="61">
        <v>279.51486410512916</v>
      </c>
      <c r="H477" s="23">
        <v>-28580.704712968371</v>
      </c>
      <c r="I477" s="23">
        <v>-28580.704712968371</v>
      </c>
      <c r="J477" s="23">
        <v>0</v>
      </c>
      <c r="K477" s="23">
        <v>0</v>
      </c>
    </row>
    <row r="478" spans="5:11">
      <c r="E478" s="62">
        <v>467</v>
      </c>
      <c r="F478" s="43">
        <v>0.67059020567076111</v>
      </c>
      <c r="G478" s="61">
        <v>39.95970503791235</v>
      </c>
      <c r="H478" s="23">
        <v>-28580.704712968371</v>
      </c>
      <c r="I478" s="23">
        <v>-28580.704712968371</v>
      </c>
      <c r="J478" s="23">
        <v>0</v>
      </c>
      <c r="K478" s="23">
        <v>0</v>
      </c>
    </row>
    <row r="479" spans="5:11">
      <c r="E479" s="62">
        <v>468</v>
      </c>
      <c r="F479" s="43">
        <v>0.27027814784184789</v>
      </c>
      <c r="G479" s="61">
        <v>315.46341997092776</v>
      </c>
      <c r="H479" s="23">
        <v>-28580.704712968371</v>
      </c>
      <c r="I479" s="23">
        <v>-28580.704712968371</v>
      </c>
      <c r="J479" s="23">
        <v>0</v>
      </c>
      <c r="K479" s="23">
        <v>0</v>
      </c>
    </row>
    <row r="480" spans="5:11">
      <c r="E480" s="62">
        <v>469</v>
      </c>
      <c r="F480" s="43">
        <v>0.72972185215815211</v>
      </c>
      <c r="G480" s="61">
        <v>31.509184188884429</v>
      </c>
      <c r="H480" s="23">
        <v>-28580.704712968371</v>
      </c>
      <c r="I480" s="23">
        <v>-28580.704712968371</v>
      </c>
      <c r="J480" s="23">
        <v>0</v>
      </c>
      <c r="K480" s="23">
        <v>0</v>
      </c>
    </row>
    <row r="481" spans="5:11">
      <c r="E481" s="62">
        <v>470</v>
      </c>
      <c r="F481" s="43">
        <v>0.97843573964001773</v>
      </c>
      <c r="G481" s="61">
        <v>77.688821054588516</v>
      </c>
      <c r="H481" s="23">
        <v>-28580.704712968371</v>
      </c>
      <c r="I481" s="23">
        <v>-28580.704712968371</v>
      </c>
      <c r="J481" s="23">
        <v>0</v>
      </c>
      <c r="K481" s="23">
        <v>0</v>
      </c>
    </row>
    <row r="482" spans="5:11">
      <c r="E482" s="62">
        <v>471</v>
      </c>
      <c r="F482" s="43">
        <v>2.1564260359982268E-2</v>
      </c>
      <c r="G482" s="61">
        <v>383.67179476396768</v>
      </c>
      <c r="H482" s="23">
        <v>-28580.704712968371</v>
      </c>
      <c r="I482" s="23">
        <v>-28580.704712968371</v>
      </c>
      <c r="J482" s="23">
        <v>0</v>
      </c>
      <c r="K482" s="23">
        <v>0</v>
      </c>
    </row>
    <row r="483" spans="5:11">
      <c r="E483" s="62">
        <v>472</v>
      </c>
      <c r="F483" s="43">
        <v>0.98777507933004161</v>
      </c>
      <c r="G483" s="61">
        <v>68.074267575494588</v>
      </c>
      <c r="H483" s="23">
        <v>-28580.704712968371</v>
      </c>
      <c r="I483" s="23">
        <v>-28580.704712968371</v>
      </c>
      <c r="J483" s="23">
        <v>0</v>
      </c>
      <c r="K483" s="23">
        <v>0</v>
      </c>
    </row>
    <row r="484" spans="5:11">
      <c r="E484" s="62">
        <v>473</v>
      </c>
      <c r="F484" s="43">
        <v>1.2224920669958395E-2</v>
      </c>
      <c r="G484" s="61">
        <v>440.42787328072137</v>
      </c>
      <c r="H484" s="23">
        <v>-28580.704712968371</v>
      </c>
      <c r="I484" s="23">
        <v>-28580.704712968371</v>
      </c>
      <c r="J484" s="23">
        <v>0</v>
      </c>
      <c r="K484" s="23">
        <v>0</v>
      </c>
    </row>
    <row r="485" spans="5:11">
      <c r="E485" s="62">
        <v>474</v>
      </c>
      <c r="F485" s="43">
        <v>8.5419230724446127E-2</v>
      </c>
      <c r="G485" s="61">
        <v>3.7564113904681409</v>
      </c>
      <c r="H485" s="23">
        <v>534601.20233104227</v>
      </c>
      <c r="I485" s="23">
        <v>-21682.752112920778</v>
      </c>
      <c r="J485" s="23">
        <v>-696.22522458568596</v>
      </c>
      <c r="K485" s="23">
        <v>556980.17966854875</v>
      </c>
    </row>
    <row r="486" spans="5:11">
      <c r="E486" s="62">
        <v>475</v>
      </c>
      <c r="F486" s="43">
        <v>0.91458076927555387</v>
      </c>
      <c r="G486" s="61">
        <v>8.9289494356285442</v>
      </c>
      <c r="H486" s="23">
        <v>-28580.704712968371</v>
      </c>
      <c r="I486" s="23">
        <v>-28580.704712968371</v>
      </c>
      <c r="J486" s="23">
        <v>0</v>
      </c>
      <c r="K486" s="23">
        <v>0</v>
      </c>
    </row>
    <row r="487" spans="5:11">
      <c r="E487" s="62">
        <v>476</v>
      </c>
      <c r="F487" s="43">
        <v>0.39857505227580492</v>
      </c>
      <c r="G487" s="61">
        <v>88.460224076933727</v>
      </c>
      <c r="H487" s="23">
        <v>-28580.704712968371</v>
      </c>
      <c r="I487" s="23">
        <v>-28580.704712968371</v>
      </c>
      <c r="J487" s="23">
        <v>0</v>
      </c>
      <c r="K487" s="23">
        <v>0</v>
      </c>
    </row>
    <row r="488" spans="5:11">
      <c r="E488" s="62">
        <v>477</v>
      </c>
      <c r="F488" s="43">
        <v>0.60142494772419508</v>
      </c>
      <c r="G488" s="61">
        <v>50.84535265408455</v>
      </c>
      <c r="H488" s="23">
        <v>-28580.704712968371</v>
      </c>
      <c r="I488" s="23">
        <v>-28580.704712968371</v>
      </c>
      <c r="J488" s="23">
        <v>0</v>
      </c>
      <c r="K488" s="23">
        <v>0</v>
      </c>
    </row>
    <row r="489" spans="5:11">
      <c r="E489" s="62">
        <v>478</v>
      </c>
      <c r="F489" s="43">
        <v>9.3788854276002365E-2</v>
      </c>
      <c r="G489" s="61">
        <v>119.17506211846948</v>
      </c>
      <c r="H489" s="23">
        <v>-28580.704712968371</v>
      </c>
      <c r="I489" s="23">
        <v>-28580.704712968371</v>
      </c>
      <c r="J489" s="23">
        <v>0</v>
      </c>
      <c r="K489" s="23">
        <v>0</v>
      </c>
    </row>
    <row r="490" spans="5:11">
      <c r="E490" s="62">
        <v>479</v>
      </c>
      <c r="F490" s="43">
        <v>0.90621114572399764</v>
      </c>
      <c r="G490" s="61">
        <v>9.8482947416219844</v>
      </c>
      <c r="H490" s="23">
        <v>-28580.704712968371</v>
      </c>
      <c r="I490" s="23">
        <v>-28580.704712968371</v>
      </c>
      <c r="J490" s="23">
        <v>0</v>
      </c>
      <c r="K490" s="23">
        <v>0</v>
      </c>
    </row>
    <row r="491" spans="5:11">
      <c r="E491" s="62">
        <v>480</v>
      </c>
      <c r="F491" s="43">
        <v>0.8467723572829432</v>
      </c>
      <c r="G491" s="61">
        <v>203.97957139293655</v>
      </c>
      <c r="H491" s="23">
        <v>-28580.704712968371</v>
      </c>
      <c r="I491" s="23">
        <v>-28580.704712968371</v>
      </c>
      <c r="J491" s="23">
        <v>0</v>
      </c>
      <c r="K491" s="23">
        <v>0</v>
      </c>
    </row>
    <row r="492" spans="5:11">
      <c r="E492" s="62">
        <v>481</v>
      </c>
      <c r="F492" s="43">
        <v>0.1532276427170568</v>
      </c>
      <c r="G492" s="61">
        <v>187.58306024622445</v>
      </c>
      <c r="H492" s="23">
        <v>-28580.704712968371</v>
      </c>
      <c r="I492" s="23">
        <v>-28580.704712968371</v>
      </c>
      <c r="J492" s="23">
        <v>0</v>
      </c>
      <c r="K492" s="23">
        <v>0</v>
      </c>
    </row>
    <row r="493" spans="5:11">
      <c r="E493" s="62">
        <v>482</v>
      </c>
      <c r="F493" s="43">
        <v>0.53882166657032593</v>
      </c>
      <c r="G493" s="61">
        <v>39.473278420445823</v>
      </c>
      <c r="H493" s="23">
        <v>-28580.704712968371</v>
      </c>
      <c r="I493" s="23">
        <v>-28580.704712968371</v>
      </c>
      <c r="J493" s="23">
        <v>0</v>
      </c>
      <c r="K493" s="23">
        <v>0</v>
      </c>
    </row>
    <row r="494" spans="5:11">
      <c r="E494" s="62">
        <v>483</v>
      </c>
      <c r="F494" s="43">
        <v>0.46117833342967407</v>
      </c>
      <c r="G494" s="61">
        <v>77.397047037750937</v>
      </c>
      <c r="H494" s="23">
        <v>-28580.704712968371</v>
      </c>
      <c r="I494" s="23">
        <v>-28580.704712968371</v>
      </c>
      <c r="J494" s="23">
        <v>0</v>
      </c>
      <c r="K494" s="23">
        <v>0</v>
      </c>
    </row>
    <row r="495" spans="5:11">
      <c r="E495" s="62">
        <v>484</v>
      </c>
      <c r="F495" s="43">
        <v>0.57377180039289499</v>
      </c>
      <c r="G495" s="61">
        <v>60.169054349406522</v>
      </c>
      <c r="H495" s="23">
        <v>-28580.704712968371</v>
      </c>
      <c r="I495" s="23">
        <v>-28580.704712968371</v>
      </c>
      <c r="J495" s="23">
        <v>0</v>
      </c>
      <c r="K495" s="23">
        <v>0</v>
      </c>
    </row>
    <row r="496" spans="5:11">
      <c r="E496" s="62">
        <v>485</v>
      </c>
      <c r="F496" s="43">
        <v>0.42622819960710501</v>
      </c>
      <c r="G496" s="61">
        <v>85.278039630910342</v>
      </c>
      <c r="H496" s="23">
        <v>-28580.704712968371</v>
      </c>
      <c r="I496" s="23">
        <v>-28580.704712968371</v>
      </c>
      <c r="J496" s="23">
        <v>0</v>
      </c>
      <c r="K496" s="23">
        <v>0</v>
      </c>
    </row>
    <row r="497" spans="5:11">
      <c r="E497" s="62">
        <v>486</v>
      </c>
      <c r="F497" s="43">
        <v>0.56241651082470834</v>
      </c>
      <c r="G497" s="61">
        <v>47.879819163013678</v>
      </c>
      <c r="H497" s="23">
        <v>-28580.704712968371</v>
      </c>
      <c r="I497" s="23">
        <v>-28580.704712968371</v>
      </c>
      <c r="J497" s="23">
        <v>0</v>
      </c>
      <c r="K497" s="23">
        <v>0</v>
      </c>
    </row>
    <row r="498" spans="5:11">
      <c r="E498" s="62">
        <v>487</v>
      </c>
      <c r="F498" s="43">
        <v>0.43758348917529166</v>
      </c>
      <c r="G498" s="61">
        <v>82.648775898998764</v>
      </c>
      <c r="H498" s="23">
        <v>-28580.704712968371</v>
      </c>
      <c r="I498" s="23">
        <v>-28580.704712968371</v>
      </c>
      <c r="J498" s="23">
        <v>0</v>
      </c>
      <c r="K498" s="23">
        <v>0</v>
      </c>
    </row>
    <row r="499" spans="5:11">
      <c r="E499" s="62">
        <v>488</v>
      </c>
      <c r="F499" s="43">
        <v>0.95762543297468938</v>
      </c>
      <c r="G499" s="61">
        <v>259.61935725244007</v>
      </c>
      <c r="H499" s="23">
        <v>-28580.704712968371</v>
      </c>
      <c r="I499" s="23">
        <v>-28580.704712968371</v>
      </c>
      <c r="J499" s="23">
        <v>0</v>
      </c>
      <c r="K499" s="23">
        <v>0</v>
      </c>
    </row>
    <row r="500" spans="5:11">
      <c r="E500" s="62">
        <v>489</v>
      </c>
      <c r="F500" s="43">
        <v>4.2374567025310617E-2</v>
      </c>
      <c r="G500" s="61">
        <v>316.12069310255083</v>
      </c>
      <c r="H500" s="23">
        <v>-28580.704712968371</v>
      </c>
      <c r="I500" s="23">
        <v>-28580.704712968371</v>
      </c>
      <c r="J500" s="23">
        <v>0</v>
      </c>
      <c r="K500" s="23">
        <v>0</v>
      </c>
    </row>
    <row r="501" spans="5:11">
      <c r="E501" s="62">
        <v>490</v>
      </c>
      <c r="F501" s="43">
        <v>0.61991393079860935</v>
      </c>
      <c r="G501" s="61">
        <v>108.16005423938681</v>
      </c>
      <c r="H501" s="23">
        <v>-28580.704712968371</v>
      </c>
      <c r="I501" s="23">
        <v>-28580.704712968371</v>
      </c>
      <c r="J501" s="23">
        <v>0</v>
      </c>
      <c r="K501" s="23">
        <v>0</v>
      </c>
    </row>
    <row r="502" spans="5:11">
      <c r="E502" s="62">
        <v>491</v>
      </c>
      <c r="F502" s="43">
        <v>0.38008606920139065</v>
      </c>
      <c r="G502" s="61">
        <v>96.735755401008561</v>
      </c>
      <c r="H502" s="23">
        <v>-28580.704712968371</v>
      </c>
      <c r="I502" s="23">
        <v>-28580.704712968371</v>
      </c>
      <c r="J502" s="23">
        <v>0</v>
      </c>
      <c r="K502" s="23">
        <v>0</v>
      </c>
    </row>
    <row r="503" spans="5:11">
      <c r="E503" s="62">
        <v>492</v>
      </c>
      <c r="F503" s="43">
        <v>0.29562458142049308</v>
      </c>
      <c r="G503" s="61">
        <v>81.235169796634437</v>
      </c>
      <c r="H503" s="23">
        <v>-28580.704712968371</v>
      </c>
      <c r="I503" s="23">
        <v>-28580.704712968371</v>
      </c>
      <c r="J503" s="23">
        <v>0</v>
      </c>
      <c r="K503" s="23">
        <v>0</v>
      </c>
    </row>
    <row r="504" spans="5:11">
      <c r="E504" s="62">
        <v>493</v>
      </c>
      <c r="F504" s="43">
        <v>0.70437541857950692</v>
      </c>
      <c r="G504" s="61">
        <v>35.044379993165258</v>
      </c>
      <c r="H504" s="23">
        <v>-28580.704712968371</v>
      </c>
      <c r="I504" s="23">
        <v>-28580.704712968371</v>
      </c>
      <c r="J504" s="23">
        <v>0</v>
      </c>
      <c r="K504" s="23">
        <v>0</v>
      </c>
    </row>
    <row r="505" spans="5:11">
      <c r="E505" s="62">
        <v>494</v>
      </c>
      <c r="F505" s="43">
        <v>0.69259171221756777</v>
      </c>
      <c r="G505" s="61">
        <v>137.23587234739767</v>
      </c>
      <c r="H505" s="23">
        <v>-28580.704712968371</v>
      </c>
      <c r="I505" s="23">
        <v>-28580.704712968371</v>
      </c>
      <c r="J505" s="23">
        <v>0</v>
      </c>
      <c r="K505" s="23">
        <v>0</v>
      </c>
    </row>
    <row r="506" spans="5:11">
      <c r="E506" s="62">
        <v>495</v>
      </c>
      <c r="F506" s="43">
        <v>0.30740828778243223</v>
      </c>
      <c r="G506" s="61">
        <v>117.95784873353149</v>
      </c>
      <c r="H506" s="23">
        <v>-28580.704712968371</v>
      </c>
      <c r="I506" s="23">
        <v>-28580.704712968371</v>
      </c>
      <c r="J506" s="23">
        <v>0</v>
      </c>
      <c r="K506" s="23">
        <v>0</v>
      </c>
    </row>
    <row r="507" spans="5:11">
      <c r="E507" s="62">
        <v>496</v>
      </c>
      <c r="F507" s="43">
        <v>0.11963512688600753</v>
      </c>
      <c r="G507" s="61">
        <v>426.60208629247506</v>
      </c>
      <c r="H507" s="23">
        <v>-28580.704712968371</v>
      </c>
      <c r="I507" s="23">
        <v>-28580.704712968371</v>
      </c>
      <c r="J507" s="23">
        <v>0</v>
      </c>
      <c r="K507" s="23">
        <v>0</v>
      </c>
    </row>
    <row r="508" spans="5:11">
      <c r="E508" s="62">
        <v>497</v>
      </c>
      <c r="F508" s="43">
        <v>0.88036487311399247</v>
      </c>
      <c r="G508" s="61">
        <v>12.741882890591647</v>
      </c>
      <c r="H508" s="23">
        <v>-28580.704712968371</v>
      </c>
      <c r="I508" s="23">
        <v>-28580.704712968371</v>
      </c>
      <c r="J508" s="23">
        <v>0</v>
      </c>
      <c r="K508" s="23">
        <v>0</v>
      </c>
    </row>
    <row r="509" spans="5:11">
      <c r="E509" s="62">
        <v>498</v>
      </c>
      <c r="F509" s="43">
        <v>0.45090456849587068</v>
      </c>
      <c r="G509" s="61">
        <v>99.606826595176003</v>
      </c>
      <c r="H509" s="23">
        <v>-28580.704712968371</v>
      </c>
      <c r="I509" s="23">
        <v>-28580.704712968371</v>
      </c>
      <c r="J509" s="23">
        <v>0</v>
      </c>
      <c r="K509" s="23">
        <v>0</v>
      </c>
    </row>
    <row r="510" spans="5:11">
      <c r="E510" s="62">
        <v>499</v>
      </c>
      <c r="F510" s="43">
        <v>0.54909543150412932</v>
      </c>
      <c r="G510" s="61">
        <v>59.948302470254724</v>
      </c>
      <c r="H510" s="23">
        <v>-28580.704712968371</v>
      </c>
      <c r="I510" s="23">
        <v>-28580.704712968371</v>
      </c>
      <c r="J510" s="23">
        <v>0</v>
      </c>
      <c r="K510" s="23">
        <v>0</v>
      </c>
    </row>
    <row r="511" spans="5:11">
      <c r="E511" s="62">
        <v>500</v>
      </c>
      <c r="F511" s="43">
        <v>0.32174757470246917</v>
      </c>
      <c r="G511" s="61">
        <v>67.557377273407525</v>
      </c>
      <c r="H511" s="23">
        <v>-28580.704712968371</v>
      </c>
      <c r="I511" s="23">
        <v>-28580.704712968371</v>
      </c>
      <c r="J511" s="23">
        <v>0</v>
      </c>
      <c r="K511" s="23">
        <v>0</v>
      </c>
    </row>
    <row r="512" spans="5:11">
      <c r="E512" s="62">
        <v>501</v>
      </c>
      <c r="F512" s="43">
        <v>0.67825242529753083</v>
      </c>
      <c r="G512" s="61">
        <v>38.823575163300433</v>
      </c>
      <c r="H512" s="23">
        <v>-28580.704712968371</v>
      </c>
      <c r="I512" s="23">
        <v>-28580.704712968371</v>
      </c>
      <c r="J512" s="23">
        <v>0</v>
      </c>
      <c r="K512" s="23">
        <v>0</v>
      </c>
    </row>
    <row r="513" spans="5:11">
      <c r="E513" s="62">
        <v>502</v>
      </c>
      <c r="F513" s="43">
        <v>0.77547430190069555</v>
      </c>
      <c r="G513" s="61">
        <v>50.694230780225588</v>
      </c>
      <c r="H513" s="23">
        <v>-28580.704712968371</v>
      </c>
      <c r="I513" s="23">
        <v>-28580.704712968371</v>
      </c>
      <c r="J513" s="23">
        <v>0</v>
      </c>
      <c r="K513" s="23">
        <v>0</v>
      </c>
    </row>
    <row r="514" spans="5:11">
      <c r="E514" s="62">
        <v>503</v>
      </c>
      <c r="F514" s="43">
        <v>0.22452569809930445</v>
      </c>
      <c r="G514" s="61">
        <v>149.37651102024572</v>
      </c>
      <c r="H514" s="23">
        <v>-28580.704712968371</v>
      </c>
      <c r="I514" s="23">
        <v>-28580.704712968371</v>
      </c>
      <c r="J514" s="23">
        <v>0</v>
      </c>
      <c r="K514" s="23">
        <v>0</v>
      </c>
    </row>
    <row r="515" spans="5:11">
      <c r="E515" s="62">
        <v>504</v>
      </c>
      <c r="F515" s="43">
        <v>0.76251317913886385</v>
      </c>
      <c r="G515" s="61">
        <v>209.59981708977966</v>
      </c>
      <c r="H515" s="23">
        <v>-28580.704712968371</v>
      </c>
      <c r="I515" s="23">
        <v>-28580.704712968371</v>
      </c>
      <c r="J515" s="23">
        <v>0</v>
      </c>
      <c r="K515" s="23">
        <v>0</v>
      </c>
    </row>
    <row r="516" spans="5:11">
      <c r="E516" s="62">
        <v>505</v>
      </c>
      <c r="F516" s="43">
        <v>0.23748682086113615</v>
      </c>
      <c r="G516" s="61">
        <v>143.76431481581355</v>
      </c>
      <c r="H516" s="23">
        <v>-28580.704712968371</v>
      </c>
      <c r="I516" s="23">
        <v>-28580.704712968371</v>
      </c>
      <c r="J516" s="23">
        <v>0</v>
      </c>
      <c r="K516" s="23">
        <v>0</v>
      </c>
    </row>
    <row r="517" spans="5:11">
      <c r="E517" s="62">
        <v>506</v>
      </c>
      <c r="F517" s="43">
        <v>0.96659050672483171</v>
      </c>
      <c r="G517" s="61">
        <v>271.86583235937655</v>
      </c>
      <c r="H517" s="23">
        <v>-28580.704712968371</v>
      </c>
      <c r="I517" s="23">
        <v>-28580.704712968371</v>
      </c>
      <c r="J517" s="23">
        <v>0</v>
      </c>
      <c r="K517" s="23">
        <v>0</v>
      </c>
    </row>
    <row r="518" spans="5:11">
      <c r="E518" s="62">
        <v>507</v>
      </c>
      <c r="F518" s="43">
        <v>3.3409493275168289E-2</v>
      </c>
      <c r="G518" s="61">
        <v>339.89151895896606</v>
      </c>
      <c r="H518" s="23">
        <v>-28580.704712968371</v>
      </c>
      <c r="I518" s="23">
        <v>-28580.704712968371</v>
      </c>
      <c r="J518" s="23">
        <v>0</v>
      </c>
      <c r="K518" s="23">
        <v>0</v>
      </c>
    </row>
    <row r="519" spans="5:11">
      <c r="E519" s="62">
        <v>508</v>
      </c>
      <c r="F519" s="43">
        <v>0.64456775539826783</v>
      </c>
      <c r="G519" s="61">
        <v>167.23877785554311</v>
      </c>
      <c r="H519" s="23">
        <v>-28580.704712968371</v>
      </c>
      <c r="I519" s="23">
        <v>-28580.704712968371</v>
      </c>
      <c r="J519" s="23">
        <v>0</v>
      </c>
      <c r="K519" s="23">
        <v>0</v>
      </c>
    </row>
    <row r="520" spans="5:11">
      <c r="E520" s="62">
        <v>509</v>
      </c>
      <c r="F520" s="43">
        <v>0.35543224460173217</v>
      </c>
      <c r="G520" s="61">
        <v>103.44206397413767</v>
      </c>
      <c r="H520" s="23">
        <v>-28580.704712968371</v>
      </c>
      <c r="I520" s="23">
        <v>-28580.704712968371</v>
      </c>
      <c r="J520" s="23">
        <v>0</v>
      </c>
      <c r="K520" s="23">
        <v>0</v>
      </c>
    </row>
    <row r="521" spans="5:11">
      <c r="E521" s="62">
        <v>510</v>
      </c>
      <c r="F521" s="43">
        <v>1.7272774557674953E-2</v>
      </c>
      <c r="G521" s="61">
        <v>42.588170204407419</v>
      </c>
      <c r="H521" s="23">
        <v>-28580.704712968371</v>
      </c>
      <c r="I521" s="23">
        <v>-28580.704712968371</v>
      </c>
      <c r="J521" s="23">
        <v>0</v>
      </c>
      <c r="K521" s="23">
        <v>0</v>
      </c>
    </row>
    <row r="522" spans="5:11">
      <c r="E522" s="62">
        <v>511</v>
      </c>
      <c r="F522" s="43">
        <v>0.98272722544232505</v>
      </c>
      <c r="G522" s="61">
        <v>1.7423689263297757</v>
      </c>
      <c r="H522" s="23">
        <v>571203.45969712711</v>
      </c>
      <c r="I522" s="23">
        <v>-8854.9897167272156</v>
      </c>
      <c r="J522" s="23">
        <v>-725.9805374391168</v>
      </c>
      <c r="K522" s="23">
        <v>580784.42995129339</v>
      </c>
    </row>
    <row r="523" spans="5:11">
      <c r="E523" s="62">
        <v>512</v>
      </c>
      <c r="F523" s="43">
        <v>0.70805122999362258</v>
      </c>
      <c r="G523" s="61">
        <v>86.857830229940305</v>
      </c>
      <c r="H523" s="23">
        <v>-28580.704712968371</v>
      </c>
      <c r="I523" s="23">
        <v>-28580.704712968371</v>
      </c>
      <c r="J523" s="23">
        <v>0</v>
      </c>
      <c r="K523" s="23">
        <v>0</v>
      </c>
    </row>
    <row r="524" spans="5:11">
      <c r="E524" s="62">
        <v>513</v>
      </c>
      <c r="F524" s="43">
        <v>0.29194877000637742</v>
      </c>
      <c r="G524" s="61">
        <v>123.11769372898009</v>
      </c>
      <c r="H524" s="23">
        <v>-28580.704712968371</v>
      </c>
      <c r="I524" s="23">
        <v>-28580.704712968371</v>
      </c>
      <c r="J524" s="23">
        <v>0</v>
      </c>
      <c r="K524" s="23">
        <v>0</v>
      </c>
    </row>
    <row r="525" spans="5:11">
      <c r="E525" s="62">
        <v>514</v>
      </c>
      <c r="F525" s="43">
        <v>0.74111234833446793</v>
      </c>
      <c r="G525" s="61">
        <v>9.1423288401004417</v>
      </c>
      <c r="H525" s="23">
        <v>-28580.704712968371</v>
      </c>
      <c r="I525" s="23">
        <v>-28580.704712968371</v>
      </c>
      <c r="J525" s="23">
        <v>0</v>
      </c>
      <c r="K525" s="23">
        <v>0</v>
      </c>
    </row>
    <row r="526" spans="5:11">
      <c r="E526" s="62">
        <v>515</v>
      </c>
      <c r="F526" s="43">
        <v>0.25888765166553207</v>
      </c>
      <c r="G526" s="61">
        <v>135.13610887443693</v>
      </c>
      <c r="H526" s="23">
        <v>-28580.704712968371</v>
      </c>
      <c r="I526" s="23">
        <v>-28580.704712968371</v>
      </c>
      <c r="J526" s="23">
        <v>0</v>
      </c>
      <c r="K526" s="23">
        <v>0</v>
      </c>
    </row>
    <row r="527" spans="5:11">
      <c r="E527" s="62">
        <v>516</v>
      </c>
      <c r="F527" s="43">
        <v>0.82375576216000146</v>
      </c>
      <c r="G527" s="61">
        <v>114.9243193706551</v>
      </c>
      <c r="H527" s="23">
        <v>-28580.704712968371</v>
      </c>
      <c r="I527" s="23">
        <v>-28580.704712968371</v>
      </c>
      <c r="J527" s="23">
        <v>0</v>
      </c>
      <c r="K527" s="23">
        <v>0</v>
      </c>
    </row>
    <row r="528" spans="5:11">
      <c r="E528" s="62">
        <v>517</v>
      </c>
      <c r="F528" s="43">
        <v>0.17624423783999854</v>
      </c>
      <c r="G528" s="61">
        <v>173.58845309305815</v>
      </c>
      <c r="H528" s="23">
        <v>-28580.704712968371</v>
      </c>
      <c r="I528" s="23">
        <v>-28580.704712968371</v>
      </c>
      <c r="J528" s="23">
        <v>0</v>
      </c>
      <c r="K528" s="23">
        <v>0</v>
      </c>
    </row>
    <row r="529" spans="5:11">
      <c r="E529" s="62">
        <v>518</v>
      </c>
      <c r="F529" s="43">
        <v>0.81664817855565774</v>
      </c>
      <c r="G529" s="61">
        <v>120.03442535270814</v>
      </c>
      <c r="H529" s="23">
        <v>-28580.704712968371</v>
      </c>
      <c r="I529" s="23">
        <v>-28580.704712968371</v>
      </c>
      <c r="J529" s="23">
        <v>0</v>
      </c>
      <c r="K529" s="23">
        <v>0</v>
      </c>
    </row>
    <row r="530" spans="5:11">
      <c r="E530" s="62">
        <v>519</v>
      </c>
      <c r="F530" s="43">
        <v>0.18335182144434226</v>
      </c>
      <c r="G530" s="61">
        <v>169.63484502663019</v>
      </c>
      <c r="H530" s="23">
        <v>-28580.704712968371</v>
      </c>
      <c r="I530" s="23">
        <v>-28580.704712968371</v>
      </c>
      <c r="J530" s="23">
        <v>0</v>
      </c>
      <c r="K530" s="23">
        <v>0</v>
      </c>
    </row>
    <row r="531" spans="5:11">
      <c r="E531" s="62">
        <v>520</v>
      </c>
      <c r="F531" s="43">
        <v>0.33735033393862957</v>
      </c>
      <c r="G531" s="61">
        <v>84.693435227868761</v>
      </c>
      <c r="H531" s="23">
        <v>-28580.704712968371</v>
      </c>
      <c r="I531" s="23">
        <v>-28580.704712968371</v>
      </c>
      <c r="J531" s="23">
        <v>0</v>
      </c>
      <c r="K531" s="23">
        <v>0</v>
      </c>
    </row>
    <row r="532" spans="5:11">
      <c r="E532" s="62">
        <v>521</v>
      </c>
      <c r="F532" s="43">
        <v>0.66264966606137043</v>
      </c>
      <c r="G532" s="61">
        <v>41.150883559978453</v>
      </c>
      <c r="H532" s="23">
        <v>-28580.704712968371</v>
      </c>
      <c r="I532" s="23">
        <v>-28580.704712968371</v>
      </c>
      <c r="J532" s="23">
        <v>0</v>
      </c>
      <c r="K532" s="23">
        <v>0</v>
      </c>
    </row>
    <row r="533" spans="5:11">
      <c r="E533" s="62">
        <v>522</v>
      </c>
      <c r="F533" s="43">
        <v>0.22420609561149263</v>
      </c>
      <c r="G533" s="61">
        <v>446.69539840716527</v>
      </c>
      <c r="H533" s="23">
        <v>-28580.704712968371</v>
      </c>
      <c r="I533" s="23">
        <v>-28580.704712968371</v>
      </c>
      <c r="J533" s="23">
        <v>0</v>
      </c>
      <c r="K533" s="23">
        <v>0</v>
      </c>
    </row>
    <row r="534" spans="5:11">
      <c r="E534" s="62">
        <v>523</v>
      </c>
      <c r="F534" s="43">
        <v>0.77579390438850737</v>
      </c>
      <c r="G534" s="61">
        <v>25.386838120163755</v>
      </c>
      <c r="H534" s="23">
        <v>-28580.704712968371</v>
      </c>
      <c r="I534" s="23">
        <v>-28580.704712968371</v>
      </c>
      <c r="J534" s="23">
        <v>0</v>
      </c>
      <c r="K534" s="23">
        <v>0</v>
      </c>
    </row>
    <row r="535" spans="5:11">
      <c r="E535" s="62">
        <v>524</v>
      </c>
      <c r="F535" s="43">
        <v>7.4106292331574397E-2</v>
      </c>
      <c r="G535" s="61">
        <v>7.7661487902586641</v>
      </c>
      <c r="H535" s="23">
        <v>-28580.704712968371</v>
      </c>
      <c r="I535" s="23">
        <v>-28580.704712968371</v>
      </c>
      <c r="J535" s="23">
        <v>0</v>
      </c>
      <c r="K535" s="23">
        <v>0</v>
      </c>
    </row>
    <row r="536" spans="5:11">
      <c r="E536" s="62">
        <v>525</v>
      </c>
      <c r="F536" s="43">
        <v>0.9258937076684256</v>
      </c>
      <c r="G536" s="61">
        <v>7.6995837459613714</v>
      </c>
      <c r="H536" s="23">
        <v>-28580.704712968371</v>
      </c>
      <c r="I536" s="23">
        <v>-28580.704712968371</v>
      </c>
      <c r="J536" s="23">
        <v>0</v>
      </c>
      <c r="K536" s="23">
        <v>0</v>
      </c>
    </row>
    <row r="537" spans="5:11">
      <c r="E537" s="62">
        <v>526</v>
      </c>
      <c r="F537" s="43">
        <v>0.61401433672095918</v>
      </c>
      <c r="G537" s="61">
        <v>135.70803746142178</v>
      </c>
      <c r="H537" s="23">
        <v>-28580.704712968371</v>
      </c>
      <c r="I537" s="23">
        <v>-28580.704712968371</v>
      </c>
      <c r="J537" s="23">
        <v>0</v>
      </c>
      <c r="K537" s="23">
        <v>0</v>
      </c>
    </row>
    <row r="538" spans="5:11">
      <c r="E538" s="62">
        <v>527</v>
      </c>
      <c r="F538" s="43">
        <v>0.38598566327904082</v>
      </c>
      <c r="G538" s="61">
        <v>95.195505197122159</v>
      </c>
      <c r="H538" s="23">
        <v>-28580.704712968371</v>
      </c>
      <c r="I538" s="23">
        <v>-28580.704712968371</v>
      </c>
      <c r="J538" s="23">
        <v>0</v>
      </c>
      <c r="K538" s="23">
        <v>0</v>
      </c>
    </row>
    <row r="539" spans="5:11">
      <c r="E539" s="62">
        <v>528</v>
      </c>
      <c r="F539" s="43">
        <v>0.32419899883043424</v>
      </c>
      <c r="G539" s="61">
        <v>181.43369032054045</v>
      </c>
      <c r="H539" s="23">
        <v>-28580.704712968371</v>
      </c>
      <c r="I539" s="23">
        <v>-28580.704712968371</v>
      </c>
      <c r="J539" s="23">
        <v>0</v>
      </c>
      <c r="K539" s="23">
        <v>0</v>
      </c>
    </row>
    <row r="540" spans="5:11">
      <c r="E540" s="62">
        <v>529</v>
      </c>
      <c r="F540" s="43">
        <v>0.67580100116956576</v>
      </c>
      <c r="G540" s="61">
        <v>39.185662324467586</v>
      </c>
      <c r="H540" s="23">
        <v>-28580.704712968371</v>
      </c>
      <c r="I540" s="23">
        <v>-28580.704712968371</v>
      </c>
      <c r="J540" s="23">
        <v>0</v>
      </c>
      <c r="K540" s="23">
        <v>0</v>
      </c>
    </row>
    <row r="541" spans="5:11">
      <c r="E541" s="62">
        <v>530</v>
      </c>
      <c r="F541" s="43">
        <v>0.61671498849292528</v>
      </c>
      <c r="G541" s="61">
        <v>9.95965931495404</v>
      </c>
      <c r="H541" s="23">
        <v>-28580.704712968371</v>
      </c>
      <c r="I541" s="23">
        <v>-28580.704712968371</v>
      </c>
      <c r="J541" s="23">
        <v>0</v>
      </c>
      <c r="K541" s="23">
        <v>0</v>
      </c>
    </row>
    <row r="542" spans="5:11">
      <c r="E542" s="62">
        <v>531</v>
      </c>
      <c r="F542" s="43">
        <v>0.38328501150707472</v>
      </c>
      <c r="G542" s="61">
        <v>95.897641117686049</v>
      </c>
      <c r="H542" s="23">
        <v>-28580.704712968371</v>
      </c>
      <c r="I542" s="23">
        <v>-28580.704712968371</v>
      </c>
      <c r="J542" s="23">
        <v>0</v>
      </c>
      <c r="K542" s="23">
        <v>0</v>
      </c>
    </row>
    <row r="543" spans="5:11">
      <c r="E543" s="62">
        <v>532</v>
      </c>
      <c r="F543" s="43">
        <v>0.3515505707269726</v>
      </c>
      <c r="G543" s="61">
        <v>60.108766924505282</v>
      </c>
      <c r="H543" s="23">
        <v>-28580.704712968371</v>
      </c>
      <c r="I543" s="23">
        <v>-28580.704712968371</v>
      </c>
      <c r="J543" s="23">
        <v>0</v>
      </c>
      <c r="K543" s="23">
        <v>0</v>
      </c>
    </row>
    <row r="544" spans="5:11">
      <c r="E544" s="62">
        <v>533</v>
      </c>
      <c r="F544" s="43">
        <v>0.6484494292730274</v>
      </c>
      <c r="G544" s="61">
        <v>43.317125934106627</v>
      </c>
      <c r="H544" s="23">
        <v>-28580.704712968371</v>
      </c>
      <c r="I544" s="23">
        <v>-28580.704712968371</v>
      </c>
      <c r="J544" s="23">
        <v>0</v>
      </c>
      <c r="K544" s="23">
        <v>0</v>
      </c>
    </row>
    <row r="545" spans="5:11">
      <c r="E545" s="62">
        <v>534</v>
      </c>
      <c r="F545" s="43">
        <v>0.88728751983301102</v>
      </c>
      <c r="G545" s="61">
        <v>102.90981627437236</v>
      </c>
      <c r="H545" s="23">
        <v>-28580.704712968371</v>
      </c>
      <c r="I545" s="23">
        <v>-28580.704712968371</v>
      </c>
      <c r="J545" s="23">
        <v>0</v>
      </c>
      <c r="K545" s="23">
        <v>0</v>
      </c>
    </row>
    <row r="546" spans="5:11">
      <c r="E546" s="62">
        <v>535</v>
      </c>
      <c r="F546" s="43">
        <v>0.11271248016698898</v>
      </c>
      <c r="G546" s="61">
        <v>218.29151261171876</v>
      </c>
      <c r="H546" s="23">
        <v>-28580.704712968371</v>
      </c>
      <c r="I546" s="23">
        <v>-28580.704712968371</v>
      </c>
      <c r="J546" s="23">
        <v>0</v>
      </c>
      <c r="K546" s="23">
        <v>0</v>
      </c>
    </row>
    <row r="547" spans="5:11">
      <c r="E547" s="62">
        <v>536</v>
      </c>
      <c r="F547" s="43">
        <v>0.99354948992341019</v>
      </c>
      <c r="G547" s="61">
        <v>219.04743787197381</v>
      </c>
      <c r="H547" s="23">
        <v>-28580.704712968371</v>
      </c>
      <c r="I547" s="23">
        <v>-28580.704712968371</v>
      </c>
      <c r="J547" s="23">
        <v>0</v>
      </c>
      <c r="K547" s="23">
        <v>0</v>
      </c>
    </row>
    <row r="548" spans="5:11">
      <c r="E548" s="62">
        <v>537</v>
      </c>
      <c r="F548" s="43">
        <v>6.4505100765898105E-3</v>
      </c>
      <c r="G548" s="61">
        <v>504.35960696594134</v>
      </c>
      <c r="H548" s="23">
        <v>-28580.704712968371</v>
      </c>
      <c r="I548" s="23">
        <v>-28580.704712968371</v>
      </c>
      <c r="J548" s="23">
        <v>0</v>
      </c>
      <c r="K548" s="23">
        <v>0</v>
      </c>
    </row>
    <row r="549" spans="5:11">
      <c r="E549" s="62">
        <v>538</v>
      </c>
      <c r="F549" s="43">
        <v>0.78235606567177318</v>
      </c>
      <c r="G549" s="61">
        <v>15.857654433932804</v>
      </c>
      <c r="H549" s="23">
        <v>-28580.704712968371</v>
      </c>
      <c r="I549" s="23">
        <v>-28580.704712968371</v>
      </c>
      <c r="J549" s="23">
        <v>0</v>
      </c>
      <c r="K549" s="23">
        <v>0</v>
      </c>
    </row>
    <row r="550" spans="5:11">
      <c r="E550" s="62">
        <v>539</v>
      </c>
      <c r="F550" s="43">
        <v>0.21764393432822682</v>
      </c>
      <c r="G550" s="61">
        <v>152.48948802983108</v>
      </c>
      <c r="H550" s="23">
        <v>-28580.704712968371</v>
      </c>
      <c r="I550" s="23">
        <v>-28580.704712968371</v>
      </c>
      <c r="J550" s="23">
        <v>0</v>
      </c>
      <c r="K550" s="23">
        <v>0</v>
      </c>
    </row>
    <row r="551" spans="5:11">
      <c r="E551" s="62">
        <v>540</v>
      </c>
      <c r="F551" s="43">
        <v>0.31555046808069109</v>
      </c>
      <c r="G551" s="61">
        <v>42.159686458371887</v>
      </c>
      <c r="H551" s="23">
        <v>-28580.704712968371</v>
      </c>
      <c r="I551" s="23">
        <v>-28580.704712968371</v>
      </c>
      <c r="J551" s="23">
        <v>0</v>
      </c>
      <c r="K551" s="23">
        <v>0</v>
      </c>
    </row>
    <row r="552" spans="5:11">
      <c r="E552" s="62">
        <v>541</v>
      </c>
      <c r="F552" s="43">
        <v>0.68444953191930891</v>
      </c>
      <c r="G552" s="61">
        <v>37.914036681942534</v>
      </c>
      <c r="H552" s="23">
        <v>-28580.704712968371</v>
      </c>
      <c r="I552" s="23">
        <v>-28580.704712968371</v>
      </c>
      <c r="J552" s="23">
        <v>0</v>
      </c>
      <c r="K552" s="23">
        <v>0</v>
      </c>
    </row>
    <row r="553" spans="5:11">
      <c r="E553" s="62">
        <v>542</v>
      </c>
      <c r="F553" s="43">
        <v>0.27821701705660296</v>
      </c>
      <c r="G553" s="61">
        <v>144.91594658610097</v>
      </c>
      <c r="H553" s="23">
        <v>-28580.704712968371</v>
      </c>
      <c r="I553" s="23">
        <v>-28580.704712968371</v>
      </c>
      <c r="J553" s="23">
        <v>0</v>
      </c>
      <c r="K553" s="23">
        <v>0</v>
      </c>
    </row>
    <row r="554" spans="5:11">
      <c r="E554" s="62">
        <v>543</v>
      </c>
      <c r="F554" s="43">
        <v>0.72178298294339704</v>
      </c>
      <c r="G554" s="61">
        <v>32.603076291254837</v>
      </c>
      <c r="H554" s="23">
        <v>-28580.704712968371</v>
      </c>
      <c r="I554" s="23">
        <v>-28580.704712968371</v>
      </c>
      <c r="J554" s="23">
        <v>0</v>
      </c>
      <c r="K554" s="23">
        <v>0</v>
      </c>
    </row>
    <row r="555" spans="5:11">
      <c r="E555" s="62">
        <v>544</v>
      </c>
      <c r="F555" s="43">
        <v>0.80240243682577372</v>
      </c>
      <c r="G555" s="61">
        <v>17.703888321018844</v>
      </c>
      <c r="H555" s="23">
        <v>-28580.704712968371</v>
      </c>
      <c r="I555" s="23">
        <v>-28580.704712968371</v>
      </c>
      <c r="J555" s="23">
        <v>0</v>
      </c>
      <c r="K555" s="23">
        <v>0</v>
      </c>
    </row>
    <row r="556" spans="5:11">
      <c r="E556" s="62">
        <v>545</v>
      </c>
      <c r="F556" s="43">
        <v>0.19759756317422628</v>
      </c>
      <c r="G556" s="61">
        <v>162.15228258586501</v>
      </c>
      <c r="H556" s="23">
        <v>-28580.704712968371</v>
      </c>
      <c r="I556" s="23">
        <v>-28580.704712968371</v>
      </c>
      <c r="J556" s="23">
        <v>0</v>
      </c>
      <c r="K556" s="23">
        <v>0</v>
      </c>
    </row>
    <row r="557" spans="5:11">
      <c r="E557" s="62">
        <v>546</v>
      </c>
      <c r="F557" s="43">
        <v>0.41288790992500468</v>
      </c>
      <c r="G557" s="61">
        <v>67.947592835680354</v>
      </c>
      <c r="H557" s="23">
        <v>-28580.704712968371</v>
      </c>
      <c r="I557" s="23">
        <v>-28580.704712968371</v>
      </c>
      <c r="J557" s="23">
        <v>0</v>
      </c>
      <c r="K557" s="23">
        <v>0</v>
      </c>
    </row>
    <row r="558" spans="5:11">
      <c r="E558" s="62">
        <v>547</v>
      </c>
      <c r="F558" s="43">
        <v>0.58711209007499532</v>
      </c>
      <c r="G558" s="61">
        <v>53.253952325229257</v>
      </c>
      <c r="H558" s="23">
        <v>-28580.704712968371</v>
      </c>
      <c r="I558" s="23">
        <v>-28580.704712968371</v>
      </c>
      <c r="J558" s="23">
        <v>0</v>
      </c>
      <c r="K558" s="23">
        <v>0</v>
      </c>
    </row>
    <row r="559" spans="5:11">
      <c r="E559" s="62">
        <v>548</v>
      </c>
      <c r="F559" s="43">
        <v>0.13991398976539426</v>
      </c>
      <c r="G559" s="61">
        <v>186.25448237794669</v>
      </c>
      <c r="H559" s="23">
        <v>-28580.704712968371</v>
      </c>
      <c r="I559" s="23">
        <v>-28580.704712968371</v>
      </c>
      <c r="J559" s="23">
        <v>0</v>
      </c>
      <c r="K559" s="23">
        <v>0</v>
      </c>
    </row>
    <row r="560" spans="5:11">
      <c r="E560" s="62">
        <v>549</v>
      </c>
      <c r="F560" s="43">
        <v>0.86008601023460574</v>
      </c>
      <c r="G560" s="61">
        <v>15.072288283473601</v>
      </c>
      <c r="H560" s="23">
        <v>-28580.704712968371</v>
      </c>
      <c r="I560" s="23">
        <v>-28580.704712968371</v>
      </c>
      <c r="J560" s="23">
        <v>0</v>
      </c>
      <c r="K560" s="23">
        <v>0</v>
      </c>
    </row>
    <row r="561" spans="5:11">
      <c r="E561" s="62">
        <v>550</v>
      </c>
      <c r="F561" s="43">
        <v>0.70241200494939271</v>
      </c>
      <c r="G561" s="61">
        <v>106.0923223789856</v>
      </c>
      <c r="H561" s="23">
        <v>-28580.704712968371</v>
      </c>
      <c r="I561" s="23">
        <v>-28580.704712968371</v>
      </c>
      <c r="J561" s="23">
        <v>0</v>
      </c>
      <c r="K561" s="23">
        <v>0</v>
      </c>
    </row>
    <row r="562" spans="5:11">
      <c r="E562" s="62">
        <v>551</v>
      </c>
      <c r="F562" s="43">
        <v>0.29758799505060729</v>
      </c>
      <c r="G562" s="61">
        <v>121.20453160485171</v>
      </c>
      <c r="H562" s="23">
        <v>-28580.704712968371</v>
      </c>
      <c r="I562" s="23">
        <v>-28580.704712968371</v>
      </c>
      <c r="J562" s="23">
        <v>0</v>
      </c>
      <c r="K562" s="23">
        <v>0</v>
      </c>
    </row>
    <row r="563" spans="5:11">
      <c r="E563" s="62">
        <v>552</v>
      </c>
      <c r="F563" s="43">
        <v>0.53328903674949701</v>
      </c>
      <c r="G563" s="61">
        <v>197.35931829349644</v>
      </c>
      <c r="H563" s="23">
        <v>-28580.704712968371</v>
      </c>
      <c r="I563" s="23">
        <v>-28580.704712968371</v>
      </c>
      <c r="J563" s="23">
        <v>0</v>
      </c>
      <c r="K563" s="23">
        <v>0</v>
      </c>
    </row>
    <row r="564" spans="5:11">
      <c r="E564" s="62">
        <v>553</v>
      </c>
      <c r="F564" s="43">
        <v>0.46671096325050299</v>
      </c>
      <c r="G564" s="61">
        <v>76.204513530055578</v>
      </c>
      <c r="H564" s="23">
        <v>-28580.704712968371</v>
      </c>
      <c r="I564" s="23">
        <v>-28580.704712968371</v>
      </c>
      <c r="J564" s="23">
        <v>0</v>
      </c>
      <c r="K564" s="23">
        <v>0</v>
      </c>
    </row>
    <row r="565" spans="5:11">
      <c r="E565" s="62">
        <v>554</v>
      </c>
      <c r="F565" s="43">
        <v>0.50176689596953539</v>
      </c>
      <c r="G565" s="61">
        <v>5.459705905323367</v>
      </c>
      <c r="H565" s="23">
        <v>-28580.704712968371</v>
      </c>
      <c r="I565" s="23">
        <v>-28580.704712968371</v>
      </c>
      <c r="J565" s="23">
        <v>0</v>
      </c>
      <c r="K565" s="23">
        <v>0</v>
      </c>
    </row>
    <row r="566" spans="5:11">
      <c r="E566" s="62">
        <v>555</v>
      </c>
      <c r="F566" s="43">
        <v>0.49823310403046461</v>
      </c>
      <c r="G566" s="61">
        <v>69.668723109047392</v>
      </c>
      <c r="H566" s="23">
        <v>-28580.704712968371</v>
      </c>
      <c r="I566" s="23">
        <v>-28580.704712968371</v>
      </c>
      <c r="J566" s="23">
        <v>0</v>
      </c>
      <c r="K566" s="23">
        <v>0</v>
      </c>
    </row>
    <row r="567" spans="5:11">
      <c r="E567" s="62">
        <v>556</v>
      </c>
      <c r="F567" s="43">
        <v>0.88443268311216372</v>
      </c>
      <c r="G567" s="61">
        <v>22.892834381391243</v>
      </c>
      <c r="H567" s="23">
        <v>-28580.704712968371</v>
      </c>
      <c r="I567" s="23">
        <v>-28580.704712968371</v>
      </c>
      <c r="J567" s="23">
        <v>0</v>
      </c>
      <c r="K567" s="23">
        <v>0</v>
      </c>
    </row>
    <row r="568" spans="5:11">
      <c r="E568" s="62">
        <v>557</v>
      </c>
      <c r="F568" s="43">
        <v>0.11556731688783628</v>
      </c>
      <c r="G568" s="61">
        <v>215.79020886021266</v>
      </c>
      <c r="H568" s="23">
        <v>-28580.704712968371</v>
      </c>
      <c r="I568" s="23">
        <v>-28580.704712968371</v>
      </c>
      <c r="J568" s="23">
        <v>0</v>
      </c>
      <c r="K568" s="23">
        <v>0</v>
      </c>
    </row>
    <row r="569" spans="5:11">
      <c r="E569" s="62">
        <v>558</v>
      </c>
      <c r="F569" s="43">
        <v>0.49679863646371225</v>
      </c>
      <c r="G569" s="61">
        <v>178.86636305173704</v>
      </c>
      <c r="H569" s="23">
        <v>-28580.704712968371</v>
      </c>
      <c r="I569" s="23">
        <v>-28580.704712968371</v>
      </c>
      <c r="J569" s="23">
        <v>0</v>
      </c>
      <c r="K569" s="23">
        <v>0</v>
      </c>
    </row>
    <row r="570" spans="5:11">
      <c r="E570" s="62">
        <v>559</v>
      </c>
      <c r="F570" s="43">
        <v>0.50320136353628775</v>
      </c>
      <c r="G570" s="61">
        <v>68.676486386927607</v>
      </c>
      <c r="H570" s="23">
        <v>-28580.704712968371</v>
      </c>
      <c r="I570" s="23">
        <v>-28580.704712968371</v>
      </c>
      <c r="J570" s="23">
        <v>0</v>
      </c>
      <c r="K570" s="23">
        <v>0</v>
      </c>
    </row>
    <row r="571" spans="5:11">
      <c r="E571" s="62">
        <v>560</v>
      </c>
      <c r="F571" s="43">
        <v>0.55581555035111352</v>
      </c>
      <c r="G571" s="61">
        <v>31.179817904409784</v>
      </c>
      <c r="H571" s="23">
        <v>-28580.704712968371</v>
      </c>
      <c r="I571" s="23">
        <v>-28580.704712968371</v>
      </c>
      <c r="J571" s="23">
        <v>0</v>
      </c>
      <c r="K571" s="23">
        <v>0</v>
      </c>
    </row>
    <row r="572" spans="5:11">
      <c r="E572" s="62">
        <v>561</v>
      </c>
      <c r="F572" s="43">
        <v>0.44418444964888648</v>
      </c>
      <c r="G572" s="61">
        <v>81.151537567874314</v>
      </c>
      <c r="H572" s="23">
        <v>-28580.704712968371</v>
      </c>
      <c r="I572" s="23">
        <v>-28580.704712968371</v>
      </c>
      <c r="J572" s="23">
        <v>0</v>
      </c>
      <c r="K572" s="23">
        <v>0</v>
      </c>
    </row>
    <row r="573" spans="5:11">
      <c r="E573" s="62">
        <v>562</v>
      </c>
      <c r="F573" s="43">
        <v>0.82833022615525553</v>
      </c>
      <c r="G573" s="61">
        <v>6.995034080008816</v>
      </c>
      <c r="H573" s="23">
        <v>-28580.704712968371</v>
      </c>
      <c r="I573" s="23">
        <v>-28580.704712968371</v>
      </c>
      <c r="J573" s="23">
        <v>0</v>
      </c>
      <c r="K573" s="23">
        <v>0</v>
      </c>
    </row>
    <row r="574" spans="5:11">
      <c r="E574" s="62">
        <v>563</v>
      </c>
      <c r="F574" s="43">
        <v>0.17166977384474447</v>
      </c>
      <c r="G574" s="61">
        <v>176.21825670838422</v>
      </c>
      <c r="H574" s="23">
        <v>-28580.704712968371</v>
      </c>
      <c r="I574" s="23">
        <v>-28580.704712968371</v>
      </c>
      <c r="J574" s="23">
        <v>0</v>
      </c>
      <c r="K574" s="23">
        <v>0</v>
      </c>
    </row>
    <row r="575" spans="5:11">
      <c r="E575" s="62">
        <v>564</v>
      </c>
      <c r="F575" s="43">
        <v>0.42595769811286055</v>
      </c>
      <c r="G575" s="61">
        <v>108.41773317642229</v>
      </c>
      <c r="H575" s="23">
        <v>-28580.704712968371</v>
      </c>
      <c r="I575" s="23">
        <v>-28580.704712968371</v>
      </c>
      <c r="J575" s="23">
        <v>0</v>
      </c>
      <c r="K575" s="23">
        <v>0</v>
      </c>
    </row>
    <row r="576" spans="5:11">
      <c r="E576" s="62">
        <v>565</v>
      </c>
      <c r="F576" s="43">
        <v>0.57404230188713945</v>
      </c>
      <c r="G576" s="61">
        <v>55.50521887105463</v>
      </c>
      <c r="H576" s="23">
        <v>-28580.704712968371</v>
      </c>
      <c r="I576" s="23">
        <v>-28580.704712968371</v>
      </c>
      <c r="J576" s="23">
        <v>0</v>
      </c>
      <c r="K576" s="23">
        <v>0</v>
      </c>
    </row>
    <row r="577" spans="5:11">
      <c r="E577" s="62">
        <v>566</v>
      </c>
      <c r="F577" s="43">
        <v>0.48555083277974909</v>
      </c>
      <c r="G577" s="61">
        <v>43.858770212184787</v>
      </c>
      <c r="H577" s="23">
        <v>-28580.704712968371</v>
      </c>
      <c r="I577" s="23">
        <v>-28580.704712968371</v>
      </c>
      <c r="J577" s="23">
        <v>0</v>
      </c>
      <c r="K577" s="23">
        <v>0</v>
      </c>
    </row>
    <row r="578" spans="5:11">
      <c r="E578" s="62">
        <v>567</v>
      </c>
      <c r="F578" s="43">
        <v>0.51444916722025091</v>
      </c>
      <c r="G578" s="61">
        <v>66.465852893847526</v>
      </c>
      <c r="H578" s="23">
        <v>-28580.704712968371</v>
      </c>
      <c r="I578" s="23">
        <v>-28580.704712968371</v>
      </c>
      <c r="J578" s="23">
        <v>0</v>
      </c>
      <c r="K578" s="23">
        <v>0</v>
      </c>
    </row>
    <row r="579" spans="5:11">
      <c r="E579" s="62">
        <v>568</v>
      </c>
      <c r="F579" s="43">
        <v>0.95975845903006607</v>
      </c>
      <c r="G579" s="61">
        <v>42.163667163288778</v>
      </c>
      <c r="H579" s="23">
        <v>-28580.704712968371</v>
      </c>
      <c r="I579" s="23">
        <v>-28580.704712968371</v>
      </c>
      <c r="J579" s="23">
        <v>0</v>
      </c>
      <c r="K579" s="23">
        <v>0</v>
      </c>
    </row>
    <row r="580" spans="5:11">
      <c r="E580" s="62">
        <v>569</v>
      </c>
      <c r="F580" s="43">
        <v>4.0241540969933931E-2</v>
      </c>
      <c r="G580" s="61">
        <v>321.28554594424088</v>
      </c>
      <c r="H580" s="23">
        <v>-28580.704712968371</v>
      </c>
      <c r="I580" s="23">
        <v>-28580.704712968371</v>
      </c>
      <c r="J580" s="23">
        <v>0</v>
      </c>
      <c r="K580" s="23">
        <v>0</v>
      </c>
    </row>
    <row r="581" spans="5:11">
      <c r="E581" s="62">
        <v>570</v>
      </c>
      <c r="F581" s="43">
        <v>0.34928363595101963</v>
      </c>
      <c r="G581" s="61">
        <v>61.194139648959485</v>
      </c>
      <c r="H581" s="23">
        <v>-28580.704712968371</v>
      </c>
      <c r="I581" s="23">
        <v>-28580.704712968371</v>
      </c>
      <c r="J581" s="23">
        <v>0</v>
      </c>
      <c r="K581" s="23">
        <v>0</v>
      </c>
    </row>
    <row r="582" spans="5:11">
      <c r="E582" s="62">
        <v>571</v>
      </c>
      <c r="F582" s="43">
        <v>0.65071636404898037</v>
      </c>
      <c r="G582" s="61">
        <v>42.968142442031166</v>
      </c>
      <c r="H582" s="23">
        <v>-28580.704712968371</v>
      </c>
      <c r="I582" s="23">
        <v>-28580.704712968371</v>
      </c>
      <c r="J582" s="23">
        <v>0</v>
      </c>
      <c r="K582" s="23">
        <v>0</v>
      </c>
    </row>
    <row r="583" spans="5:11">
      <c r="E583" s="62">
        <v>572</v>
      </c>
      <c r="F583" s="43">
        <v>0.44419127135027658</v>
      </c>
      <c r="G583" s="61">
        <v>19.133044126465197</v>
      </c>
      <c r="H583" s="23">
        <v>-28580.704712968371</v>
      </c>
      <c r="I583" s="23">
        <v>-28580.704712968371</v>
      </c>
      <c r="J583" s="23">
        <v>0</v>
      </c>
      <c r="K583" s="23">
        <v>0</v>
      </c>
    </row>
    <row r="584" spans="5:11">
      <c r="E584" s="62">
        <v>573</v>
      </c>
      <c r="F584" s="43">
        <v>0.55580872864972342</v>
      </c>
      <c r="G584" s="61">
        <v>58.733105713759855</v>
      </c>
      <c r="H584" s="23">
        <v>-28580.704712968371</v>
      </c>
      <c r="I584" s="23">
        <v>-28580.704712968371</v>
      </c>
      <c r="J584" s="23">
        <v>0</v>
      </c>
      <c r="K584" s="23">
        <v>0</v>
      </c>
    </row>
    <row r="585" spans="5:11">
      <c r="E585" s="62">
        <v>574</v>
      </c>
      <c r="F585" s="43">
        <v>0.53514918694750058</v>
      </c>
      <c r="G585" s="61">
        <v>61.687210999484599</v>
      </c>
      <c r="H585" s="23">
        <v>-28580.704712968371</v>
      </c>
      <c r="I585" s="23">
        <v>-28580.704712968371</v>
      </c>
      <c r="J585" s="23">
        <v>0</v>
      </c>
      <c r="K585" s="23">
        <v>0</v>
      </c>
    </row>
    <row r="586" spans="5:11">
      <c r="E586" s="62">
        <v>575</v>
      </c>
      <c r="F586" s="43">
        <v>0.46485081305249942</v>
      </c>
      <c r="G586" s="61">
        <v>76.603875701758668</v>
      </c>
      <c r="H586" s="23">
        <v>-28580.704712968371</v>
      </c>
      <c r="I586" s="23">
        <v>-28580.704712968371</v>
      </c>
      <c r="J586" s="23">
        <v>0</v>
      </c>
      <c r="K586" s="23">
        <v>0</v>
      </c>
    </row>
    <row r="587" spans="5:11">
      <c r="E587" s="62">
        <v>576</v>
      </c>
      <c r="F587" s="43">
        <v>0.69021272981208315</v>
      </c>
      <c r="G587" s="61">
        <v>30.790983718812925</v>
      </c>
      <c r="H587" s="23">
        <v>-28580.704712968371</v>
      </c>
      <c r="I587" s="23">
        <v>-28580.704712968371</v>
      </c>
      <c r="J587" s="23">
        <v>0</v>
      </c>
      <c r="K587" s="23">
        <v>0</v>
      </c>
    </row>
    <row r="588" spans="5:11">
      <c r="E588" s="62">
        <v>577</v>
      </c>
      <c r="F588" s="43">
        <v>0.30978727018791685</v>
      </c>
      <c r="G588" s="61">
        <v>117.18694422634972</v>
      </c>
      <c r="H588" s="23">
        <v>-28580.704712968371</v>
      </c>
      <c r="I588" s="23">
        <v>-28580.704712968371</v>
      </c>
      <c r="J588" s="23">
        <v>0</v>
      </c>
      <c r="K588" s="23">
        <v>0</v>
      </c>
    </row>
    <row r="589" spans="5:11">
      <c r="E589" s="62">
        <v>578</v>
      </c>
      <c r="F589" s="43">
        <v>0.74381197402268195</v>
      </c>
      <c r="G589" s="61">
        <v>251.45272387051057</v>
      </c>
      <c r="H589" s="23">
        <v>-28580.704712968371</v>
      </c>
      <c r="I589" s="23">
        <v>-28580.704712968371</v>
      </c>
      <c r="J589" s="23">
        <v>0</v>
      </c>
      <c r="K589" s="23">
        <v>0</v>
      </c>
    </row>
    <row r="590" spans="5:11">
      <c r="E590" s="62">
        <v>579</v>
      </c>
      <c r="F590" s="43">
        <v>0.25618802597731805</v>
      </c>
      <c r="G590" s="61">
        <v>136.18436276245217</v>
      </c>
      <c r="H590" s="23">
        <v>-28580.704712968371</v>
      </c>
      <c r="I590" s="23">
        <v>-28580.704712968371</v>
      </c>
      <c r="J590" s="23">
        <v>0</v>
      </c>
      <c r="K590" s="23">
        <v>0</v>
      </c>
    </row>
    <row r="591" spans="5:11">
      <c r="E591" s="62">
        <v>580</v>
      </c>
      <c r="F591" s="43">
        <v>1.9729978572227691E-2</v>
      </c>
      <c r="G591" s="61">
        <v>29.295255046171313</v>
      </c>
      <c r="H591" s="23">
        <v>-28580.704712968371</v>
      </c>
      <c r="I591" s="23">
        <v>-28580.704712968371</v>
      </c>
      <c r="J591" s="23">
        <v>0</v>
      </c>
      <c r="K591" s="23">
        <v>0</v>
      </c>
    </row>
    <row r="592" spans="5:11">
      <c r="E592" s="62">
        <v>581</v>
      </c>
      <c r="F592" s="43">
        <v>0.98027002142777231</v>
      </c>
      <c r="G592" s="61">
        <v>1.9927213200353431</v>
      </c>
      <c r="H592" s="23">
        <v>567060.48828038177</v>
      </c>
      <c r="I592" s="23">
        <v>-10306.95079160545</v>
      </c>
      <c r="J592" s="23">
        <v>-722.61256454566615</v>
      </c>
      <c r="K592" s="23">
        <v>578090.05163653288</v>
      </c>
    </row>
    <row r="593" spans="5:11">
      <c r="E593" s="62">
        <v>582</v>
      </c>
      <c r="F593" s="43">
        <v>0.15608079713401257</v>
      </c>
      <c r="G593" s="61">
        <v>38.453251139158894</v>
      </c>
      <c r="H593" s="23">
        <v>-28580.704712968371</v>
      </c>
      <c r="I593" s="23">
        <v>-28580.704712968371</v>
      </c>
      <c r="J593" s="23">
        <v>0</v>
      </c>
      <c r="K593" s="23">
        <v>0</v>
      </c>
    </row>
    <row r="594" spans="5:11">
      <c r="E594" s="62">
        <v>583</v>
      </c>
      <c r="F594" s="43">
        <v>0.84391920286598743</v>
      </c>
      <c r="G594" s="61">
        <v>16.969852017014055</v>
      </c>
      <c r="H594" s="23">
        <v>-28580.704712968371</v>
      </c>
      <c r="I594" s="23">
        <v>-28580.704712968371</v>
      </c>
      <c r="J594" s="23">
        <v>0</v>
      </c>
      <c r="K594" s="23">
        <v>0</v>
      </c>
    </row>
    <row r="595" spans="5:11">
      <c r="E595" s="62">
        <v>584</v>
      </c>
      <c r="F595" s="43">
        <v>1.8796505604495306E-2</v>
      </c>
      <c r="G595" s="61">
        <v>133.15587275411897</v>
      </c>
      <c r="H595" s="23">
        <v>-28580.704712968371</v>
      </c>
      <c r="I595" s="23">
        <v>-28580.704712968371</v>
      </c>
      <c r="J595" s="23">
        <v>0</v>
      </c>
      <c r="K595" s="23">
        <v>0</v>
      </c>
    </row>
    <row r="596" spans="5:11">
      <c r="E596" s="62">
        <v>585</v>
      </c>
      <c r="F596" s="43">
        <v>0.98120349439550469</v>
      </c>
      <c r="G596" s="61">
        <v>1.8975405255281077</v>
      </c>
      <c r="H596" s="23">
        <v>567060.48828038177</v>
      </c>
      <c r="I596" s="23">
        <v>-10306.95079160545</v>
      </c>
      <c r="J596" s="23">
        <v>-722.61256454566615</v>
      </c>
      <c r="K596" s="23">
        <v>578090.05163653288</v>
      </c>
    </row>
    <row r="597" spans="5:11">
      <c r="E597" s="62">
        <v>586</v>
      </c>
      <c r="F597" s="43">
        <v>0.91716691988249444</v>
      </c>
      <c r="G597" s="61">
        <v>382.19645237319634</v>
      </c>
      <c r="H597" s="23">
        <v>-28580.704712968371</v>
      </c>
      <c r="I597" s="23">
        <v>-28580.704712968371</v>
      </c>
      <c r="J597" s="23">
        <v>0</v>
      </c>
      <c r="K597" s="23">
        <v>0</v>
      </c>
    </row>
    <row r="598" spans="5:11">
      <c r="E598" s="62">
        <v>587</v>
      </c>
      <c r="F598" s="43">
        <v>8.2833080117505564E-2</v>
      </c>
      <c r="G598" s="61">
        <v>249.0927779049758</v>
      </c>
      <c r="H598" s="23">
        <v>-28580.704712968371</v>
      </c>
      <c r="I598" s="23">
        <v>-28580.704712968371</v>
      </c>
      <c r="J598" s="23">
        <v>0</v>
      </c>
      <c r="K598" s="23">
        <v>0</v>
      </c>
    </row>
    <row r="599" spans="5:11">
      <c r="E599" s="62">
        <v>588</v>
      </c>
      <c r="F599" s="43">
        <v>0.64163406279848456</v>
      </c>
      <c r="G599" s="61">
        <v>105.31063789608157</v>
      </c>
      <c r="H599" s="23">
        <v>-28580.704712968371</v>
      </c>
      <c r="I599" s="23">
        <v>-28580.704712968371</v>
      </c>
      <c r="J599" s="23">
        <v>0</v>
      </c>
      <c r="K599" s="23">
        <v>0</v>
      </c>
    </row>
    <row r="600" spans="5:11">
      <c r="E600" s="62">
        <v>589</v>
      </c>
      <c r="F600" s="43">
        <v>0.35836593720151544</v>
      </c>
      <c r="G600" s="61">
        <v>102.62006436884859</v>
      </c>
      <c r="H600" s="23">
        <v>-28580.704712968371</v>
      </c>
      <c r="I600" s="23">
        <v>-28580.704712968371</v>
      </c>
      <c r="J600" s="23">
        <v>0</v>
      </c>
      <c r="K600" s="23">
        <v>0</v>
      </c>
    </row>
    <row r="601" spans="5:11">
      <c r="E601" s="62">
        <v>590</v>
      </c>
      <c r="F601" s="43">
        <v>0.27411791731489354</v>
      </c>
      <c r="G601" s="61">
        <v>179.14298224376384</v>
      </c>
      <c r="H601" s="23">
        <v>-28580.704712968371</v>
      </c>
      <c r="I601" s="23">
        <v>-28580.704712968371</v>
      </c>
      <c r="J601" s="23">
        <v>0</v>
      </c>
      <c r="K601" s="23">
        <v>0</v>
      </c>
    </row>
    <row r="602" spans="5:11">
      <c r="E602" s="62">
        <v>591</v>
      </c>
      <c r="F602" s="43">
        <v>0.72588208268510646</v>
      </c>
      <c r="G602" s="61">
        <v>32.03676978929164</v>
      </c>
      <c r="H602" s="23">
        <v>-28580.704712968371</v>
      </c>
      <c r="I602" s="23">
        <v>-28580.704712968371</v>
      </c>
      <c r="J602" s="23">
        <v>0</v>
      </c>
      <c r="K602" s="23">
        <v>0</v>
      </c>
    </row>
    <row r="603" spans="5:11">
      <c r="E603" s="62">
        <v>592</v>
      </c>
      <c r="F603" s="43">
        <v>0.41166906800468617</v>
      </c>
      <c r="G603" s="61">
        <v>72.60214464487089</v>
      </c>
      <c r="H603" s="23">
        <v>-28580.704712968371</v>
      </c>
      <c r="I603" s="23">
        <v>-28580.704712968371</v>
      </c>
      <c r="J603" s="23">
        <v>0</v>
      </c>
      <c r="K603" s="23">
        <v>0</v>
      </c>
    </row>
    <row r="604" spans="5:11">
      <c r="E604" s="62">
        <v>593</v>
      </c>
      <c r="F604" s="43">
        <v>0.58833093199531383</v>
      </c>
      <c r="G604" s="61">
        <v>53.046567988554671</v>
      </c>
      <c r="H604" s="23">
        <v>-28580.704712968371</v>
      </c>
      <c r="I604" s="23">
        <v>-28580.704712968371</v>
      </c>
      <c r="J604" s="23">
        <v>0</v>
      </c>
      <c r="K604" s="23">
        <v>0</v>
      </c>
    </row>
    <row r="605" spans="5:11">
      <c r="E605" s="62">
        <v>594</v>
      </c>
      <c r="F605" s="43">
        <v>0.95703974734249675</v>
      </c>
      <c r="G605" s="61">
        <v>262.33591472616945</v>
      </c>
      <c r="H605" s="23">
        <v>-28580.704712968371</v>
      </c>
      <c r="I605" s="23">
        <v>-28580.704712968371</v>
      </c>
      <c r="J605" s="23">
        <v>0</v>
      </c>
      <c r="K605" s="23">
        <v>0</v>
      </c>
    </row>
    <row r="606" spans="5:11">
      <c r="E606" s="62">
        <v>595</v>
      </c>
      <c r="F606" s="43">
        <v>4.2960252657503251E-2</v>
      </c>
      <c r="G606" s="61">
        <v>314.74799475720238</v>
      </c>
      <c r="H606" s="23">
        <v>-28580.704712968371</v>
      </c>
      <c r="I606" s="23">
        <v>-28580.704712968371</v>
      </c>
      <c r="J606" s="23">
        <v>0</v>
      </c>
      <c r="K606" s="23">
        <v>0</v>
      </c>
    </row>
    <row r="607" spans="5:11">
      <c r="E607" s="62">
        <v>596</v>
      </c>
      <c r="F607" s="43">
        <v>0.46734970736362835</v>
      </c>
      <c r="G607" s="61">
        <v>21.382805544140876</v>
      </c>
      <c r="H607" s="23">
        <v>-28580.704712968371</v>
      </c>
      <c r="I607" s="23">
        <v>-28580.704712968371</v>
      </c>
      <c r="J607" s="23">
        <v>0</v>
      </c>
      <c r="K607" s="23">
        <v>0</v>
      </c>
    </row>
    <row r="608" spans="5:11">
      <c r="E608" s="62">
        <v>597</v>
      </c>
      <c r="F608" s="43">
        <v>0.53265029263637165</v>
      </c>
      <c r="G608" s="61">
        <v>62.989018152796952</v>
      </c>
      <c r="H608" s="23">
        <v>-28580.704712968371</v>
      </c>
      <c r="I608" s="23">
        <v>-28580.704712968371</v>
      </c>
      <c r="J608" s="23">
        <v>0</v>
      </c>
      <c r="K608" s="23">
        <v>0</v>
      </c>
    </row>
    <row r="609" spans="5:11">
      <c r="E609" s="62">
        <v>598</v>
      </c>
      <c r="F609" s="43">
        <v>0.66643662748790433</v>
      </c>
      <c r="G609" s="61">
        <v>48.936082045372039</v>
      </c>
      <c r="H609" s="23">
        <v>-28580.704712968371</v>
      </c>
      <c r="I609" s="23">
        <v>-28580.704712968371</v>
      </c>
      <c r="J609" s="23">
        <v>0</v>
      </c>
      <c r="K609" s="23">
        <v>0</v>
      </c>
    </row>
    <row r="610" spans="5:11">
      <c r="E610" s="62">
        <v>599</v>
      </c>
      <c r="F610" s="43">
        <v>0.33356337251209567</v>
      </c>
      <c r="G610" s="61">
        <v>109.79224091534275</v>
      </c>
      <c r="H610" s="23">
        <v>-28580.704712968371</v>
      </c>
      <c r="I610" s="23">
        <v>-28580.704712968371</v>
      </c>
      <c r="J610" s="23">
        <v>0</v>
      </c>
      <c r="K610" s="23">
        <v>0</v>
      </c>
    </row>
    <row r="611" spans="5:11">
      <c r="E611" s="62">
        <v>600</v>
      </c>
      <c r="F611" s="43">
        <v>0.41049603562278947</v>
      </c>
      <c r="G611" s="61">
        <v>284.08325695650507</v>
      </c>
      <c r="H611" s="23">
        <v>-28580.704712968371</v>
      </c>
      <c r="I611" s="23">
        <v>-28580.704712968371</v>
      </c>
      <c r="J611" s="23">
        <v>0</v>
      </c>
      <c r="K611" s="23">
        <v>0</v>
      </c>
    </row>
    <row r="612" spans="5:11">
      <c r="E612" s="62">
        <v>601</v>
      </c>
      <c r="F612" s="43">
        <v>0.58950396437721053</v>
      </c>
      <c r="G612" s="61">
        <v>52.847383404477853</v>
      </c>
      <c r="H612" s="23">
        <v>-28580.704712968371</v>
      </c>
      <c r="I612" s="23">
        <v>-28580.704712968371</v>
      </c>
      <c r="J612" s="23">
        <v>0</v>
      </c>
      <c r="K612" s="23">
        <v>0</v>
      </c>
    </row>
    <row r="613" spans="5:11">
      <c r="E613" s="62">
        <v>602</v>
      </c>
      <c r="F613" s="43">
        <v>0.37797812045247448</v>
      </c>
      <c r="G613" s="61">
        <v>15.502223526270233</v>
      </c>
      <c r="H613" s="23">
        <v>-28580.704712968371</v>
      </c>
      <c r="I613" s="23">
        <v>-28580.704712968371</v>
      </c>
      <c r="J613" s="23">
        <v>0</v>
      </c>
      <c r="K613" s="23">
        <v>0</v>
      </c>
    </row>
    <row r="614" spans="5:11">
      <c r="E614" s="62">
        <v>603</v>
      </c>
      <c r="F614" s="43">
        <v>0.62202187954752552</v>
      </c>
      <c r="G614" s="61">
        <v>47.478001074019922</v>
      </c>
      <c r="H614" s="23">
        <v>-28580.704712968371</v>
      </c>
      <c r="I614" s="23">
        <v>-28580.704712968371</v>
      </c>
      <c r="J614" s="23">
        <v>0</v>
      </c>
      <c r="K614" s="23">
        <v>0</v>
      </c>
    </row>
    <row r="615" spans="5:11">
      <c r="E615" s="62">
        <v>604</v>
      </c>
      <c r="F615" s="43">
        <v>0.55240160651536174</v>
      </c>
      <c r="G615" s="61">
        <v>11.1103586297227</v>
      </c>
      <c r="H615" s="23">
        <v>-28580.704712968371</v>
      </c>
      <c r="I615" s="23">
        <v>-28580.704712968371</v>
      </c>
      <c r="J615" s="23">
        <v>0</v>
      </c>
      <c r="K615" s="23">
        <v>0</v>
      </c>
    </row>
    <row r="616" spans="5:11">
      <c r="E616" s="62">
        <v>605</v>
      </c>
      <c r="F616" s="43">
        <v>0.44759839348463826</v>
      </c>
      <c r="G616" s="61">
        <v>80.385889172721932</v>
      </c>
      <c r="H616" s="23">
        <v>-28580.704712968371</v>
      </c>
      <c r="I616" s="23">
        <v>-28580.704712968371</v>
      </c>
      <c r="J616" s="23">
        <v>0</v>
      </c>
      <c r="K616" s="23">
        <v>0</v>
      </c>
    </row>
    <row r="617" spans="5:11">
      <c r="E617" s="62">
        <v>606</v>
      </c>
      <c r="F617" s="43">
        <v>0.63107512654108444</v>
      </c>
      <c r="G617" s="61">
        <v>179.70413186818186</v>
      </c>
      <c r="H617" s="23">
        <v>-28580.704712968371</v>
      </c>
      <c r="I617" s="23">
        <v>-28580.704712968371</v>
      </c>
      <c r="J617" s="23">
        <v>0</v>
      </c>
      <c r="K617" s="23">
        <v>0</v>
      </c>
    </row>
    <row r="618" spans="5:11">
      <c r="E618" s="62">
        <v>607</v>
      </c>
      <c r="F618" s="43">
        <v>0.36892487345891556</v>
      </c>
      <c r="G618" s="61">
        <v>99.716225063216612</v>
      </c>
      <c r="H618" s="23">
        <v>-28580.704712968371</v>
      </c>
      <c r="I618" s="23">
        <v>-28580.704712968371</v>
      </c>
      <c r="J618" s="23">
        <v>0</v>
      </c>
      <c r="K618" s="23">
        <v>0</v>
      </c>
    </row>
    <row r="619" spans="5:11">
      <c r="E619" s="62">
        <v>608</v>
      </c>
      <c r="F619" s="43">
        <v>0.84887825102900871</v>
      </c>
      <c r="G619" s="61">
        <v>43.360551294886534</v>
      </c>
      <c r="H619" s="23">
        <v>-28580.704712968371</v>
      </c>
      <c r="I619" s="23">
        <v>-28580.704712968371</v>
      </c>
      <c r="J619" s="23">
        <v>0</v>
      </c>
      <c r="K619" s="23">
        <v>0</v>
      </c>
    </row>
    <row r="620" spans="5:11">
      <c r="E620" s="62">
        <v>609</v>
      </c>
      <c r="F620" s="43">
        <v>0.15112174897099129</v>
      </c>
      <c r="G620" s="61">
        <v>188.96694824639053</v>
      </c>
      <c r="H620" s="23">
        <v>-28580.704712968371</v>
      </c>
      <c r="I620" s="23">
        <v>-28580.704712968371</v>
      </c>
      <c r="J620" s="23">
        <v>0</v>
      </c>
      <c r="K620" s="23">
        <v>0</v>
      </c>
    </row>
    <row r="621" spans="5:11">
      <c r="E621" s="62">
        <v>610</v>
      </c>
      <c r="F621" s="43">
        <v>0.33462798579219166</v>
      </c>
      <c r="G621" s="61">
        <v>21.394467816851886</v>
      </c>
      <c r="H621" s="23">
        <v>-28580.704712968371</v>
      </c>
      <c r="I621" s="23">
        <v>-28580.704712968371</v>
      </c>
      <c r="J621" s="23">
        <v>0</v>
      </c>
      <c r="K621" s="23">
        <v>0</v>
      </c>
    </row>
    <row r="622" spans="5:11">
      <c r="E622" s="62">
        <v>611</v>
      </c>
      <c r="F622" s="43">
        <v>0.66537201420780834</v>
      </c>
      <c r="G622" s="61">
        <v>40.740897488187514</v>
      </c>
      <c r="H622" s="23">
        <v>-28580.704712968371</v>
      </c>
      <c r="I622" s="23">
        <v>-28580.704712968371</v>
      </c>
      <c r="J622" s="23">
        <v>0</v>
      </c>
      <c r="K622" s="23">
        <v>0</v>
      </c>
    </row>
    <row r="623" spans="5:11">
      <c r="E623" s="62">
        <v>612</v>
      </c>
      <c r="F623" s="43">
        <v>0.21283981064000979</v>
      </c>
      <c r="G623" s="61">
        <v>199.91608064018942</v>
      </c>
      <c r="H623" s="23">
        <v>-28580.704712968371</v>
      </c>
      <c r="I623" s="23">
        <v>-28580.704712968371</v>
      </c>
      <c r="J623" s="23">
        <v>0</v>
      </c>
      <c r="K623" s="23">
        <v>0</v>
      </c>
    </row>
    <row r="624" spans="5:11">
      <c r="E624" s="62">
        <v>613</v>
      </c>
      <c r="F624" s="43">
        <v>0.78716018935999021</v>
      </c>
      <c r="G624" s="61">
        <v>23.932350698228536</v>
      </c>
      <c r="H624" s="23">
        <v>-28580.704712968371</v>
      </c>
      <c r="I624" s="23">
        <v>-28580.704712968371</v>
      </c>
      <c r="J624" s="23">
        <v>0</v>
      </c>
      <c r="K624" s="23">
        <v>0</v>
      </c>
    </row>
    <row r="625" spans="5:11">
      <c r="E625" s="62">
        <v>614</v>
      </c>
      <c r="F625" s="43">
        <v>0.8039033298720778</v>
      </c>
      <c r="G625" s="61">
        <v>27.674615837828124</v>
      </c>
      <c r="H625" s="23">
        <v>-28580.704712968371</v>
      </c>
      <c r="I625" s="23">
        <v>-28580.704712968371</v>
      </c>
      <c r="J625" s="23">
        <v>0</v>
      </c>
      <c r="K625" s="23">
        <v>0</v>
      </c>
    </row>
    <row r="626" spans="5:11">
      <c r="E626" s="62">
        <v>615</v>
      </c>
      <c r="F626" s="43">
        <v>0.1960966701279222</v>
      </c>
      <c r="G626" s="61">
        <v>162.91475264037504</v>
      </c>
      <c r="H626" s="23">
        <v>-28580.704712968371</v>
      </c>
      <c r="I626" s="23">
        <v>-28580.704712968371</v>
      </c>
      <c r="J626" s="23">
        <v>0</v>
      </c>
      <c r="K626" s="23">
        <v>0</v>
      </c>
    </row>
    <row r="627" spans="5:11">
      <c r="E627" s="62">
        <v>616</v>
      </c>
      <c r="F627" s="43">
        <v>8.0276311929695754E-2</v>
      </c>
      <c r="G627" s="61">
        <v>88.325332829769579</v>
      </c>
      <c r="H627" s="23">
        <v>-28580.704712968371</v>
      </c>
      <c r="I627" s="23">
        <v>-28580.704712968371</v>
      </c>
      <c r="J627" s="23">
        <v>0</v>
      </c>
      <c r="K627" s="23">
        <v>0</v>
      </c>
    </row>
    <row r="628" spans="5:11">
      <c r="E628" s="62">
        <v>617</v>
      </c>
      <c r="F628" s="43">
        <v>0.91972368807030425</v>
      </c>
      <c r="G628" s="61">
        <v>8.3681993103874444</v>
      </c>
      <c r="H628" s="23">
        <v>-28580.704712968371</v>
      </c>
      <c r="I628" s="23">
        <v>-28580.704712968371</v>
      </c>
      <c r="J628" s="23">
        <v>0</v>
      </c>
      <c r="K628" s="23">
        <v>0</v>
      </c>
    </row>
    <row r="629" spans="5:11">
      <c r="E629" s="62">
        <v>618</v>
      </c>
      <c r="F629" s="43">
        <v>0.73763623595450112</v>
      </c>
      <c r="G629" s="61">
        <v>171.40295913475771</v>
      </c>
      <c r="H629" s="23">
        <v>-28580.704712968371</v>
      </c>
      <c r="I629" s="23">
        <v>-28580.704712968371</v>
      </c>
      <c r="J629" s="23">
        <v>0</v>
      </c>
      <c r="K629" s="23">
        <v>0</v>
      </c>
    </row>
    <row r="630" spans="5:11">
      <c r="E630" s="62">
        <v>619</v>
      </c>
      <c r="F630" s="43">
        <v>0.26236376404549888</v>
      </c>
      <c r="G630" s="61">
        <v>133.8023325786904</v>
      </c>
      <c r="H630" s="23">
        <v>-28580.704712968371</v>
      </c>
      <c r="I630" s="23">
        <v>-28580.704712968371</v>
      </c>
      <c r="J630" s="23">
        <v>0</v>
      </c>
      <c r="K630" s="23">
        <v>0</v>
      </c>
    </row>
    <row r="631" spans="5:11">
      <c r="E631" s="62">
        <v>620</v>
      </c>
      <c r="F631" s="43">
        <v>0.57239990357496762</v>
      </c>
      <c r="G631" s="61">
        <v>14.972797311933714</v>
      </c>
      <c r="H631" s="23">
        <v>-28580.704712968371</v>
      </c>
      <c r="I631" s="23">
        <v>-28580.704712968371</v>
      </c>
      <c r="J631" s="23">
        <v>0</v>
      </c>
      <c r="K631" s="23">
        <v>0</v>
      </c>
    </row>
    <row r="632" spans="5:11">
      <c r="E632" s="62">
        <v>621</v>
      </c>
      <c r="F632" s="43">
        <v>0.42760009642503238</v>
      </c>
      <c r="G632" s="61">
        <v>84.956687432839018</v>
      </c>
      <c r="H632" s="23">
        <v>-28580.704712968371</v>
      </c>
      <c r="I632" s="23">
        <v>-28580.704712968371</v>
      </c>
      <c r="J632" s="23">
        <v>0</v>
      </c>
      <c r="K632" s="23">
        <v>0</v>
      </c>
    </row>
    <row r="633" spans="5:11">
      <c r="E633" s="62">
        <v>622</v>
      </c>
      <c r="F633" s="43">
        <v>0.7910563602810563</v>
      </c>
      <c r="G633" s="61">
        <v>319.24204681612269</v>
      </c>
      <c r="H633" s="23">
        <v>-28580.704712968371</v>
      </c>
      <c r="I633" s="23">
        <v>-28580.704712968371</v>
      </c>
      <c r="J633" s="23">
        <v>0</v>
      </c>
      <c r="K633" s="23">
        <v>0</v>
      </c>
    </row>
    <row r="634" spans="5:11">
      <c r="E634" s="62">
        <v>623</v>
      </c>
      <c r="F634" s="43">
        <v>0.2089436397189437</v>
      </c>
      <c r="G634" s="61">
        <v>156.56907298003895</v>
      </c>
      <c r="H634" s="23">
        <v>-28580.704712968371</v>
      </c>
      <c r="I634" s="23">
        <v>-28580.704712968371</v>
      </c>
      <c r="J634" s="23">
        <v>0</v>
      </c>
      <c r="K634" s="23">
        <v>0</v>
      </c>
    </row>
    <row r="635" spans="5:11">
      <c r="E635" s="62">
        <v>624</v>
      </c>
      <c r="F635" s="43">
        <v>0.26526494007019885</v>
      </c>
      <c r="G635" s="61">
        <v>55.850893527358259</v>
      </c>
      <c r="H635" s="23">
        <v>-28580.704712968371</v>
      </c>
      <c r="I635" s="23">
        <v>-28580.704712968371</v>
      </c>
      <c r="J635" s="23">
        <v>0</v>
      </c>
      <c r="K635" s="23">
        <v>0</v>
      </c>
    </row>
    <row r="636" spans="5:11">
      <c r="E636" s="62">
        <v>625</v>
      </c>
      <c r="F636" s="43">
        <v>0.73473505992980115</v>
      </c>
      <c r="G636" s="61">
        <v>30.824530743213128</v>
      </c>
      <c r="H636" s="23">
        <v>-28580.704712968371</v>
      </c>
      <c r="I636" s="23">
        <v>-28580.704712968371</v>
      </c>
      <c r="J636" s="23">
        <v>0</v>
      </c>
      <c r="K636" s="23">
        <v>0</v>
      </c>
    </row>
    <row r="637" spans="5:11">
      <c r="E637" s="62">
        <v>626</v>
      </c>
      <c r="F637" s="43">
        <v>0.30221366717938114</v>
      </c>
      <c r="G637" s="61">
        <v>131.66689770771777</v>
      </c>
      <c r="H637" s="23">
        <v>-28580.704712968371</v>
      </c>
      <c r="I637" s="23">
        <v>-28580.704712968371</v>
      </c>
      <c r="J637" s="23">
        <v>0</v>
      </c>
      <c r="K637" s="23">
        <v>0</v>
      </c>
    </row>
    <row r="638" spans="5:11">
      <c r="E638" s="62">
        <v>627</v>
      </c>
      <c r="F638" s="43">
        <v>0.69778633282061886</v>
      </c>
      <c r="G638" s="61">
        <v>35.984233651955535</v>
      </c>
      <c r="H638" s="23">
        <v>-28580.704712968371</v>
      </c>
      <c r="I638" s="23">
        <v>-28580.704712968371</v>
      </c>
      <c r="J638" s="23">
        <v>0</v>
      </c>
      <c r="K638" s="23">
        <v>0</v>
      </c>
    </row>
    <row r="639" spans="5:11">
      <c r="E639" s="62">
        <v>628</v>
      </c>
      <c r="F639" s="43">
        <v>0.58521301818314597</v>
      </c>
      <c r="G639" s="61">
        <v>43.665796458878852</v>
      </c>
      <c r="H639" s="23">
        <v>-28580.704712968371</v>
      </c>
      <c r="I639" s="23">
        <v>-28580.704712968371</v>
      </c>
      <c r="J639" s="23">
        <v>0</v>
      </c>
      <c r="K639" s="23">
        <v>0</v>
      </c>
    </row>
    <row r="640" spans="5:11">
      <c r="E640" s="62">
        <v>629</v>
      </c>
      <c r="F640" s="43">
        <v>0.41478698181685403</v>
      </c>
      <c r="G640" s="61">
        <v>87.999018736021014</v>
      </c>
      <c r="H640" s="23">
        <v>-28580.704712968371</v>
      </c>
      <c r="I640" s="23">
        <v>-28580.704712968371</v>
      </c>
      <c r="J640" s="23">
        <v>0</v>
      </c>
      <c r="K640" s="23">
        <v>0</v>
      </c>
    </row>
    <row r="641" spans="5:11">
      <c r="E641" s="62">
        <v>630</v>
      </c>
      <c r="F641" s="43">
        <v>1.4087342015604798E-2</v>
      </c>
      <c r="G641" s="61">
        <v>51.072099358795931</v>
      </c>
      <c r="H641" s="23">
        <v>-28580.704712968371</v>
      </c>
      <c r="I641" s="23">
        <v>-28580.704712968371</v>
      </c>
      <c r="J641" s="23">
        <v>0</v>
      </c>
      <c r="K641" s="23">
        <v>0</v>
      </c>
    </row>
    <row r="642" spans="5:11">
      <c r="E642" s="62">
        <v>631</v>
      </c>
      <c r="F642" s="43">
        <v>0.9859126579843952</v>
      </c>
      <c r="G642" s="61">
        <v>1.4187510469061193</v>
      </c>
      <c r="H642" s="23">
        <v>575365.74079116632</v>
      </c>
      <c r="I642" s="23">
        <v>-7396.2613009771694</v>
      </c>
      <c r="J642" s="23">
        <v>-729.36420787502323</v>
      </c>
      <c r="K642" s="23">
        <v>583491.3663000185</v>
      </c>
    </row>
    <row r="643" spans="5:11">
      <c r="E643" s="62">
        <v>632</v>
      </c>
      <c r="F643" s="43">
        <v>0.23811524445400611</v>
      </c>
      <c r="G643" s="61">
        <v>111.36884961012601</v>
      </c>
      <c r="H643" s="23">
        <v>-28580.704712968371</v>
      </c>
      <c r="I643" s="23">
        <v>-28580.704712968371</v>
      </c>
      <c r="J643" s="23">
        <v>0</v>
      </c>
      <c r="K643" s="23">
        <v>0</v>
      </c>
    </row>
    <row r="644" spans="5:11">
      <c r="E644" s="62">
        <v>633</v>
      </c>
      <c r="F644" s="43">
        <v>0.76188475554599389</v>
      </c>
      <c r="G644" s="61">
        <v>27.195997417428117</v>
      </c>
      <c r="H644" s="23">
        <v>-28580.704712968371</v>
      </c>
      <c r="I644" s="23">
        <v>-28580.704712968371</v>
      </c>
      <c r="J644" s="23">
        <v>0</v>
      </c>
      <c r="K644" s="23">
        <v>0</v>
      </c>
    </row>
    <row r="645" spans="5:11">
      <c r="E645" s="62">
        <v>634</v>
      </c>
      <c r="F645" s="43">
        <v>0.32461127494779674</v>
      </c>
      <c r="G645" s="61">
        <v>42.175327382056068</v>
      </c>
      <c r="H645" s="23">
        <v>-28580.704712968371</v>
      </c>
      <c r="I645" s="23">
        <v>-28580.704712968371</v>
      </c>
      <c r="J645" s="23">
        <v>0</v>
      </c>
      <c r="K645" s="23">
        <v>0</v>
      </c>
    </row>
    <row r="646" spans="5:11">
      <c r="E646" s="62">
        <v>635</v>
      </c>
      <c r="F646" s="43">
        <v>0.67538872505220326</v>
      </c>
      <c r="G646" s="61">
        <v>39.246686490379425</v>
      </c>
      <c r="H646" s="23">
        <v>-28580.704712968371</v>
      </c>
      <c r="I646" s="23">
        <v>-28580.704712968371</v>
      </c>
      <c r="J646" s="23">
        <v>0</v>
      </c>
      <c r="K646" s="23">
        <v>0</v>
      </c>
    </row>
    <row r="647" spans="5:11">
      <c r="E647" s="62">
        <v>636</v>
      </c>
      <c r="F647" s="43">
        <v>0.63220636142918307</v>
      </c>
      <c r="G647" s="61">
        <v>37.193974669343547</v>
      </c>
      <c r="H647" s="23">
        <v>-28580.704712968371</v>
      </c>
      <c r="I647" s="23">
        <v>-28580.704712968371</v>
      </c>
      <c r="J647" s="23">
        <v>0</v>
      </c>
      <c r="K647" s="23">
        <v>0</v>
      </c>
    </row>
    <row r="648" spans="5:11">
      <c r="E648" s="62">
        <v>637</v>
      </c>
      <c r="F648" s="43">
        <v>0.36779363857081693</v>
      </c>
      <c r="G648" s="61">
        <v>100.02332628537786</v>
      </c>
      <c r="H648" s="23">
        <v>-28580.704712968371</v>
      </c>
      <c r="I648" s="23">
        <v>-28580.704712968371</v>
      </c>
      <c r="J648" s="23">
        <v>0</v>
      </c>
      <c r="K648" s="23">
        <v>0</v>
      </c>
    </row>
    <row r="649" spans="5:11">
      <c r="E649" s="62">
        <v>638</v>
      </c>
      <c r="F649" s="43">
        <v>0.19029647483475198</v>
      </c>
      <c r="G649" s="61">
        <v>174.32561958006156</v>
      </c>
      <c r="H649" s="23">
        <v>-28580.704712968371</v>
      </c>
      <c r="I649" s="23">
        <v>-28580.704712968371</v>
      </c>
      <c r="J649" s="23">
        <v>0</v>
      </c>
      <c r="K649" s="23">
        <v>0</v>
      </c>
    </row>
    <row r="650" spans="5:11">
      <c r="E650" s="62">
        <v>639</v>
      </c>
      <c r="F650" s="43">
        <v>0.80970352516524802</v>
      </c>
      <c r="G650" s="61">
        <v>21.108711663121408</v>
      </c>
      <c r="H650" s="23">
        <v>-28580.704712968371</v>
      </c>
      <c r="I650" s="23">
        <v>-28580.704712968371</v>
      </c>
      <c r="J650" s="23">
        <v>0</v>
      </c>
      <c r="K650" s="23">
        <v>0</v>
      </c>
    </row>
    <row r="651" spans="5:11">
      <c r="E651" s="62">
        <v>640</v>
      </c>
      <c r="F651" s="43">
        <v>0.45601649533918631</v>
      </c>
      <c r="G651" s="61">
        <v>9.0069866892168289</v>
      </c>
      <c r="H651" s="23">
        <v>-28580.704712968371</v>
      </c>
      <c r="I651" s="23">
        <v>-28580.704712968371</v>
      </c>
      <c r="J651" s="23">
        <v>0</v>
      </c>
      <c r="K651" s="23">
        <v>0</v>
      </c>
    </row>
    <row r="652" spans="5:11">
      <c r="E652" s="62">
        <v>641</v>
      </c>
      <c r="F652" s="43">
        <v>0.54398350466081369</v>
      </c>
      <c r="G652" s="61">
        <v>60.883635490060584</v>
      </c>
      <c r="H652" s="23">
        <v>-28580.704712968371</v>
      </c>
      <c r="I652" s="23">
        <v>-28580.704712968371</v>
      </c>
      <c r="J652" s="23">
        <v>0</v>
      </c>
      <c r="K652" s="23">
        <v>0</v>
      </c>
    </row>
    <row r="653" spans="5:11">
      <c r="E653" s="62">
        <v>642</v>
      </c>
      <c r="F653" s="43">
        <v>9.5060841865605927E-2</v>
      </c>
      <c r="G653" s="61">
        <v>62.030451263087414</v>
      </c>
      <c r="H653" s="23">
        <v>-28580.704712968371</v>
      </c>
      <c r="I653" s="23">
        <v>-28580.704712968371</v>
      </c>
      <c r="J653" s="23">
        <v>0</v>
      </c>
      <c r="K653" s="23">
        <v>0</v>
      </c>
    </row>
    <row r="654" spans="5:11">
      <c r="E654" s="62">
        <v>643</v>
      </c>
      <c r="F654" s="43">
        <v>0.90493915813439407</v>
      </c>
      <c r="G654" s="61">
        <v>9.9887566122933276</v>
      </c>
      <c r="H654" s="23">
        <v>-28580.704712968371</v>
      </c>
      <c r="I654" s="23">
        <v>-28580.704712968371</v>
      </c>
      <c r="J654" s="23">
        <v>0</v>
      </c>
      <c r="K654" s="23">
        <v>0</v>
      </c>
    </row>
    <row r="655" spans="5:11">
      <c r="E655" s="62">
        <v>644</v>
      </c>
      <c r="F655" s="43">
        <v>0.37665617249038841</v>
      </c>
      <c r="G655" s="61">
        <v>72.791653969694863</v>
      </c>
      <c r="H655" s="23">
        <v>-28580.704712968371</v>
      </c>
      <c r="I655" s="23">
        <v>-28580.704712968371</v>
      </c>
      <c r="J655" s="23">
        <v>0</v>
      </c>
      <c r="K655" s="23">
        <v>0</v>
      </c>
    </row>
    <row r="656" spans="5:11">
      <c r="E656" s="62">
        <v>645</v>
      </c>
      <c r="F656" s="43">
        <v>0.62334382750961159</v>
      </c>
      <c r="G656" s="61">
        <v>47.265702236641417</v>
      </c>
      <c r="H656" s="23">
        <v>-28580.704712968371</v>
      </c>
      <c r="I656" s="23">
        <v>-28580.704712968371</v>
      </c>
      <c r="J656" s="23">
        <v>0</v>
      </c>
      <c r="K656" s="23">
        <v>0</v>
      </c>
    </row>
    <row r="657" spans="5:11">
      <c r="E657" s="62">
        <v>646</v>
      </c>
      <c r="F657" s="43">
        <v>0.58390057493657377</v>
      </c>
      <c r="G657" s="61">
        <v>102.58892445956917</v>
      </c>
      <c r="H657" s="23">
        <v>-28580.704712968371</v>
      </c>
      <c r="I657" s="23">
        <v>-28580.704712968371</v>
      </c>
      <c r="J657" s="23">
        <v>0</v>
      </c>
      <c r="K657" s="23">
        <v>0</v>
      </c>
    </row>
    <row r="658" spans="5:11">
      <c r="E658" s="62">
        <v>647</v>
      </c>
      <c r="F658" s="43">
        <v>0.41609942506342623</v>
      </c>
      <c r="G658" s="61">
        <v>87.683104472112177</v>
      </c>
      <c r="H658" s="23">
        <v>-28580.704712968371</v>
      </c>
      <c r="I658" s="23">
        <v>-28580.704712968371</v>
      </c>
      <c r="J658" s="23">
        <v>0</v>
      </c>
      <c r="K658" s="23">
        <v>0</v>
      </c>
    </row>
    <row r="659" spans="5:11">
      <c r="E659" s="62">
        <v>648</v>
      </c>
      <c r="F659" s="43">
        <v>0.50952499721184163</v>
      </c>
      <c r="G659" s="61">
        <v>59.936663312177039</v>
      </c>
      <c r="H659" s="23">
        <v>-28580.704712968371</v>
      </c>
      <c r="I659" s="23">
        <v>-28580.704712968371</v>
      </c>
      <c r="J659" s="23">
        <v>0</v>
      </c>
      <c r="K659" s="23">
        <v>0</v>
      </c>
    </row>
    <row r="660" spans="5:11">
      <c r="E660" s="62">
        <v>649</v>
      </c>
      <c r="F660" s="43">
        <v>0.49047500278815837</v>
      </c>
      <c r="G660" s="61">
        <v>71.238096399063593</v>
      </c>
      <c r="H660" s="23">
        <v>-28580.704712968371</v>
      </c>
      <c r="I660" s="23">
        <v>-28580.704712968371</v>
      </c>
      <c r="J660" s="23">
        <v>0</v>
      </c>
      <c r="K660" s="23">
        <v>0</v>
      </c>
    </row>
    <row r="661" spans="5:11">
      <c r="E661" s="62">
        <v>650</v>
      </c>
      <c r="F661" s="43">
        <v>0.44979038942049432</v>
      </c>
      <c r="G661" s="61">
        <v>7.9714097611691184</v>
      </c>
      <c r="H661" s="23">
        <v>-28580.704712968371</v>
      </c>
      <c r="I661" s="23">
        <v>-28580.704712968371</v>
      </c>
      <c r="J661" s="23">
        <v>0</v>
      </c>
      <c r="K661" s="23">
        <v>0</v>
      </c>
    </row>
    <row r="662" spans="5:11">
      <c r="E662" s="62">
        <v>651</v>
      </c>
      <c r="F662" s="43">
        <v>0.55020961057950568</v>
      </c>
      <c r="G662" s="61">
        <v>59.745596321508962</v>
      </c>
      <c r="H662" s="23">
        <v>-28580.704712968371</v>
      </c>
      <c r="I662" s="23">
        <v>-28580.704712968371</v>
      </c>
      <c r="J662" s="23">
        <v>0</v>
      </c>
      <c r="K662" s="23">
        <v>0</v>
      </c>
    </row>
    <row r="663" spans="5:11">
      <c r="E663" s="62">
        <v>652</v>
      </c>
      <c r="F663" s="43">
        <v>1.2782374318612844E-2</v>
      </c>
      <c r="G663" s="61">
        <v>44.641109443263908</v>
      </c>
      <c r="H663" s="23">
        <v>-28580.704712968371</v>
      </c>
      <c r="I663" s="23">
        <v>-28580.704712968371</v>
      </c>
      <c r="J663" s="23">
        <v>0</v>
      </c>
      <c r="K663" s="23">
        <v>0</v>
      </c>
    </row>
    <row r="664" spans="5:11">
      <c r="E664" s="62">
        <v>653</v>
      </c>
      <c r="F664" s="43">
        <v>0.98721762568138716</v>
      </c>
      <c r="G664" s="61">
        <v>1.2864771775054735</v>
      </c>
      <c r="H664" s="23">
        <v>575365.74079116632</v>
      </c>
      <c r="I664" s="23">
        <v>-7396.2613009771694</v>
      </c>
      <c r="J664" s="23">
        <v>-729.36420787502323</v>
      </c>
      <c r="K664" s="23">
        <v>583491.3663000185</v>
      </c>
    </row>
    <row r="665" spans="5:11">
      <c r="E665" s="62">
        <v>654</v>
      </c>
      <c r="F665" s="43">
        <v>0.43740195054645625</v>
      </c>
      <c r="G665" s="61">
        <v>354.58544063551744</v>
      </c>
      <c r="H665" s="23">
        <v>-28580.704712968371</v>
      </c>
      <c r="I665" s="23">
        <v>-28580.704712968371</v>
      </c>
      <c r="J665" s="23">
        <v>0</v>
      </c>
      <c r="K665" s="23">
        <v>0</v>
      </c>
    </row>
    <row r="666" spans="5:11">
      <c r="E666" s="62">
        <v>655</v>
      </c>
      <c r="F666" s="43">
        <v>0.56259804945354375</v>
      </c>
      <c r="G666" s="61">
        <v>57.518984995417576</v>
      </c>
      <c r="H666" s="23">
        <v>-28580.704712968371</v>
      </c>
      <c r="I666" s="23">
        <v>-28580.704712968371</v>
      </c>
      <c r="J666" s="23">
        <v>0</v>
      </c>
      <c r="K666" s="23">
        <v>0</v>
      </c>
    </row>
    <row r="667" spans="5:11">
      <c r="E667" s="62">
        <v>656</v>
      </c>
      <c r="F667" s="43">
        <v>0.39743938183138272</v>
      </c>
      <c r="G667" s="61">
        <v>98.518927195322348</v>
      </c>
      <c r="H667" s="23">
        <v>-28580.704712968371</v>
      </c>
      <c r="I667" s="23">
        <v>-28580.704712968371</v>
      </c>
      <c r="J667" s="23">
        <v>0</v>
      </c>
      <c r="K667" s="23">
        <v>0</v>
      </c>
    </row>
    <row r="668" spans="5:11">
      <c r="E668" s="62">
        <v>657</v>
      </c>
      <c r="F668" s="43">
        <v>0.60256061816861728</v>
      </c>
      <c r="G668" s="61">
        <v>50.656700761003655</v>
      </c>
      <c r="H668" s="23">
        <v>-28580.704712968371</v>
      </c>
      <c r="I668" s="23">
        <v>-28580.704712968371</v>
      </c>
      <c r="J668" s="23">
        <v>0</v>
      </c>
      <c r="K668" s="23">
        <v>0</v>
      </c>
    </row>
    <row r="669" spans="5:11">
      <c r="E669" s="62">
        <v>658</v>
      </c>
      <c r="F669" s="43">
        <v>0.96806737871609572</v>
      </c>
      <c r="G669" s="61">
        <v>72.17114337149998</v>
      </c>
      <c r="H669" s="23">
        <v>-28580.704712968371</v>
      </c>
      <c r="I669" s="23">
        <v>-28580.704712968371</v>
      </c>
      <c r="J669" s="23">
        <v>0</v>
      </c>
      <c r="K669" s="23">
        <v>0</v>
      </c>
    </row>
    <row r="670" spans="5:11">
      <c r="E670" s="62">
        <v>659</v>
      </c>
      <c r="F670" s="43">
        <v>3.1932621283904283E-2</v>
      </c>
      <c r="G670" s="61">
        <v>344.41271809208575</v>
      </c>
      <c r="H670" s="23">
        <v>-28580.704712968371</v>
      </c>
      <c r="I670" s="23">
        <v>-28580.704712968371</v>
      </c>
      <c r="J670" s="23">
        <v>0</v>
      </c>
      <c r="K670" s="23">
        <v>0</v>
      </c>
    </row>
    <row r="671" spans="5:11">
      <c r="E671" s="62">
        <v>660</v>
      </c>
      <c r="F671" s="43">
        <v>2.6969718890065275E-2</v>
      </c>
      <c r="G671" s="61">
        <v>67.623321990474849</v>
      </c>
      <c r="H671" s="23">
        <v>-28580.704712968371</v>
      </c>
      <c r="I671" s="23">
        <v>-28580.704712968371</v>
      </c>
      <c r="J671" s="23">
        <v>0</v>
      </c>
      <c r="K671" s="23">
        <v>0</v>
      </c>
    </row>
    <row r="672" spans="5:11">
      <c r="E672" s="62">
        <v>661</v>
      </c>
      <c r="F672" s="43">
        <v>0.97303028110993472</v>
      </c>
      <c r="G672" s="61">
        <v>2.7340075892997944</v>
      </c>
      <c r="H672" s="23">
        <v>554746.53835430928</v>
      </c>
      <c r="I672" s="23">
        <v>-14622.54319429283</v>
      </c>
      <c r="J672" s="23">
        <v>-712.60210456646075</v>
      </c>
      <c r="K672" s="23">
        <v>570081.68365316861</v>
      </c>
    </row>
    <row r="673" spans="5:11">
      <c r="E673" s="62">
        <v>662</v>
      </c>
      <c r="F673" s="43">
        <v>0.19744462050029854</v>
      </c>
      <c r="G673" s="61">
        <v>183.98520542099877</v>
      </c>
      <c r="H673" s="23">
        <v>-28580.704712968371</v>
      </c>
      <c r="I673" s="23">
        <v>-28580.704712968371</v>
      </c>
      <c r="J673" s="23">
        <v>0</v>
      </c>
      <c r="K673" s="23">
        <v>0</v>
      </c>
    </row>
    <row r="674" spans="5:11">
      <c r="E674" s="62">
        <v>663</v>
      </c>
      <c r="F674" s="43">
        <v>0.80255537949970146</v>
      </c>
      <c r="G674" s="61">
        <v>21.995441763658903</v>
      </c>
      <c r="H674" s="23">
        <v>-28580.704712968371</v>
      </c>
      <c r="I674" s="23">
        <v>-28580.704712968371</v>
      </c>
      <c r="J674" s="23">
        <v>0</v>
      </c>
      <c r="K674" s="23">
        <v>0</v>
      </c>
    </row>
    <row r="675" spans="5:11">
      <c r="E675" s="62">
        <v>664</v>
      </c>
      <c r="F675" s="43">
        <v>0.13836032819391231</v>
      </c>
      <c r="G675" s="61">
        <v>44.096436738754022</v>
      </c>
      <c r="H675" s="23">
        <v>-28580.704712968371</v>
      </c>
      <c r="I675" s="23">
        <v>-28580.704712968371</v>
      </c>
      <c r="J675" s="23">
        <v>0</v>
      </c>
      <c r="K675" s="23">
        <v>0</v>
      </c>
    </row>
    <row r="676" spans="5:11">
      <c r="E676" s="62">
        <v>665</v>
      </c>
      <c r="F676" s="43">
        <v>0.86163967180608769</v>
      </c>
      <c r="G676" s="61">
        <v>14.891810985678205</v>
      </c>
      <c r="H676" s="23">
        <v>-28580.704712968371</v>
      </c>
      <c r="I676" s="23">
        <v>-28580.704712968371</v>
      </c>
      <c r="J676" s="23">
        <v>0</v>
      </c>
      <c r="K676" s="23">
        <v>0</v>
      </c>
    </row>
    <row r="677" spans="5:11">
      <c r="E677" s="62">
        <v>666</v>
      </c>
      <c r="F677" s="43">
        <v>0.82946185578185649</v>
      </c>
      <c r="G677" s="61">
        <v>6.1445961586935738</v>
      </c>
      <c r="H677" s="23">
        <v>-28580.704712968371</v>
      </c>
      <c r="I677" s="23">
        <v>-28580.704712968371</v>
      </c>
      <c r="J677" s="23">
        <v>0</v>
      </c>
      <c r="K677" s="23">
        <v>0</v>
      </c>
    </row>
    <row r="678" spans="5:11">
      <c r="E678" s="62">
        <v>667</v>
      </c>
      <c r="F678" s="43">
        <v>0.17053814421814351</v>
      </c>
      <c r="G678" s="61">
        <v>176.87962875255906</v>
      </c>
      <c r="H678" s="23">
        <v>-28580.704712968371</v>
      </c>
      <c r="I678" s="23">
        <v>-28580.704712968371</v>
      </c>
      <c r="J678" s="23">
        <v>0</v>
      </c>
      <c r="K678" s="23">
        <v>0</v>
      </c>
    </row>
    <row r="679" spans="5:11">
      <c r="E679" s="62">
        <v>668</v>
      </c>
      <c r="F679" s="43">
        <v>0.44440193482285806</v>
      </c>
      <c r="G679" s="61">
        <v>206.57507237697016</v>
      </c>
      <c r="H679" s="23">
        <v>-28580.704712968371</v>
      </c>
      <c r="I679" s="23">
        <v>-28580.704712968371</v>
      </c>
      <c r="J679" s="23">
        <v>0</v>
      </c>
      <c r="K679" s="23">
        <v>0</v>
      </c>
    </row>
    <row r="680" spans="5:11">
      <c r="E680" s="62">
        <v>669</v>
      </c>
      <c r="F680" s="43">
        <v>0.55559806517714194</v>
      </c>
      <c r="G680" s="61">
        <v>58.771015051056416</v>
      </c>
      <c r="H680" s="23">
        <v>-28580.704712968371</v>
      </c>
      <c r="I680" s="23">
        <v>-28580.704712968371</v>
      </c>
      <c r="J680" s="23">
        <v>0</v>
      </c>
      <c r="K680" s="23">
        <v>0</v>
      </c>
    </row>
    <row r="681" spans="5:11">
      <c r="E681" s="62">
        <v>670</v>
      </c>
      <c r="F681" s="43">
        <v>0.55540462696997317</v>
      </c>
      <c r="G681" s="61">
        <v>52.922317580894763</v>
      </c>
      <c r="H681" s="23">
        <v>-28580.704712968371</v>
      </c>
      <c r="I681" s="23">
        <v>-28580.704712968371</v>
      </c>
      <c r="J681" s="23">
        <v>0</v>
      </c>
      <c r="K681" s="23">
        <v>0</v>
      </c>
    </row>
    <row r="682" spans="5:11">
      <c r="E682" s="62">
        <v>671</v>
      </c>
      <c r="F682" s="43">
        <v>0.44459537303002683</v>
      </c>
      <c r="G682" s="61">
        <v>81.059068454617005</v>
      </c>
      <c r="H682" s="23">
        <v>-28580.704712968371</v>
      </c>
      <c r="I682" s="23">
        <v>-28580.704712968371</v>
      </c>
      <c r="J682" s="23">
        <v>0</v>
      </c>
      <c r="K682" s="23">
        <v>0</v>
      </c>
    </row>
    <row r="683" spans="5:11">
      <c r="E683" s="62">
        <v>672</v>
      </c>
      <c r="F683" s="43">
        <v>1.7798644292273402E-2</v>
      </c>
      <c r="G683" s="61">
        <v>43.107062970359529</v>
      </c>
      <c r="H683" s="23">
        <v>-28580.704712968371</v>
      </c>
      <c r="I683" s="23">
        <v>-28580.704712968371</v>
      </c>
      <c r="J683" s="23">
        <v>0</v>
      </c>
      <c r="K683" s="23">
        <v>0</v>
      </c>
    </row>
    <row r="684" spans="5:11">
      <c r="E684" s="62">
        <v>673</v>
      </c>
      <c r="F684" s="43">
        <v>0.9822013557077266</v>
      </c>
      <c r="G684" s="61">
        <v>1.7958945101294428</v>
      </c>
      <c r="H684" s="23">
        <v>567060.48828038177</v>
      </c>
      <c r="I684" s="23">
        <v>-10306.95079160545</v>
      </c>
      <c r="J684" s="23">
        <v>-722.61256454566615</v>
      </c>
      <c r="K684" s="23">
        <v>578090.05163653288</v>
      </c>
    </row>
    <row r="685" spans="5:11">
      <c r="E685" s="62">
        <v>674</v>
      </c>
      <c r="F685" s="43">
        <v>7.0943423587619736E-2</v>
      </c>
      <c r="G685" s="61">
        <v>197.19552090063306</v>
      </c>
      <c r="H685" s="23">
        <v>-28580.704712968371</v>
      </c>
      <c r="I685" s="23">
        <v>-28580.704712968371</v>
      </c>
      <c r="J685" s="23">
        <v>0</v>
      </c>
      <c r="K685" s="23">
        <v>0</v>
      </c>
    </row>
    <row r="686" spans="5:11">
      <c r="E686" s="62">
        <v>675</v>
      </c>
      <c r="F686" s="43">
        <v>0.92905657641238026</v>
      </c>
      <c r="G686" s="61">
        <v>7.3585641686394405</v>
      </c>
      <c r="H686" s="23">
        <v>-28580.704712968371</v>
      </c>
      <c r="I686" s="23">
        <v>-28580.704712968371</v>
      </c>
      <c r="J686" s="23">
        <v>0</v>
      </c>
      <c r="K686" s="23">
        <v>0</v>
      </c>
    </row>
    <row r="687" spans="5:11">
      <c r="E687" s="62">
        <v>676</v>
      </c>
      <c r="F687" s="43">
        <v>0.88169490656448313</v>
      </c>
      <c r="G687" s="61">
        <v>2.9860963679559824</v>
      </c>
      <c r="H687" s="23">
        <v>550679.91397737269</v>
      </c>
      <c r="I687" s="23">
        <v>-16047.747403425752</v>
      </c>
      <c r="J687" s="23">
        <v>-709.29619697221335</v>
      </c>
      <c r="K687" s="23">
        <v>567436.95757777069</v>
      </c>
    </row>
    <row r="688" spans="5:11">
      <c r="E688" s="62">
        <v>677</v>
      </c>
      <c r="F688" s="43">
        <v>0.11830509343551687</v>
      </c>
      <c r="G688" s="61">
        <v>213.44884536793643</v>
      </c>
      <c r="H688" s="23">
        <v>-28580.704712968371</v>
      </c>
      <c r="I688" s="23">
        <v>-28580.704712968371</v>
      </c>
      <c r="J688" s="23">
        <v>0</v>
      </c>
      <c r="K688" s="23">
        <v>0</v>
      </c>
    </row>
    <row r="689" spans="5:11">
      <c r="E689" s="62">
        <v>678</v>
      </c>
      <c r="F689" s="43">
        <v>0.11678246269172221</v>
      </c>
      <c r="G689" s="61">
        <v>129.61007856644969</v>
      </c>
      <c r="H689" s="23">
        <v>-28580.704712968371</v>
      </c>
      <c r="I689" s="23">
        <v>-28580.704712968371</v>
      </c>
      <c r="J689" s="23">
        <v>0</v>
      </c>
      <c r="K689" s="23">
        <v>0</v>
      </c>
    </row>
    <row r="690" spans="5:11">
      <c r="E690" s="62">
        <v>679</v>
      </c>
      <c r="F690" s="43">
        <v>0.88321753730827779</v>
      </c>
      <c r="G690" s="61">
        <v>12.418374710268838</v>
      </c>
      <c r="H690" s="23">
        <v>-28580.704712968371</v>
      </c>
      <c r="I690" s="23">
        <v>-28580.704712968371</v>
      </c>
      <c r="J690" s="23">
        <v>0</v>
      </c>
      <c r="K690" s="23">
        <v>0</v>
      </c>
    </row>
    <row r="691" spans="5:11">
      <c r="E691" s="62">
        <v>680</v>
      </c>
      <c r="F691" s="43">
        <v>4.7535809758109893E-2</v>
      </c>
      <c r="G691" s="61">
        <v>46.063365074243208</v>
      </c>
      <c r="H691" s="23">
        <v>-28580.704712968371</v>
      </c>
      <c r="I691" s="23">
        <v>-28580.704712968371</v>
      </c>
      <c r="J691" s="23">
        <v>0</v>
      </c>
      <c r="K691" s="23">
        <v>0</v>
      </c>
    </row>
    <row r="692" spans="5:11">
      <c r="E692" s="62">
        <v>681</v>
      </c>
      <c r="F692" s="43">
        <v>0.95246419024189011</v>
      </c>
      <c r="G692" s="61">
        <v>4.8702768234583358</v>
      </c>
      <c r="H692" s="23">
        <v>518818.79058993806</v>
      </c>
      <c r="I692" s="23">
        <v>-27213.914462524161</v>
      </c>
      <c r="J692" s="23">
        <v>-683.39512522210543</v>
      </c>
      <c r="K692" s="23">
        <v>546716.10017768433</v>
      </c>
    </row>
    <row r="693" spans="5:11">
      <c r="E693" s="62">
        <v>682</v>
      </c>
      <c r="F693" s="43">
        <v>0.14224996987965199</v>
      </c>
      <c r="G693" s="61">
        <v>76.512374861469652</v>
      </c>
      <c r="H693" s="23">
        <v>-28580.704712968371</v>
      </c>
      <c r="I693" s="23">
        <v>-28580.704712968371</v>
      </c>
      <c r="J693" s="23">
        <v>0</v>
      </c>
      <c r="K693" s="23">
        <v>0</v>
      </c>
    </row>
    <row r="694" spans="5:11">
      <c r="E694" s="62">
        <v>683</v>
      </c>
      <c r="F694" s="43">
        <v>0.85775003012034801</v>
      </c>
      <c r="G694" s="61">
        <v>15.344256212804607</v>
      </c>
      <c r="H694" s="23">
        <v>-28580.704712968371</v>
      </c>
      <c r="I694" s="23">
        <v>-28580.704712968371</v>
      </c>
      <c r="J694" s="23">
        <v>0</v>
      </c>
      <c r="K694" s="23">
        <v>0</v>
      </c>
    </row>
    <row r="695" spans="5:11">
      <c r="E695" s="62">
        <v>684</v>
      </c>
      <c r="F695" s="43">
        <v>5.791438927005732E-2</v>
      </c>
      <c r="G695" s="61">
        <v>235.08135614330246</v>
      </c>
      <c r="H695" s="23">
        <v>-28580.704712968371</v>
      </c>
      <c r="I695" s="23">
        <v>-28580.704712968371</v>
      </c>
      <c r="J695" s="23">
        <v>0</v>
      </c>
      <c r="K695" s="23">
        <v>0</v>
      </c>
    </row>
    <row r="696" spans="5:11">
      <c r="E696" s="62">
        <v>685</v>
      </c>
      <c r="F696" s="43">
        <v>0.94208561072994268</v>
      </c>
      <c r="G696" s="61">
        <v>5.9659126656361714</v>
      </c>
      <c r="H696" s="23">
        <v>-28580.704712968371</v>
      </c>
      <c r="I696" s="23">
        <v>-28580.704712968371</v>
      </c>
      <c r="J696" s="23">
        <v>0</v>
      </c>
      <c r="K696" s="23">
        <v>0</v>
      </c>
    </row>
    <row r="697" spans="5:11">
      <c r="E697" s="62">
        <v>686</v>
      </c>
      <c r="F697" s="43">
        <v>0.38751469489774226</v>
      </c>
      <c r="G697" s="61">
        <v>83.704856949278309</v>
      </c>
      <c r="H697" s="23">
        <v>-28580.704712968371</v>
      </c>
      <c r="I697" s="23">
        <v>-28580.704712968371</v>
      </c>
      <c r="J697" s="23">
        <v>0</v>
      </c>
      <c r="K697" s="23">
        <v>0</v>
      </c>
    </row>
    <row r="698" spans="5:11">
      <c r="E698" s="62">
        <v>687</v>
      </c>
      <c r="F698" s="43">
        <v>0.61248530510225774</v>
      </c>
      <c r="G698" s="61">
        <v>49.023032852084299</v>
      </c>
      <c r="H698" s="23">
        <v>-28580.704712968371</v>
      </c>
      <c r="I698" s="23">
        <v>-28580.704712968371</v>
      </c>
      <c r="J698" s="23">
        <v>0</v>
      </c>
      <c r="K698" s="23">
        <v>0</v>
      </c>
    </row>
    <row r="699" spans="5:11">
      <c r="E699" s="62">
        <v>688</v>
      </c>
      <c r="F699" s="43">
        <v>0.47294514881931982</v>
      </c>
      <c r="G699" s="61">
        <v>398.37029331281866</v>
      </c>
      <c r="H699" s="23">
        <v>-28580.704712968371</v>
      </c>
      <c r="I699" s="23">
        <v>-28580.704712968371</v>
      </c>
      <c r="J699" s="23">
        <v>0</v>
      </c>
      <c r="K699" s="23">
        <v>0</v>
      </c>
    </row>
    <row r="700" spans="5:11">
      <c r="E700" s="62">
        <v>689</v>
      </c>
      <c r="F700" s="43">
        <v>0.52705485118068018</v>
      </c>
      <c r="G700" s="61">
        <v>64.045065392014905</v>
      </c>
      <c r="H700" s="23">
        <v>-28580.704712968371</v>
      </c>
      <c r="I700" s="23">
        <v>-28580.704712968371</v>
      </c>
      <c r="J700" s="23">
        <v>0</v>
      </c>
      <c r="K700" s="23">
        <v>0</v>
      </c>
    </row>
    <row r="701" spans="5:11">
      <c r="E701" s="62">
        <v>690</v>
      </c>
      <c r="F701" s="43">
        <v>0.50037989785286108</v>
      </c>
      <c r="G701" s="61">
        <v>28.317595292904247</v>
      </c>
      <c r="H701" s="23">
        <v>-28580.704712968371</v>
      </c>
      <c r="I701" s="23">
        <v>-28580.704712968371</v>
      </c>
      <c r="J701" s="23">
        <v>0</v>
      </c>
      <c r="K701" s="23">
        <v>0</v>
      </c>
    </row>
    <row r="702" spans="5:11">
      <c r="E702" s="62">
        <v>691</v>
      </c>
      <c r="F702" s="43">
        <v>0.49962010214713892</v>
      </c>
      <c r="G702" s="61">
        <v>69.390726505671537</v>
      </c>
      <c r="H702" s="23">
        <v>-28580.704712968371</v>
      </c>
      <c r="I702" s="23">
        <v>-28580.704712968371</v>
      </c>
      <c r="J702" s="23">
        <v>0</v>
      </c>
      <c r="K702" s="23">
        <v>0</v>
      </c>
    </row>
    <row r="703" spans="5:11">
      <c r="E703" s="62">
        <v>692</v>
      </c>
      <c r="F703" s="43">
        <v>0.79751269877147912</v>
      </c>
      <c r="G703" s="61">
        <v>188.00100388634638</v>
      </c>
      <c r="H703" s="23">
        <v>-28580.704712968371</v>
      </c>
      <c r="I703" s="23">
        <v>-28580.704712968371</v>
      </c>
      <c r="J703" s="23">
        <v>0</v>
      </c>
      <c r="K703" s="23">
        <v>0</v>
      </c>
    </row>
    <row r="704" spans="5:11">
      <c r="E704" s="62">
        <v>693</v>
      </c>
      <c r="F704" s="43">
        <v>0.20248730122852088</v>
      </c>
      <c r="G704" s="61">
        <v>159.70781043845093</v>
      </c>
      <c r="H704" s="23">
        <v>-28580.704712968371</v>
      </c>
      <c r="I704" s="23">
        <v>-28580.704712968371</v>
      </c>
      <c r="J704" s="23">
        <v>0</v>
      </c>
      <c r="K704" s="23">
        <v>0</v>
      </c>
    </row>
    <row r="705" spans="5:11">
      <c r="E705" s="62">
        <v>694</v>
      </c>
      <c r="F705" s="43">
        <v>0.14076144408329871</v>
      </c>
      <c r="G705" s="61">
        <v>47.454947897444541</v>
      </c>
      <c r="H705" s="23">
        <v>-28580.704712968371</v>
      </c>
      <c r="I705" s="23">
        <v>-28580.704712968371</v>
      </c>
      <c r="J705" s="23">
        <v>0</v>
      </c>
      <c r="K705" s="23">
        <v>0</v>
      </c>
    </row>
    <row r="706" spans="5:11">
      <c r="E706" s="62">
        <v>695</v>
      </c>
      <c r="F706" s="43">
        <v>0.85923855591670129</v>
      </c>
      <c r="G706" s="61">
        <v>15.1708682029627</v>
      </c>
      <c r="H706" s="23">
        <v>-28580.704712968371</v>
      </c>
      <c r="I706" s="23">
        <v>-28580.704712968371</v>
      </c>
      <c r="J706" s="23">
        <v>0</v>
      </c>
      <c r="K706" s="23">
        <v>0</v>
      </c>
    </row>
    <row r="707" spans="5:11">
      <c r="E707" s="62">
        <v>696</v>
      </c>
      <c r="F707" s="43">
        <v>0.63101097550824903</v>
      </c>
      <c r="G707" s="61">
        <v>173.63099658678732</v>
      </c>
      <c r="H707" s="23">
        <v>-28580.704712968371</v>
      </c>
      <c r="I707" s="23">
        <v>-28580.704712968371</v>
      </c>
      <c r="J707" s="23">
        <v>0</v>
      </c>
      <c r="K707" s="23">
        <v>0</v>
      </c>
    </row>
    <row r="708" spans="5:11">
      <c r="E708" s="62">
        <v>697</v>
      </c>
      <c r="F708" s="43">
        <v>0.36898902449175097</v>
      </c>
      <c r="G708" s="61">
        <v>99.698837930876323</v>
      </c>
      <c r="H708" s="23">
        <v>-28580.704712968371</v>
      </c>
      <c r="I708" s="23">
        <v>-28580.704712968371</v>
      </c>
      <c r="J708" s="23">
        <v>0</v>
      </c>
      <c r="K708" s="23">
        <v>0</v>
      </c>
    </row>
    <row r="709" spans="5:11">
      <c r="E709" s="62">
        <v>698</v>
      </c>
      <c r="F709" s="43">
        <v>0.52032434062286237</v>
      </c>
      <c r="G709" s="61">
        <v>8.0419500835430338</v>
      </c>
      <c r="H709" s="23">
        <v>-28580.704712968371</v>
      </c>
      <c r="I709" s="23">
        <v>-28580.704712968371</v>
      </c>
      <c r="J709" s="23">
        <v>0</v>
      </c>
      <c r="K709" s="23">
        <v>0</v>
      </c>
    </row>
    <row r="710" spans="5:11">
      <c r="E710" s="62">
        <v>699</v>
      </c>
      <c r="F710" s="43">
        <v>0.47967565937713763</v>
      </c>
      <c r="G710" s="61">
        <v>73.464511310580775</v>
      </c>
      <c r="H710" s="23">
        <v>-28580.704712968371</v>
      </c>
      <c r="I710" s="23">
        <v>-28580.704712968371</v>
      </c>
      <c r="J710" s="23">
        <v>0</v>
      </c>
      <c r="K710" s="23">
        <v>0</v>
      </c>
    </row>
    <row r="711" spans="5:11">
      <c r="E711" s="62">
        <v>700</v>
      </c>
      <c r="F711" s="43">
        <v>0.53496669508196992</v>
      </c>
      <c r="G711" s="61">
        <v>372.16916016003086</v>
      </c>
      <c r="H711" s="23">
        <v>-28580.704712968371</v>
      </c>
      <c r="I711" s="23">
        <v>-28580.704712968371</v>
      </c>
      <c r="J711" s="23">
        <v>0</v>
      </c>
      <c r="K711" s="23">
        <v>0</v>
      </c>
    </row>
    <row r="712" spans="5:11">
      <c r="E712" s="62">
        <v>701</v>
      </c>
      <c r="F712" s="43">
        <v>0.46503330491803008</v>
      </c>
      <c r="G712" s="61">
        <v>76.564625247998507</v>
      </c>
      <c r="H712" s="23">
        <v>-28580.704712968371</v>
      </c>
      <c r="I712" s="23">
        <v>-28580.704712968371</v>
      </c>
      <c r="J712" s="23">
        <v>0</v>
      </c>
      <c r="K712" s="23">
        <v>0</v>
      </c>
    </row>
    <row r="713" spans="5:11">
      <c r="E713" s="62">
        <v>702</v>
      </c>
      <c r="F713" s="43">
        <v>0.81519941847399968</v>
      </c>
      <c r="G713" s="61">
        <v>33.406959622043409</v>
      </c>
      <c r="H713" s="23">
        <v>-28580.704712968371</v>
      </c>
      <c r="I713" s="23">
        <v>-28580.704712968371</v>
      </c>
      <c r="J713" s="23">
        <v>0</v>
      </c>
      <c r="K713" s="23">
        <v>0</v>
      </c>
    </row>
    <row r="714" spans="5:11">
      <c r="E714" s="62">
        <v>703</v>
      </c>
      <c r="F714" s="43">
        <v>0.18480058152600032</v>
      </c>
      <c r="G714" s="61">
        <v>168.84779729937884</v>
      </c>
      <c r="H714" s="23">
        <v>-28580.704712968371</v>
      </c>
      <c r="I714" s="23">
        <v>-28580.704712968371</v>
      </c>
      <c r="J714" s="23">
        <v>0</v>
      </c>
      <c r="K714" s="23">
        <v>0</v>
      </c>
    </row>
    <row r="715" spans="5:11">
      <c r="E715" s="62">
        <v>704</v>
      </c>
      <c r="F715" s="43">
        <v>0.82850674990247886</v>
      </c>
      <c r="G715" s="61">
        <v>99.465019083420444</v>
      </c>
      <c r="H715" s="23">
        <v>-28580.704712968371</v>
      </c>
      <c r="I715" s="23">
        <v>-28580.704712968371</v>
      </c>
      <c r="J715" s="23">
        <v>0</v>
      </c>
      <c r="K715" s="23">
        <v>0</v>
      </c>
    </row>
    <row r="716" spans="5:11">
      <c r="E716" s="62">
        <v>705</v>
      </c>
      <c r="F716" s="43">
        <v>0.17149325009752114</v>
      </c>
      <c r="G716" s="61">
        <v>176.32113711826366</v>
      </c>
      <c r="H716" s="23">
        <v>-28580.704712968371</v>
      </c>
      <c r="I716" s="23">
        <v>-28580.704712968371</v>
      </c>
      <c r="J716" s="23">
        <v>0</v>
      </c>
      <c r="K716" s="23">
        <v>0</v>
      </c>
    </row>
    <row r="717" spans="5:11">
      <c r="E717" s="62">
        <v>706</v>
      </c>
      <c r="F717" s="43">
        <v>0.58350589848620582</v>
      </c>
      <c r="G717" s="61">
        <v>132.00498527102056</v>
      </c>
      <c r="H717" s="23">
        <v>-28580.704712968371</v>
      </c>
      <c r="I717" s="23">
        <v>-28580.704712968371</v>
      </c>
      <c r="J717" s="23">
        <v>0</v>
      </c>
      <c r="K717" s="23">
        <v>0</v>
      </c>
    </row>
    <row r="718" spans="5:11">
      <c r="E718" s="62">
        <v>707</v>
      </c>
      <c r="F718" s="43">
        <v>0.41649410151379418</v>
      </c>
      <c r="G718" s="61">
        <v>87.588297950722875</v>
      </c>
      <c r="H718" s="23">
        <v>-28580.704712968371</v>
      </c>
      <c r="I718" s="23">
        <v>-28580.704712968371</v>
      </c>
      <c r="J718" s="23">
        <v>0</v>
      </c>
      <c r="K718" s="23">
        <v>0</v>
      </c>
    </row>
    <row r="719" spans="5:11">
      <c r="E719" s="62">
        <v>708</v>
      </c>
      <c r="F719" s="43">
        <v>0.70279533531024085</v>
      </c>
      <c r="G719" s="61">
        <v>103.05953863590666</v>
      </c>
      <c r="H719" s="23">
        <v>-28580.704712968371</v>
      </c>
      <c r="I719" s="23">
        <v>-28580.704712968371</v>
      </c>
      <c r="J719" s="23">
        <v>0</v>
      </c>
      <c r="K719" s="23">
        <v>0</v>
      </c>
    </row>
    <row r="720" spans="5:11">
      <c r="E720" s="62">
        <v>709</v>
      </c>
      <c r="F720" s="43">
        <v>0.29720466468975915</v>
      </c>
      <c r="G720" s="61">
        <v>121.33342708049115</v>
      </c>
      <c r="H720" s="23">
        <v>-28580.704712968371</v>
      </c>
      <c r="I720" s="23">
        <v>-28580.704712968371</v>
      </c>
      <c r="J720" s="23">
        <v>0</v>
      </c>
      <c r="K720" s="23">
        <v>0</v>
      </c>
    </row>
    <row r="721" spans="5:11">
      <c r="E721" s="62">
        <v>710</v>
      </c>
      <c r="F721" s="43">
        <v>0.86407169875973855</v>
      </c>
      <c r="G721" s="61">
        <v>18.109066431780025</v>
      </c>
      <c r="H721" s="23">
        <v>-28580.704712968371</v>
      </c>
      <c r="I721" s="23">
        <v>-28580.704712968371</v>
      </c>
      <c r="J721" s="23">
        <v>0</v>
      </c>
      <c r="K721" s="23">
        <v>0</v>
      </c>
    </row>
    <row r="722" spans="5:11">
      <c r="E722" s="62">
        <v>711</v>
      </c>
      <c r="F722" s="43">
        <v>0.13592830124026145</v>
      </c>
      <c r="G722" s="61">
        <v>199.56277290259436</v>
      </c>
      <c r="H722" s="23">
        <v>-28580.704712968371</v>
      </c>
      <c r="I722" s="23">
        <v>-28580.704712968371</v>
      </c>
      <c r="J722" s="23">
        <v>0</v>
      </c>
      <c r="K722" s="23">
        <v>0</v>
      </c>
    </row>
    <row r="723" spans="5:11">
      <c r="E723" s="62">
        <v>712</v>
      </c>
      <c r="F723" s="43">
        <v>0.80299878616306652</v>
      </c>
      <c r="G723" s="61">
        <v>139.73395785380075</v>
      </c>
      <c r="H723" s="23">
        <v>-28580.704712968371</v>
      </c>
      <c r="I723" s="23">
        <v>-28580.704712968371</v>
      </c>
      <c r="J723" s="23">
        <v>0</v>
      </c>
      <c r="K723" s="23">
        <v>0</v>
      </c>
    </row>
    <row r="724" spans="5:11">
      <c r="E724" s="62">
        <v>713</v>
      </c>
      <c r="F724" s="43">
        <v>0.19700121383693348</v>
      </c>
      <c r="G724" s="61">
        <v>162.45453886543316</v>
      </c>
      <c r="H724" s="23">
        <v>-28580.704712968371</v>
      </c>
      <c r="I724" s="23">
        <v>-28580.704712968371</v>
      </c>
      <c r="J724" s="23">
        <v>0</v>
      </c>
      <c r="K724" s="23">
        <v>0</v>
      </c>
    </row>
    <row r="725" spans="5:11">
      <c r="E725" s="62">
        <v>714</v>
      </c>
      <c r="F725" s="43">
        <v>0.71109565460208535</v>
      </c>
      <c r="G725" s="61">
        <v>23.553660429190366</v>
      </c>
      <c r="H725" s="23">
        <v>-28580.704712968371</v>
      </c>
      <c r="I725" s="23">
        <v>-28580.704712968371</v>
      </c>
      <c r="J725" s="23">
        <v>0</v>
      </c>
      <c r="K725" s="23">
        <v>0</v>
      </c>
    </row>
    <row r="726" spans="5:11">
      <c r="E726" s="62">
        <v>715</v>
      </c>
      <c r="F726" s="43">
        <v>0.28890434539791465</v>
      </c>
      <c r="G726" s="61">
        <v>124.16596304395597</v>
      </c>
      <c r="H726" s="23">
        <v>-28580.704712968371</v>
      </c>
      <c r="I726" s="23">
        <v>-28580.704712968371</v>
      </c>
      <c r="J726" s="23">
        <v>0</v>
      </c>
      <c r="K726" s="23">
        <v>0</v>
      </c>
    </row>
    <row r="727" spans="5:11">
      <c r="E727" s="62">
        <v>716</v>
      </c>
      <c r="F727" s="43">
        <v>0.34406717801328612</v>
      </c>
      <c r="G727" s="61">
        <v>180.02042017377912</v>
      </c>
      <c r="H727" s="23">
        <v>-28580.704712968371</v>
      </c>
      <c r="I727" s="23">
        <v>-28580.704712968371</v>
      </c>
      <c r="J727" s="23">
        <v>0</v>
      </c>
      <c r="K727" s="23">
        <v>0</v>
      </c>
    </row>
    <row r="728" spans="5:11">
      <c r="E728" s="62">
        <v>717</v>
      </c>
      <c r="F728" s="43">
        <v>0.65593282198671388</v>
      </c>
      <c r="G728" s="61">
        <v>42.169690078990818</v>
      </c>
      <c r="H728" s="23">
        <v>-28580.704712968371</v>
      </c>
      <c r="I728" s="23">
        <v>-28580.704712968371</v>
      </c>
      <c r="J728" s="23">
        <v>0</v>
      </c>
      <c r="K728" s="23">
        <v>0</v>
      </c>
    </row>
    <row r="729" spans="5:11">
      <c r="E729" s="62">
        <v>718</v>
      </c>
      <c r="F729" s="43">
        <v>0.30806245304179136</v>
      </c>
      <c r="G729" s="61">
        <v>309.05411498984887</v>
      </c>
      <c r="H729" s="23">
        <v>-28580.704712968371</v>
      </c>
      <c r="I729" s="23">
        <v>-28580.704712968371</v>
      </c>
      <c r="J729" s="23">
        <v>0</v>
      </c>
      <c r="K729" s="23">
        <v>0</v>
      </c>
    </row>
    <row r="730" spans="5:11">
      <c r="E730" s="62">
        <v>719</v>
      </c>
      <c r="F730" s="43">
        <v>0.69193754695820864</v>
      </c>
      <c r="G730" s="61">
        <v>36.825957749764136</v>
      </c>
      <c r="H730" s="23">
        <v>-28580.704712968371</v>
      </c>
      <c r="I730" s="23">
        <v>-28580.704712968371</v>
      </c>
      <c r="J730" s="23">
        <v>0</v>
      </c>
      <c r="K730" s="23">
        <v>0</v>
      </c>
    </row>
    <row r="731" spans="5:11">
      <c r="E731" s="62">
        <v>720</v>
      </c>
      <c r="F731" s="43">
        <v>0.31547702133866562</v>
      </c>
      <c r="G731" s="61">
        <v>250.95910494452912</v>
      </c>
      <c r="H731" s="23">
        <v>-28580.704712968371</v>
      </c>
      <c r="I731" s="23">
        <v>-28580.704712968371</v>
      </c>
      <c r="J731" s="23">
        <v>0</v>
      </c>
      <c r="K731" s="23">
        <v>0</v>
      </c>
    </row>
    <row r="732" spans="5:11">
      <c r="E732" s="62">
        <v>721</v>
      </c>
      <c r="F732" s="43">
        <v>0.68452297866133438</v>
      </c>
      <c r="G732" s="61">
        <v>37.90330648224483</v>
      </c>
      <c r="H732" s="23">
        <v>-28580.704712968371</v>
      </c>
      <c r="I732" s="23">
        <v>-28580.704712968371</v>
      </c>
      <c r="J732" s="23">
        <v>0</v>
      </c>
      <c r="K732" s="23">
        <v>0</v>
      </c>
    </row>
    <row r="733" spans="5:11">
      <c r="E733" s="62">
        <v>722</v>
      </c>
      <c r="F733" s="43">
        <v>0.12365347206510191</v>
      </c>
      <c r="G733" s="61">
        <v>146.60942658055461</v>
      </c>
      <c r="H733" s="23">
        <v>-28580.704712968371</v>
      </c>
      <c r="I733" s="23">
        <v>-28580.704712968371</v>
      </c>
      <c r="J733" s="23">
        <v>0</v>
      </c>
      <c r="K733" s="23">
        <v>0</v>
      </c>
    </row>
    <row r="734" spans="5:11">
      <c r="E734" s="62">
        <v>723</v>
      </c>
      <c r="F734" s="43">
        <v>0.87634652793489809</v>
      </c>
      <c r="G734" s="61">
        <v>13.199368643246196</v>
      </c>
      <c r="H734" s="23">
        <v>-28580.704712968371</v>
      </c>
      <c r="I734" s="23">
        <v>-28580.704712968371</v>
      </c>
      <c r="J734" s="23">
        <v>0</v>
      </c>
      <c r="K734" s="23">
        <v>0</v>
      </c>
    </row>
    <row r="735" spans="5:11">
      <c r="E735" s="62">
        <v>724</v>
      </c>
      <c r="F735" s="43">
        <v>0.57557374379056281</v>
      </c>
      <c r="G735" s="61">
        <v>3.2900287221265652</v>
      </c>
      <c r="H735" s="23">
        <v>542603.17541906552</v>
      </c>
      <c r="I735" s="23">
        <v>-18878.351049695419</v>
      </c>
      <c r="J735" s="23">
        <v>-702.73032098718511</v>
      </c>
      <c r="K735" s="23">
        <v>562184.25678974809</v>
      </c>
    </row>
    <row r="736" spans="5:11">
      <c r="E736" s="62">
        <v>725</v>
      </c>
      <c r="F736" s="43">
        <v>0.42442625620943719</v>
      </c>
      <c r="G736" s="61">
        <v>85.701700749848541</v>
      </c>
      <c r="H736" s="23">
        <v>-28580.704712968371</v>
      </c>
      <c r="I736" s="23">
        <v>-28580.704712968371</v>
      </c>
      <c r="J736" s="23">
        <v>0</v>
      </c>
      <c r="K736" s="23">
        <v>0</v>
      </c>
    </row>
    <row r="737" spans="5:11">
      <c r="E737" s="62">
        <v>726</v>
      </c>
      <c r="F737" s="43">
        <v>0.49153802699022686</v>
      </c>
      <c r="G737" s="61">
        <v>32.746377819177965</v>
      </c>
      <c r="H737" s="23">
        <v>-28580.704712968371</v>
      </c>
      <c r="I737" s="23">
        <v>-28580.704712968371</v>
      </c>
      <c r="J737" s="23">
        <v>0</v>
      </c>
      <c r="K737" s="23">
        <v>0</v>
      </c>
    </row>
    <row r="738" spans="5:11">
      <c r="E738" s="62">
        <v>727</v>
      </c>
      <c r="F738" s="43">
        <v>0.50846197300977314</v>
      </c>
      <c r="G738" s="61">
        <v>67.636484896486508</v>
      </c>
      <c r="H738" s="23">
        <v>-28580.704712968371</v>
      </c>
      <c r="I738" s="23">
        <v>-28580.704712968371</v>
      </c>
      <c r="J738" s="23">
        <v>0</v>
      </c>
      <c r="K738" s="23">
        <v>0</v>
      </c>
    </row>
    <row r="739" spans="5:11">
      <c r="E739" s="62">
        <v>728</v>
      </c>
      <c r="F739" s="43">
        <v>0.84011649419189083</v>
      </c>
      <c r="G739" s="61">
        <v>27.878963267881655</v>
      </c>
      <c r="H739" s="23">
        <v>-28580.704712968371</v>
      </c>
      <c r="I739" s="23">
        <v>-28580.704712968371</v>
      </c>
      <c r="J739" s="23">
        <v>0</v>
      </c>
      <c r="K739" s="23">
        <v>0</v>
      </c>
    </row>
    <row r="740" spans="5:11">
      <c r="E740" s="62">
        <v>729</v>
      </c>
      <c r="F740" s="43">
        <v>0.15988350580810917</v>
      </c>
      <c r="G740" s="61">
        <v>183.33098176329315</v>
      </c>
      <c r="H740" s="23">
        <v>-28580.704712968371</v>
      </c>
      <c r="I740" s="23">
        <v>-28580.704712968371</v>
      </c>
      <c r="J740" s="23">
        <v>0</v>
      </c>
      <c r="K740" s="23">
        <v>0</v>
      </c>
    </row>
    <row r="741" spans="5:11">
      <c r="E741" s="62">
        <v>730</v>
      </c>
      <c r="F741" s="43">
        <v>0.60842766781167812</v>
      </c>
      <c r="G741" s="61">
        <v>63.445813021608295</v>
      </c>
      <c r="H741" s="23">
        <v>-28580.704712968371</v>
      </c>
      <c r="I741" s="23">
        <v>-28580.704712968371</v>
      </c>
      <c r="J741" s="23">
        <v>0</v>
      </c>
      <c r="K741" s="23">
        <v>0</v>
      </c>
    </row>
    <row r="742" spans="5:11">
      <c r="E742" s="62">
        <v>731</v>
      </c>
      <c r="F742" s="43">
        <v>0.39157233218832188</v>
      </c>
      <c r="G742" s="61">
        <v>93.758502406923043</v>
      </c>
      <c r="H742" s="23">
        <v>-28580.704712968371</v>
      </c>
      <c r="I742" s="23">
        <v>-28580.704712968371</v>
      </c>
      <c r="J742" s="23">
        <v>0</v>
      </c>
      <c r="K742" s="23">
        <v>0</v>
      </c>
    </row>
    <row r="743" spans="5:11">
      <c r="E743" s="62">
        <v>732</v>
      </c>
      <c r="F743" s="43">
        <v>0.3751813424139544</v>
      </c>
      <c r="G743" s="61">
        <v>27.536419728051829</v>
      </c>
      <c r="H743" s="23">
        <v>-28580.704712968371</v>
      </c>
      <c r="I743" s="23">
        <v>-28580.704712968371</v>
      </c>
      <c r="J743" s="23">
        <v>0</v>
      </c>
      <c r="K743" s="23">
        <v>0</v>
      </c>
    </row>
    <row r="744" spans="5:11">
      <c r="E744" s="62">
        <v>733</v>
      </c>
      <c r="F744" s="43">
        <v>0.6248186575860456</v>
      </c>
      <c r="G744" s="61">
        <v>47.029381920909742</v>
      </c>
      <c r="H744" s="23">
        <v>-28580.704712968371</v>
      </c>
      <c r="I744" s="23">
        <v>-28580.704712968371</v>
      </c>
      <c r="J744" s="23">
        <v>0</v>
      </c>
      <c r="K744" s="23">
        <v>0</v>
      </c>
    </row>
    <row r="745" spans="5:11">
      <c r="E745" s="62">
        <v>734</v>
      </c>
      <c r="F745" s="43">
        <v>0.90400332997700605</v>
      </c>
      <c r="G745" s="61">
        <v>120.33761720469833</v>
      </c>
      <c r="H745" s="23">
        <v>-28580.704712968371</v>
      </c>
      <c r="I745" s="23">
        <v>-28580.704712968371</v>
      </c>
      <c r="J745" s="23">
        <v>0</v>
      </c>
      <c r="K745" s="23">
        <v>0</v>
      </c>
    </row>
    <row r="746" spans="5:11">
      <c r="E746" s="62">
        <v>735</v>
      </c>
      <c r="F746" s="43">
        <v>9.5996670022993946E-2</v>
      </c>
      <c r="G746" s="61">
        <v>234.34417753763975</v>
      </c>
      <c r="H746" s="23">
        <v>-28580.704712968371</v>
      </c>
      <c r="I746" s="23">
        <v>-28580.704712968371</v>
      </c>
      <c r="J746" s="23">
        <v>0</v>
      </c>
      <c r="K746" s="23">
        <v>0</v>
      </c>
    </row>
    <row r="747" spans="5:11">
      <c r="E747" s="62">
        <v>736</v>
      </c>
      <c r="F747" s="43">
        <v>0.6757604182936422</v>
      </c>
      <c r="G747" s="61">
        <v>43.351058380894997</v>
      </c>
      <c r="H747" s="23">
        <v>-28580.704712968371</v>
      </c>
      <c r="I747" s="23">
        <v>-28580.704712968371</v>
      </c>
      <c r="J747" s="23">
        <v>0</v>
      </c>
      <c r="K747" s="23">
        <v>0</v>
      </c>
    </row>
    <row r="748" spans="5:11">
      <c r="E748" s="62">
        <v>737</v>
      </c>
      <c r="F748" s="43">
        <v>0.3242395817063578</v>
      </c>
      <c r="G748" s="61">
        <v>112.62725867370655</v>
      </c>
      <c r="H748" s="23">
        <v>-28580.704712968371</v>
      </c>
      <c r="I748" s="23">
        <v>-28580.704712968371</v>
      </c>
      <c r="J748" s="23">
        <v>0</v>
      </c>
      <c r="K748" s="23">
        <v>0</v>
      </c>
    </row>
    <row r="749" spans="5:11">
      <c r="E749" s="62">
        <v>738</v>
      </c>
      <c r="F749" s="43">
        <v>0.90968110272378044</v>
      </c>
      <c r="G749" s="61">
        <v>72.340693092514982</v>
      </c>
      <c r="H749" s="23">
        <v>-28580.704712968371</v>
      </c>
      <c r="I749" s="23">
        <v>-28580.704712968371</v>
      </c>
      <c r="J749" s="23">
        <v>0</v>
      </c>
      <c r="K749" s="23">
        <v>0</v>
      </c>
    </row>
    <row r="750" spans="5:11">
      <c r="E750" s="62">
        <v>739</v>
      </c>
      <c r="F750" s="43">
        <v>9.0318897276219556E-2</v>
      </c>
      <c r="G750" s="61">
        <v>240.44085682916617</v>
      </c>
      <c r="H750" s="23">
        <v>-28580.704712968371</v>
      </c>
      <c r="I750" s="23">
        <v>-28580.704712968371</v>
      </c>
      <c r="J750" s="23">
        <v>0</v>
      </c>
      <c r="K750" s="23">
        <v>0</v>
      </c>
    </row>
    <row r="751" spans="5:11">
      <c r="E751" s="62">
        <v>740</v>
      </c>
      <c r="F751" s="43">
        <v>0.16935321047718221</v>
      </c>
      <c r="G751" s="61">
        <v>54.712943245598076</v>
      </c>
      <c r="H751" s="23">
        <v>-28580.704712968371</v>
      </c>
      <c r="I751" s="23">
        <v>-28580.704712968371</v>
      </c>
      <c r="J751" s="23">
        <v>0</v>
      </c>
      <c r="K751" s="23">
        <v>0</v>
      </c>
    </row>
    <row r="752" spans="5:11">
      <c r="E752" s="62">
        <v>741</v>
      </c>
      <c r="F752" s="43">
        <v>0.83064678952281779</v>
      </c>
      <c r="G752" s="61">
        <v>18.555061717509506</v>
      </c>
      <c r="H752" s="23">
        <v>-28580.704712968371</v>
      </c>
      <c r="I752" s="23">
        <v>-28580.704712968371</v>
      </c>
      <c r="J752" s="23">
        <v>0</v>
      </c>
      <c r="K752" s="23">
        <v>0</v>
      </c>
    </row>
    <row r="753" spans="5:11">
      <c r="E753" s="62">
        <v>742</v>
      </c>
      <c r="F753" s="43">
        <v>0.33789424682794778</v>
      </c>
      <c r="G753" s="61">
        <v>46.212822752952505</v>
      </c>
      <c r="H753" s="23">
        <v>-28580.704712968371</v>
      </c>
      <c r="I753" s="23">
        <v>-28580.704712968371</v>
      </c>
      <c r="J753" s="23">
        <v>0</v>
      </c>
      <c r="K753" s="23">
        <v>0</v>
      </c>
    </row>
    <row r="754" spans="5:11">
      <c r="E754" s="62">
        <v>743</v>
      </c>
      <c r="F754" s="43">
        <v>0.66210575317205222</v>
      </c>
      <c r="G754" s="61">
        <v>41.232998780944428</v>
      </c>
      <c r="H754" s="23">
        <v>-28580.704712968371</v>
      </c>
      <c r="I754" s="23">
        <v>-28580.704712968371</v>
      </c>
      <c r="J754" s="23">
        <v>0</v>
      </c>
      <c r="K754" s="23">
        <v>0</v>
      </c>
    </row>
    <row r="755" spans="5:11">
      <c r="E755" s="62">
        <v>744</v>
      </c>
      <c r="F755" s="43">
        <v>0.45877511215348588</v>
      </c>
      <c r="G755" s="61">
        <v>42.805583949740225</v>
      </c>
      <c r="H755" s="23">
        <v>-28580.704712968371</v>
      </c>
      <c r="I755" s="23">
        <v>-28580.704712968371</v>
      </c>
      <c r="J755" s="23">
        <v>0</v>
      </c>
      <c r="K755" s="23">
        <v>0</v>
      </c>
    </row>
    <row r="756" spans="5:11">
      <c r="E756" s="62">
        <v>745</v>
      </c>
      <c r="F756" s="43">
        <v>0.54122488784651412</v>
      </c>
      <c r="G756" s="61">
        <v>61.392039733021896</v>
      </c>
      <c r="H756" s="23">
        <v>-28580.704712968371</v>
      </c>
      <c r="I756" s="23">
        <v>-28580.704712968371</v>
      </c>
      <c r="J756" s="23">
        <v>0</v>
      </c>
      <c r="K756" s="23">
        <v>0</v>
      </c>
    </row>
    <row r="757" spans="5:11">
      <c r="E757" s="62">
        <v>746</v>
      </c>
      <c r="F757" s="43">
        <v>0.10770488586545246</v>
      </c>
      <c r="G757" s="61">
        <v>48.93053974361559</v>
      </c>
      <c r="H757" s="23">
        <v>-28580.704712968371</v>
      </c>
      <c r="I757" s="23">
        <v>-28580.704712968371</v>
      </c>
      <c r="J757" s="23">
        <v>0</v>
      </c>
      <c r="K757" s="23">
        <v>0</v>
      </c>
    </row>
    <row r="758" spans="5:11">
      <c r="E758" s="62">
        <v>747</v>
      </c>
      <c r="F758" s="43">
        <v>0.89229511413454754</v>
      </c>
      <c r="G758" s="61">
        <v>11.395835567709485</v>
      </c>
      <c r="H758" s="23">
        <v>-28580.704712968371</v>
      </c>
      <c r="I758" s="23">
        <v>-28580.704712968371</v>
      </c>
      <c r="J758" s="23">
        <v>0</v>
      </c>
      <c r="K758" s="23">
        <v>0</v>
      </c>
    </row>
    <row r="759" spans="5:11">
      <c r="E759" s="62">
        <v>748</v>
      </c>
      <c r="F759" s="43">
        <v>0.41196292421570602</v>
      </c>
      <c r="G759" s="61">
        <v>261.44472488871907</v>
      </c>
      <c r="H759" s="23">
        <v>-28580.704712968371</v>
      </c>
      <c r="I759" s="23">
        <v>-28580.704712968371</v>
      </c>
      <c r="J759" s="23">
        <v>0</v>
      </c>
      <c r="K759" s="23">
        <v>0</v>
      </c>
    </row>
    <row r="760" spans="5:11">
      <c r="E760" s="62">
        <v>749</v>
      </c>
      <c r="F760" s="43">
        <v>0.58803707578429398</v>
      </c>
      <c r="G760" s="61">
        <v>53.096527901641174</v>
      </c>
      <c r="H760" s="23">
        <v>-28580.704712968371</v>
      </c>
      <c r="I760" s="23">
        <v>-28580.704712968371</v>
      </c>
      <c r="J760" s="23">
        <v>0</v>
      </c>
      <c r="K760" s="23">
        <v>0</v>
      </c>
    </row>
    <row r="761" spans="5:11">
      <c r="E761" s="62">
        <v>750</v>
      </c>
      <c r="F761" s="43">
        <v>0.7575938155662888</v>
      </c>
      <c r="G761" s="61">
        <v>53.715647695831848</v>
      </c>
      <c r="H761" s="23">
        <v>-28580.704712968371</v>
      </c>
      <c r="I761" s="23">
        <v>-28580.704712968371</v>
      </c>
      <c r="J761" s="23">
        <v>0</v>
      </c>
      <c r="K761" s="23">
        <v>0</v>
      </c>
    </row>
    <row r="762" spans="5:11">
      <c r="E762" s="62">
        <v>751</v>
      </c>
      <c r="F762" s="43">
        <v>0.2424061844337112</v>
      </c>
      <c r="G762" s="61">
        <v>141.71405117720445</v>
      </c>
      <c r="H762" s="23">
        <v>-28580.704712968371</v>
      </c>
      <c r="I762" s="23">
        <v>-28580.704712968371</v>
      </c>
      <c r="J762" s="23">
        <v>0</v>
      </c>
      <c r="K762" s="23">
        <v>0</v>
      </c>
    </row>
    <row r="763" spans="5:11">
      <c r="E763" s="62">
        <v>752</v>
      </c>
      <c r="F763" s="43">
        <v>0.84182930754892105</v>
      </c>
      <c r="G763" s="61">
        <v>38.729589089170311</v>
      </c>
      <c r="H763" s="23">
        <v>-28580.704712968371</v>
      </c>
      <c r="I763" s="23">
        <v>-28580.704712968371</v>
      </c>
      <c r="J763" s="23">
        <v>0</v>
      </c>
      <c r="K763" s="23">
        <v>0</v>
      </c>
    </row>
    <row r="764" spans="5:11">
      <c r="E764" s="62">
        <v>753</v>
      </c>
      <c r="F764" s="43">
        <v>0.15817069245107895</v>
      </c>
      <c r="G764" s="61">
        <v>184.40804971249463</v>
      </c>
      <c r="H764" s="23">
        <v>-28580.704712968371</v>
      </c>
      <c r="I764" s="23">
        <v>-28580.704712968371</v>
      </c>
      <c r="J764" s="23">
        <v>0</v>
      </c>
      <c r="K764" s="23">
        <v>0</v>
      </c>
    </row>
    <row r="765" spans="5:11">
      <c r="E765" s="62">
        <v>754</v>
      </c>
      <c r="F765" s="43">
        <v>0.54065251242015855</v>
      </c>
      <c r="G765" s="61">
        <v>14.099745096646062</v>
      </c>
      <c r="H765" s="23">
        <v>-28580.704712968371</v>
      </c>
      <c r="I765" s="23">
        <v>-28580.704712968371</v>
      </c>
      <c r="J765" s="23">
        <v>0</v>
      </c>
      <c r="K765" s="23">
        <v>0</v>
      </c>
    </row>
    <row r="766" spans="5:11">
      <c r="E766" s="62">
        <v>755</v>
      </c>
      <c r="F766" s="43">
        <v>0.45934748757984145</v>
      </c>
      <c r="G766" s="61">
        <v>77.794830179123053</v>
      </c>
      <c r="H766" s="23">
        <v>-28580.704712968371</v>
      </c>
      <c r="I766" s="23">
        <v>-28580.704712968371</v>
      </c>
      <c r="J766" s="23">
        <v>0</v>
      </c>
      <c r="K766" s="23">
        <v>0</v>
      </c>
    </row>
    <row r="767" spans="5:11">
      <c r="E767" s="62">
        <v>756</v>
      </c>
      <c r="F767" s="43">
        <v>0.6218919094807861</v>
      </c>
      <c r="G767" s="61">
        <v>10.191103892006293</v>
      </c>
      <c r="H767" s="23">
        <v>-28580.704712968371</v>
      </c>
      <c r="I767" s="23">
        <v>-28580.704712968371</v>
      </c>
      <c r="J767" s="23">
        <v>0</v>
      </c>
      <c r="K767" s="23">
        <v>0</v>
      </c>
    </row>
    <row r="768" spans="5:11">
      <c r="E768" s="62">
        <v>757</v>
      </c>
      <c r="F768" s="43">
        <v>0.3781080905192139</v>
      </c>
      <c r="G768" s="61">
        <v>97.257517048499764</v>
      </c>
      <c r="H768" s="23">
        <v>-28580.704712968371</v>
      </c>
      <c r="I768" s="23">
        <v>-28580.704712968371</v>
      </c>
      <c r="J768" s="23">
        <v>0</v>
      </c>
      <c r="K768" s="23">
        <v>0</v>
      </c>
    </row>
    <row r="769" spans="5:11">
      <c r="E769" s="62">
        <v>758</v>
      </c>
      <c r="F769" s="43">
        <v>0.63907737067588077</v>
      </c>
      <c r="G769" s="61">
        <v>96.436913056651917</v>
      </c>
      <c r="H769" s="23">
        <v>-28580.704712968371</v>
      </c>
      <c r="I769" s="23">
        <v>-28580.704712968371</v>
      </c>
      <c r="J769" s="23">
        <v>0</v>
      </c>
      <c r="K769" s="23">
        <v>0</v>
      </c>
    </row>
    <row r="770" spans="5:11">
      <c r="E770" s="62">
        <v>759</v>
      </c>
      <c r="F770" s="43">
        <v>0.36092262932411923</v>
      </c>
      <c r="G770" s="61">
        <v>101.90916668216414</v>
      </c>
      <c r="H770" s="23">
        <v>-28580.704712968371</v>
      </c>
      <c r="I770" s="23">
        <v>-28580.704712968371</v>
      </c>
      <c r="J770" s="23">
        <v>0</v>
      </c>
      <c r="K770" s="23">
        <v>0</v>
      </c>
    </row>
    <row r="771" spans="5:11">
      <c r="E771" s="62">
        <v>760</v>
      </c>
      <c r="F771" s="43">
        <v>1.5184565126465932E-2</v>
      </c>
      <c r="G771" s="61">
        <v>49.896623251079717</v>
      </c>
      <c r="H771" s="23">
        <v>-28580.704712968371</v>
      </c>
      <c r="I771" s="23">
        <v>-28580.704712968371</v>
      </c>
      <c r="J771" s="23">
        <v>0</v>
      </c>
      <c r="K771" s="23">
        <v>0</v>
      </c>
    </row>
    <row r="772" spans="5:11">
      <c r="E772" s="62">
        <v>761</v>
      </c>
      <c r="F772" s="43">
        <v>0.98481543487353407</v>
      </c>
      <c r="G772" s="61">
        <v>1.5301031129989218</v>
      </c>
      <c r="H772" s="23">
        <v>571203.45969712711</v>
      </c>
      <c r="I772" s="23">
        <v>-8854.9897167272156</v>
      </c>
      <c r="J772" s="23">
        <v>-725.9805374391168</v>
      </c>
      <c r="K772" s="23">
        <v>580784.42995129339</v>
      </c>
    </row>
    <row r="773" spans="5:11">
      <c r="E773" s="62">
        <v>762</v>
      </c>
      <c r="F773" s="43">
        <v>6.3911059198094033E-3</v>
      </c>
      <c r="G773" s="61">
        <v>16.86114607079184</v>
      </c>
      <c r="H773" s="23">
        <v>-28580.704712968371</v>
      </c>
      <c r="I773" s="23">
        <v>-28580.704712968371</v>
      </c>
      <c r="J773" s="23">
        <v>0</v>
      </c>
      <c r="K773" s="23">
        <v>0</v>
      </c>
    </row>
    <row r="774" spans="5:11">
      <c r="E774" s="62">
        <v>763</v>
      </c>
      <c r="F774" s="43">
        <v>0.9936088940801906</v>
      </c>
      <c r="G774" s="61">
        <v>0.64116164740341086</v>
      </c>
      <c r="H774" s="23">
        <v>587969.34422720561</v>
      </c>
      <c r="I774" s="23">
        <v>-2979.1558586454516</v>
      </c>
      <c r="J774" s="23">
        <v>-739.61013777953815</v>
      </c>
      <c r="K774" s="23">
        <v>591688.11022363056</v>
      </c>
    </row>
    <row r="775" spans="5:11">
      <c r="E775" s="62">
        <v>764</v>
      </c>
      <c r="F775" s="43">
        <v>0.93741550383058581</v>
      </c>
      <c r="G775" s="61">
        <v>30.084692685923862</v>
      </c>
      <c r="H775" s="23">
        <v>-28580.704712968371</v>
      </c>
      <c r="I775" s="23">
        <v>-28580.704712968371</v>
      </c>
      <c r="J775" s="23">
        <v>0</v>
      </c>
      <c r="K775" s="23">
        <v>0</v>
      </c>
    </row>
    <row r="776" spans="5:11">
      <c r="E776" s="62">
        <v>765</v>
      </c>
      <c r="F776" s="43">
        <v>6.2584496169414194E-2</v>
      </c>
      <c r="G776" s="61">
        <v>277.12376965754635</v>
      </c>
      <c r="H776" s="23">
        <v>-28580.704712968371</v>
      </c>
      <c r="I776" s="23">
        <v>-28580.704712968371</v>
      </c>
      <c r="J776" s="23">
        <v>0</v>
      </c>
      <c r="K776" s="23">
        <v>0</v>
      </c>
    </row>
    <row r="777" spans="5:11">
      <c r="E777" s="62">
        <v>766</v>
      </c>
      <c r="F777" s="43">
        <v>0.97749142261451694</v>
      </c>
      <c r="G777" s="61">
        <v>296.42387467125167</v>
      </c>
      <c r="H777" s="23">
        <v>-28580.704712968371</v>
      </c>
      <c r="I777" s="23">
        <v>-28580.704712968371</v>
      </c>
      <c r="J777" s="23">
        <v>0</v>
      </c>
      <c r="K777" s="23">
        <v>0</v>
      </c>
    </row>
    <row r="778" spans="5:11">
      <c r="E778" s="62">
        <v>767</v>
      </c>
      <c r="F778" s="43">
        <v>2.2508577385483064E-2</v>
      </c>
      <c r="G778" s="61">
        <v>379.38588252839713</v>
      </c>
      <c r="H778" s="23">
        <v>-28580.704712968371</v>
      </c>
      <c r="I778" s="23">
        <v>-28580.704712968371</v>
      </c>
      <c r="J778" s="23">
        <v>0</v>
      </c>
      <c r="K778" s="23">
        <v>0</v>
      </c>
    </row>
    <row r="779" spans="5:11">
      <c r="E779" s="62">
        <v>768</v>
      </c>
      <c r="F779" s="43">
        <v>0.46700377293739581</v>
      </c>
      <c r="G779" s="61">
        <v>462.64074892093464</v>
      </c>
      <c r="H779" s="23">
        <v>-28580.704712968371</v>
      </c>
      <c r="I779" s="23">
        <v>-28580.704712968371</v>
      </c>
      <c r="J779" s="23">
        <v>0</v>
      </c>
      <c r="K779" s="23">
        <v>0</v>
      </c>
    </row>
    <row r="780" spans="5:11">
      <c r="E780" s="62">
        <v>769</v>
      </c>
      <c r="F780" s="43">
        <v>0.53299622706260419</v>
      </c>
      <c r="G780" s="61">
        <v>62.924093352313982</v>
      </c>
      <c r="H780" s="23">
        <v>-28580.704712968371</v>
      </c>
      <c r="I780" s="23">
        <v>-28580.704712968371</v>
      </c>
      <c r="J780" s="23">
        <v>0</v>
      </c>
      <c r="K780" s="23">
        <v>0</v>
      </c>
    </row>
    <row r="781" spans="5:11">
      <c r="E781" s="62">
        <v>770</v>
      </c>
      <c r="F781" s="43">
        <v>0.45433733643780216</v>
      </c>
      <c r="G781" s="61">
        <v>121.45912633797626</v>
      </c>
      <c r="H781" s="23">
        <v>-28580.704712968371</v>
      </c>
      <c r="I781" s="23">
        <v>-28580.704712968371</v>
      </c>
      <c r="J781" s="23">
        <v>0</v>
      </c>
      <c r="K781" s="23">
        <v>0</v>
      </c>
    </row>
    <row r="782" spans="5:11">
      <c r="E782" s="62">
        <v>771</v>
      </c>
      <c r="F782" s="43">
        <v>0.54566266356219784</v>
      </c>
      <c r="G782" s="61">
        <v>60.575432647792546</v>
      </c>
      <c r="H782" s="23">
        <v>-28580.704712968371</v>
      </c>
      <c r="I782" s="23">
        <v>-28580.704712968371</v>
      </c>
      <c r="J782" s="23">
        <v>0</v>
      </c>
      <c r="K782" s="23">
        <v>0</v>
      </c>
    </row>
    <row r="783" spans="5:11">
      <c r="E783" s="62">
        <v>772</v>
      </c>
      <c r="F783" s="43">
        <v>0.69650858732628673</v>
      </c>
      <c r="G783" s="61">
        <v>161.01816105492762</v>
      </c>
      <c r="H783" s="23">
        <v>-28580.704712968371</v>
      </c>
      <c r="I783" s="23">
        <v>-28580.704712968371</v>
      </c>
      <c r="J783" s="23">
        <v>0</v>
      </c>
      <c r="K783" s="23">
        <v>0</v>
      </c>
    </row>
    <row r="784" spans="5:11">
      <c r="E784" s="62">
        <v>773</v>
      </c>
      <c r="F784" s="43">
        <v>0.30349141267371327</v>
      </c>
      <c r="G784" s="61">
        <v>119.24019632034252</v>
      </c>
      <c r="H784" s="23">
        <v>-28580.704712968371</v>
      </c>
      <c r="I784" s="23">
        <v>-28580.704712968371</v>
      </c>
      <c r="J784" s="23">
        <v>0</v>
      </c>
      <c r="K784" s="23">
        <v>0</v>
      </c>
    </row>
    <row r="785" spans="5:11">
      <c r="E785" s="62">
        <v>774</v>
      </c>
      <c r="F785" s="43">
        <v>0.41362754421173298</v>
      </c>
      <c r="G785" s="61">
        <v>18.920938777100709</v>
      </c>
      <c r="H785" s="23">
        <v>-28580.704712968371</v>
      </c>
      <c r="I785" s="23">
        <v>-28580.704712968371</v>
      </c>
      <c r="J785" s="23">
        <v>0</v>
      </c>
      <c r="K785" s="23">
        <v>0</v>
      </c>
    </row>
    <row r="786" spans="5:11">
      <c r="E786" s="62">
        <v>775</v>
      </c>
      <c r="F786" s="43">
        <v>0.58637245578826702</v>
      </c>
      <c r="G786" s="61">
        <v>53.380010122458721</v>
      </c>
      <c r="H786" s="23">
        <v>-28580.704712968371</v>
      </c>
      <c r="I786" s="23">
        <v>-28580.704712968371</v>
      </c>
      <c r="J786" s="23">
        <v>0</v>
      </c>
      <c r="K786" s="23">
        <v>0</v>
      </c>
    </row>
    <row r="787" spans="5:11">
      <c r="E787" s="62">
        <v>776</v>
      </c>
      <c r="F787" s="43">
        <v>0.52816908620874137</v>
      </c>
      <c r="G787" s="61">
        <v>74.576720291058592</v>
      </c>
      <c r="H787" s="23">
        <v>-28580.704712968371</v>
      </c>
      <c r="I787" s="23">
        <v>-28580.704712968371</v>
      </c>
      <c r="J787" s="23">
        <v>0</v>
      </c>
      <c r="K787" s="23">
        <v>0</v>
      </c>
    </row>
    <row r="788" spans="5:11">
      <c r="E788" s="62">
        <v>777</v>
      </c>
      <c r="F788" s="43">
        <v>0.47183091379125863</v>
      </c>
      <c r="G788" s="61">
        <v>75.113459107062383</v>
      </c>
      <c r="H788" s="23">
        <v>-28580.704712968371</v>
      </c>
      <c r="I788" s="23">
        <v>-28580.704712968371</v>
      </c>
      <c r="J788" s="23">
        <v>0</v>
      </c>
      <c r="K788" s="23">
        <v>0</v>
      </c>
    </row>
    <row r="789" spans="5:11">
      <c r="E789" s="62">
        <v>778</v>
      </c>
      <c r="F789" s="43">
        <v>9.5564259094158555E-2</v>
      </c>
      <c r="G789" s="61">
        <v>26.961591915510869</v>
      </c>
      <c r="H789" s="23">
        <v>-28580.704712968371</v>
      </c>
      <c r="I789" s="23">
        <v>-28580.704712968371</v>
      </c>
      <c r="J789" s="23">
        <v>0</v>
      </c>
      <c r="K789" s="23">
        <v>0</v>
      </c>
    </row>
    <row r="790" spans="5:11">
      <c r="E790" s="62">
        <v>779</v>
      </c>
      <c r="F790" s="43">
        <v>0.90443574090584145</v>
      </c>
      <c r="G790" s="61">
        <v>10.044402044515204</v>
      </c>
      <c r="H790" s="23">
        <v>-28580.704712968371</v>
      </c>
      <c r="I790" s="23">
        <v>-28580.704712968371</v>
      </c>
      <c r="J790" s="23">
        <v>0</v>
      </c>
      <c r="K790" s="23">
        <v>0</v>
      </c>
    </row>
    <row r="791" spans="5:11">
      <c r="E791" s="62">
        <v>780</v>
      </c>
      <c r="F791" s="43">
        <v>0.46170695486703184</v>
      </c>
      <c r="G791" s="61">
        <v>44.292243573979341</v>
      </c>
      <c r="H791" s="23">
        <v>-28580.704712968371</v>
      </c>
      <c r="I791" s="23">
        <v>-28580.704712968371</v>
      </c>
      <c r="J791" s="23">
        <v>0</v>
      </c>
      <c r="K791" s="23">
        <v>0</v>
      </c>
    </row>
    <row r="792" spans="5:11">
      <c r="E792" s="62">
        <v>781</v>
      </c>
      <c r="F792" s="43">
        <v>0.53829304513296816</v>
      </c>
      <c r="G792" s="61">
        <v>61.935217355633796</v>
      </c>
      <c r="H792" s="23">
        <v>-28580.704712968371</v>
      </c>
      <c r="I792" s="23">
        <v>-28580.704712968371</v>
      </c>
      <c r="J792" s="23">
        <v>0</v>
      </c>
      <c r="K792" s="23">
        <v>0</v>
      </c>
    </row>
    <row r="793" spans="5:11">
      <c r="E793" s="62">
        <v>782</v>
      </c>
      <c r="F793" s="43">
        <v>0.63206804350885226</v>
      </c>
      <c r="G793" s="61">
        <v>81.409858629146441</v>
      </c>
      <c r="H793" s="23">
        <v>-28580.704712968371</v>
      </c>
      <c r="I793" s="23">
        <v>-28580.704712968371</v>
      </c>
      <c r="J793" s="23">
        <v>0</v>
      </c>
      <c r="K793" s="23">
        <v>0</v>
      </c>
    </row>
    <row r="794" spans="5:11">
      <c r="E794" s="62">
        <v>783</v>
      </c>
      <c r="F794" s="43">
        <v>0.36793195649114774</v>
      </c>
      <c r="G794" s="61">
        <v>99.985725874874618</v>
      </c>
      <c r="H794" s="23">
        <v>-28580.704712968371</v>
      </c>
      <c r="I794" s="23">
        <v>-28580.704712968371</v>
      </c>
      <c r="J794" s="23">
        <v>0</v>
      </c>
      <c r="K794" s="23">
        <v>0</v>
      </c>
    </row>
    <row r="795" spans="5:11">
      <c r="E795" s="62">
        <v>784</v>
      </c>
      <c r="F795" s="43">
        <v>0.85765492155328971</v>
      </c>
      <c r="G795" s="61">
        <v>14.354116321927714</v>
      </c>
      <c r="H795" s="23">
        <v>-28580.704712968371</v>
      </c>
      <c r="I795" s="23">
        <v>-28580.704712968371</v>
      </c>
      <c r="J795" s="23">
        <v>0</v>
      </c>
      <c r="K795" s="23">
        <v>0</v>
      </c>
    </row>
    <row r="796" spans="5:11">
      <c r="E796" s="62">
        <v>785</v>
      </c>
      <c r="F796" s="43">
        <v>0.14234507844671029</v>
      </c>
      <c r="G796" s="61">
        <v>194.95010394651126</v>
      </c>
      <c r="H796" s="23">
        <v>-28580.704712968371</v>
      </c>
      <c r="I796" s="23">
        <v>-28580.704712968371</v>
      </c>
      <c r="J796" s="23">
        <v>0</v>
      </c>
      <c r="K796" s="23">
        <v>0</v>
      </c>
    </row>
    <row r="797" spans="5:11">
      <c r="E797" s="62">
        <v>786</v>
      </c>
      <c r="F797" s="43">
        <v>0.99370739219930782</v>
      </c>
      <c r="G797" s="61">
        <v>48.033759742096635</v>
      </c>
      <c r="H797" s="23">
        <v>-28580.704712968371</v>
      </c>
      <c r="I797" s="23">
        <v>-28580.704712968371</v>
      </c>
      <c r="J797" s="23">
        <v>0</v>
      </c>
      <c r="K797" s="23">
        <v>0</v>
      </c>
    </row>
    <row r="798" spans="5:11">
      <c r="E798" s="62">
        <v>787</v>
      </c>
      <c r="F798" s="43">
        <v>6.2926078006921848E-3</v>
      </c>
      <c r="G798" s="61">
        <v>506.83796994857852</v>
      </c>
      <c r="H798" s="23">
        <v>-28580.704712968371</v>
      </c>
      <c r="I798" s="23">
        <v>-28580.704712968371</v>
      </c>
      <c r="J798" s="23">
        <v>0</v>
      </c>
      <c r="K798" s="23">
        <v>0</v>
      </c>
    </row>
    <row r="799" spans="5:11">
      <c r="E799" s="62">
        <v>788</v>
      </c>
      <c r="F799" s="43">
        <v>0.56713601054323637</v>
      </c>
      <c r="G799" s="61">
        <v>68.042129741961347</v>
      </c>
      <c r="H799" s="23">
        <v>-28580.704712968371</v>
      </c>
      <c r="I799" s="23">
        <v>-28580.704712968371</v>
      </c>
      <c r="J799" s="23">
        <v>0</v>
      </c>
      <c r="K799" s="23">
        <v>0</v>
      </c>
    </row>
    <row r="800" spans="5:11">
      <c r="E800" s="62">
        <v>789</v>
      </c>
      <c r="F800" s="43">
        <v>0.43286398945676363</v>
      </c>
      <c r="G800" s="61">
        <v>83.733171243227986</v>
      </c>
      <c r="H800" s="23">
        <v>-28580.704712968371</v>
      </c>
      <c r="I800" s="23">
        <v>-28580.704712968371</v>
      </c>
      <c r="J800" s="23">
        <v>0</v>
      </c>
      <c r="K800" s="23">
        <v>0</v>
      </c>
    </row>
    <row r="801" spans="5:11">
      <c r="E801" s="62">
        <v>790</v>
      </c>
      <c r="F801" s="43">
        <v>0.66134016785978833</v>
      </c>
      <c r="G801" s="61">
        <v>581.41324857566542</v>
      </c>
      <c r="H801" s="23">
        <v>-28580.704712968371</v>
      </c>
      <c r="I801" s="23">
        <v>-28580.704712968371</v>
      </c>
      <c r="J801" s="23">
        <v>0</v>
      </c>
      <c r="K801" s="23">
        <v>0</v>
      </c>
    </row>
    <row r="802" spans="5:11">
      <c r="E802" s="62">
        <v>791</v>
      </c>
      <c r="F802" s="43">
        <v>0.33865983214021167</v>
      </c>
      <c r="G802" s="61">
        <v>108.27591204038038</v>
      </c>
      <c r="H802" s="23">
        <v>-28580.704712968371</v>
      </c>
      <c r="I802" s="23">
        <v>-28580.704712968371</v>
      </c>
      <c r="J802" s="23">
        <v>0</v>
      </c>
      <c r="K802" s="23">
        <v>0</v>
      </c>
    </row>
    <row r="803" spans="5:11">
      <c r="E803" s="62">
        <v>792</v>
      </c>
      <c r="F803" s="43">
        <v>0.33084051832544425</v>
      </c>
      <c r="G803" s="61">
        <v>72.171779158843478</v>
      </c>
      <c r="H803" s="23">
        <v>-28580.704712968371</v>
      </c>
      <c r="I803" s="23">
        <v>-28580.704712968371</v>
      </c>
      <c r="J803" s="23">
        <v>0</v>
      </c>
      <c r="K803" s="23">
        <v>0</v>
      </c>
    </row>
    <row r="804" spans="5:11">
      <c r="E804" s="62">
        <v>793</v>
      </c>
      <c r="F804" s="43">
        <v>0.66915948167455575</v>
      </c>
      <c r="G804" s="61">
        <v>40.173285911055231</v>
      </c>
      <c r="H804" s="23">
        <v>-28580.704712968371</v>
      </c>
      <c r="I804" s="23">
        <v>-28580.704712968371</v>
      </c>
      <c r="J804" s="23">
        <v>0</v>
      </c>
      <c r="K804" s="23">
        <v>0</v>
      </c>
    </row>
    <row r="805" spans="5:11">
      <c r="E805" s="62">
        <v>794</v>
      </c>
      <c r="F805" s="43">
        <v>0.14061788511293261</v>
      </c>
      <c r="G805" s="61">
        <v>26.996363070773114</v>
      </c>
      <c r="H805" s="23">
        <v>-28580.704712968371</v>
      </c>
      <c r="I805" s="23">
        <v>-28580.704712968371</v>
      </c>
      <c r="J805" s="23">
        <v>0</v>
      </c>
      <c r="K805" s="23">
        <v>0</v>
      </c>
    </row>
    <row r="806" spans="5:11">
      <c r="E806" s="62">
        <v>795</v>
      </c>
      <c r="F806" s="43">
        <v>0.85938211488706739</v>
      </c>
      <c r="G806" s="61">
        <v>15.154161902015806</v>
      </c>
      <c r="H806" s="23">
        <v>-28580.704712968371</v>
      </c>
      <c r="I806" s="23">
        <v>-28580.704712968371</v>
      </c>
      <c r="J806" s="23">
        <v>0</v>
      </c>
      <c r="K806" s="23">
        <v>0</v>
      </c>
    </row>
    <row r="807" spans="5:11">
      <c r="E807" s="62">
        <v>796</v>
      </c>
      <c r="F807" s="43">
        <v>0.24988108754517768</v>
      </c>
      <c r="G807" s="61">
        <v>39.953608161868964</v>
      </c>
      <c r="H807" s="23">
        <v>-28580.704712968371</v>
      </c>
      <c r="I807" s="23">
        <v>-28580.704712968371</v>
      </c>
      <c r="J807" s="23">
        <v>0</v>
      </c>
      <c r="K807" s="23">
        <v>0</v>
      </c>
    </row>
    <row r="808" spans="5:11">
      <c r="E808" s="62">
        <v>797</v>
      </c>
      <c r="F808" s="43">
        <v>0.75011891245482232</v>
      </c>
      <c r="G808" s="61">
        <v>28.752353507973115</v>
      </c>
      <c r="H808" s="23">
        <v>-28580.704712968371</v>
      </c>
      <c r="I808" s="23">
        <v>-28580.704712968371</v>
      </c>
      <c r="J808" s="23">
        <v>0</v>
      </c>
      <c r="K808" s="23">
        <v>0</v>
      </c>
    </row>
    <row r="809" spans="5:11">
      <c r="E809" s="62">
        <v>798</v>
      </c>
      <c r="F809" s="43">
        <v>0.99085955268545733</v>
      </c>
      <c r="G809" s="61">
        <v>12.507469218382685</v>
      </c>
      <c r="H809" s="23">
        <v>-28580.704712968371</v>
      </c>
      <c r="I809" s="23">
        <v>-28580.704712968371</v>
      </c>
      <c r="J809" s="23">
        <v>0</v>
      </c>
      <c r="K809" s="23">
        <v>0</v>
      </c>
    </row>
    <row r="810" spans="5:11">
      <c r="E810" s="62">
        <v>799</v>
      </c>
      <c r="F810" s="43">
        <v>9.1404473145426657E-3</v>
      </c>
      <c r="G810" s="61">
        <v>469.50459543916622</v>
      </c>
      <c r="H810" s="23">
        <v>-28580.704712968371</v>
      </c>
      <c r="I810" s="23">
        <v>-28580.704712968371</v>
      </c>
      <c r="J810" s="23">
        <v>0</v>
      </c>
      <c r="K810" s="23">
        <v>0</v>
      </c>
    </row>
    <row r="811" spans="5:11">
      <c r="E811" s="62">
        <v>800</v>
      </c>
      <c r="F811" s="43">
        <v>0.17532254645637024</v>
      </c>
      <c r="G811" s="61">
        <v>181.42510926060515</v>
      </c>
      <c r="H811" s="23">
        <v>-28580.704712968371</v>
      </c>
      <c r="I811" s="23">
        <v>-28580.704712968371</v>
      </c>
      <c r="J811" s="23">
        <v>0</v>
      </c>
      <c r="K811" s="23">
        <v>0</v>
      </c>
    </row>
    <row r="812" spans="5:11">
      <c r="E812" s="62">
        <v>801</v>
      </c>
      <c r="F812" s="43">
        <v>0.82467745354362976</v>
      </c>
      <c r="G812" s="61">
        <v>19.276293449601567</v>
      </c>
      <c r="H812" s="23">
        <v>-28580.704712968371</v>
      </c>
      <c r="I812" s="23">
        <v>-28580.704712968371</v>
      </c>
      <c r="J812" s="23">
        <v>0</v>
      </c>
      <c r="K812" s="23">
        <v>0</v>
      </c>
    </row>
    <row r="813" spans="5:11">
      <c r="E813" s="62">
        <v>802</v>
      </c>
      <c r="F813" s="43">
        <v>0.45026545183913436</v>
      </c>
      <c r="G813" s="61">
        <v>176.27298236837413</v>
      </c>
      <c r="H813" s="23">
        <v>-28580.704712968371</v>
      </c>
      <c r="I813" s="23">
        <v>-28580.704712968371</v>
      </c>
      <c r="J813" s="23">
        <v>0</v>
      </c>
      <c r="K813" s="23">
        <v>0</v>
      </c>
    </row>
    <row r="814" spans="5:11">
      <c r="E814" s="62">
        <v>803</v>
      </c>
      <c r="F814" s="43">
        <v>0.54973454816086564</v>
      </c>
      <c r="G814" s="61">
        <v>59.831975697117024</v>
      </c>
      <c r="H814" s="23">
        <v>-28580.704712968371</v>
      </c>
      <c r="I814" s="23">
        <v>-28580.704712968371</v>
      </c>
      <c r="J814" s="23">
        <v>0</v>
      </c>
      <c r="K814" s="23">
        <v>0</v>
      </c>
    </row>
    <row r="815" spans="5:11">
      <c r="E815" s="62">
        <v>804</v>
      </c>
      <c r="F815" s="43">
        <v>0.31286756487111478</v>
      </c>
      <c r="G815" s="61">
        <v>80.632217026945412</v>
      </c>
      <c r="H815" s="23">
        <v>-28580.704712968371</v>
      </c>
      <c r="I815" s="23">
        <v>-28580.704712968371</v>
      </c>
      <c r="J815" s="23">
        <v>0</v>
      </c>
      <c r="K815" s="23">
        <v>0</v>
      </c>
    </row>
    <row r="816" spans="5:11">
      <c r="E816" s="62">
        <v>805</v>
      </c>
      <c r="F816" s="43">
        <v>0.68713243512888522</v>
      </c>
      <c r="G816" s="61">
        <v>37.522823222476667</v>
      </c>
      <c r="H816" s="23">
        <v>-28580.704712968371</v>
      </c>
      <c r="I816" s="23">
        <v>-28580.704712968371</v>
      </c>
      <c r="J816" s="23">
        <v>0</v>
      </c>
      <c r="K816" s="23">
        <v>0</v>
      </c>
    </row>
    <row r="817" spans="5:11">
      <c r="E817" s="62">
        <v>806</v>
      </c>
      <c r="F817" s="43">
        <v>0.8418308218211511</v>
      </c>
      <c r="G817" s="61">
        <v>43.561677145819409</v>
      </c>
      <c r="H817" s="23">
        <v>-28580.704712968371</v>
      </c>
      <c r="I817" s="23">
        <v>-28580.704712968371</v>
      </c>
      <c r="J817" s="23">
        <v>0</v>
      </c>
      <c r="K817" s="23">
        <v>0</v>
      </c>
    </row>
    <row r="818" spans="5:11">
      <c r="E818" s="62">
        <v>807</v>
      </c>
      <c r="F818" s="43">
        <v>0.1581691781788489</v>
      </c>
      <c r="G818" s="61">
        <v>184.40900708295007</v>
      </c>
      <c r="H818" s="23">
        <v>-28580.704712968371</v>
      </c>
      <c r="I818" s="23">
        <v>-28580.704712968371</v>
      </c>
      <c r="J818" s="23">
        <v>0</v>
      </c>
      <c r="K818" s="23">
        <v>0</v>
      </c>
    </row>
    <row r="819" spans="5:11">
      <c r="E819" s="62">
        <v>808</v>
      </c>
      <c r="F819" s="43">
        <v>0.32292938636043755</v>
      </c>
      <c r="G819" s="61">
        <v>0.5496035898854098</v>
      </c>
      <c r="H819" s="23">
        <v>587969.34422720561</v>
      </c>
      <c r="I819" s="23">
        <v>-2979.1558586454516</v>
      </c>
      <c r="J819" s="23">
        <v>-739.61013777953815</v>
      </c>
      <c r="K819" s="23">
        <v>591688.11022363056</v>
      </c>
    </row>
    <row r="820" spans="5:11">
      <c r="E820" s="62">
        <v>809</v>
      </c>
      <c r="F820" s="43">
        <v>0.67707061363956245</v>
      </c>
      <c r="G820" s="61">
        <v>38.997970775791998</v>
      </c>
      <c r="H820" s="23">
        <v>-28580.704712968371</v>
      </c>
      <c r="I820" s="23">
        <v>-28580.704712968371</v>
      </c>
      <c r="J820" s="23">
        <v>0</v>
      </c>
      <c r="K820" s="23">
        <v>0</v>
      </c>
    </row>
    <row r="821" spans="5:11">
      <c r="E821" s="62">
        <v>810</v>
      </c>
      <c r="F821" s="43">
        <v>0.40626963925219295</v>
      </c>
      <c r="G821" s="61">
        <v>133.82779038865036</v>
      </c>
      <c r="H821" s="23">
        <v>-28580.704712968371</v>
      </c>
      <c r="I821" s="23">
        <v>-28580.704712968371</v>
      </c>
      <c r="J821" s="23">
        <v>0</v>
      </c>
      <c r="K821" s="23">
        <v>0</v>
      </c>
    </row>
    <row r="822" spans="5:11">
      <c r="E822" s="62">
        <v>811</v>
      </c>
      <c r="F822" s="43">
        <v>0.59373036074780705</v>
      </c>
      <c r="G822" s="61">
        <v>52.13300008156024</v>
      </c>
      <c r="H822" s="23">
        <v>-28580.704712968371</v>
      </c>
      <c r="I822" s="23">
        <v>-28580.704712968371</v>
      </c>
      <c r="J822" s="23">
        <v>0</v>
      </c>
      <c r="K822" s="23">
        <v>0</v>
      </c>
    </row>
    <row r="823" spans="5:11">
      <c r="E823" s="62">
        <v>812</v>
      </c>
      <c r="F823" s="43">
        <v>0.54824560424834434</v>
      </c>
      <c r="G823" s="61">
        <v>15.663676016530664</v>
      </c>
      <c r="H823" s="23">
        <v>-28580.704712968371</v>
      </c>
      <c r="I823" s="23">
        <v>-28580.704712968371</v>
      </c>
      <c r="J823" s="23">
        <v>0</v>
      </c>
      <c r="K823" s="23">
        <v>0</v>
      </c>
    </row>
    <row r="824" spans="5:11">
      <c r="E824" s="62">
        <v>813</v>
      </c>
      <c r="F824" s="43">
        <v>0.45175439575165566</v>
      </c>
      <c r="G824" s="61">
        <v>79.461661906094619</v>
      </c>
      <c r="H824" s="23">
        <v>-28580.704712968371</v>
      </c>
      <c r="I824" s="23">
        <v>-28580.704712968371</v>
      </c>
      <c r="J824" s="23">
        <v>0</v>
      </c>
      <c r="K824" s="23">
        <v>0</v>
      </c>
    </row>
    <row r="825" spans="5:11">
      <c r="E825" s="62">
        <v>814</v>
      </c>
      <c r="F825" s="43">
        <v>0.99735971760474906</v>
      </c>
      <c r="G825" s="61">
        <v>39.557812391358247</v>
      </c>
      <c r="H825" s="23">
        <v>-28580.704712968371</v>
      </c>
      <c r="I825" s="23">
        <v>-28580.704712968371</v>
      </c>
      <c r="J825" s="23">
        <v>0</v>
      </c>
      <c r="K825" s="23">
        <v>0</v>
      </c>
    </row>
    <row r="826" spans="5:11">
      <c r="E826" s="62">
        <v>815</v>
      </c>
      <c r="F826" s="43">
        <v>2.6402823952509369E-3</v>
      </c>
      <c r="G826" s="61">
        <v>593.68693996464879</v>
      </c>
      <c r="H826" s="23">
        <v>-28580.704712968371</v>
      </c>
      <c r="I826" s="23">
        <v>-28580.704712968371</v>
      </c>
      <c r="J826" s="23">
        <v>0</v>
      </c>
      <c r="K826" s="23">
        <v>0</v>
      </c>
    </row>
    <row r="827" spans="5:11">
      <c r="E827" s="62">
        <v>816</v>
      </c>
      <c r="F827" s="43">
        <v>0.62063881630197848</v>
      </c>
      <c r="G827" s="61">
        <v>77.596913929723513</v>
      </c>
      <c r="H827" s="23">
        <v>-28580.704712968371</v>
      </c>
      <c r="I827" s="23">
        <v>-28580.704712968371</v>
      </c>
      <c r="J827" s="23">
        <v>0</v>
      </c>
      <c r="K827" s="23">
        <v>0</v>
      </c>
    </row>
    <row r="828" spans="5:11">
      <c r="E828" s="62">
        <v>817</v>
      </c>
      <c r="F828" s="43">
        <v>0.37936118369802152</v>
      </c>
      <c r="G828" s="61">
        <v>96.926653641995841</v>
      </c>
      <c r="H828" s="23">
        <v>-28580.704712968371</v>
      </c>
      <c r="I828" s="23">
        <v>-28580.704712968371</v>
      </c>
      <c r="J828" s="23">
        <v>0</v>
      </c>
      <c r="K828" s="23">
        <v>0</v>
      </c>
    </row>
    <row r="829" spans="5:11">
      <c r="E829" s="62">
        <v>818</v>
      </c>
      <c r="F829" s="43">
        <v>8.0917000471329215E-2</v>
      </c>
      <c r="G829" s="61">
        <v>47.000193916356956</v>
      </c>
      <c r="H829" s="23">
        <v>-28580.704712968371</v>
      </c>
      <c r="I829" s="23">
        <v>-28580.704712968371</v>
      </c>
      <c r="J829" s="23">
        <v>0</v>
      </c>
      <c r="K829" s="23">
        <v>0</v>
      </c>
    </row>
    <row r="830" spans="5:11">
      <c r="E830" s="62">
        <v>819</v>
      </c>
      <c r="F830" s="43">
        <v>0.91908299952867079</v>
      </c>
      <c r="G830" s="61">
        <v>8.4378845657088455</v>
      </c>
      <c r="H830" s="23">
        <v>-28580.704712968371</v>
      </c>
      <c r="I830" s="23">
        <v>-28580.704712968371</v>
      </c>
      <c r="J830" s="23">
        <v>0</v>
      </c>
      <c r="K830" s="23">
        <v>0</v>
      </c>
    </row>
    <row r="831" spans="5:11">
      <c r="E831" s="62">
        <v>820</v>
      </c>
      <c r="F831" s="43">
        <v>0.24113417505572077</v>
      </c>
      <c r="G831" s="61">
        <v>117.53049659129955</v>
      </c>
      <c r="H831" s="23">
        <v>-28580.704712968371</v>
      </c>
      <c r="I831" s="23">
        <v>-28580.704712968371</v>
      </c>
      <c r="J831" s="23">
        <v>0</v>
      </c>
      <c r="K831" s="23">
        <v>0</v>
      </c>
    </row>
    <row r="832" spans="5:11">
      <c r="E832" s="62">
        <v>821</v>
      </c>
      <c r="F832" s="43">
        <v>0.75886582494427923</v>
      </c>
      <c r="G832" s="61">
        <v>27.593029594324836</v>
      </c>
      <c r="H832" s="23">
        <v>-28580.704712968371</v>
      </c>
      <c r="I832" s="23">
        <v>-28580.704712968371</v>
      </c>
      <c r="J832" s="23">
        <v>0</v>
      </c>
      <c r="K832" s="23">
        <v>0</v>
      </c>
    </row>
    <row r="833" spans="5:11">
      <c r="E833" s="62">
        <v>822</v>
      </c>
      <c r="F833" s="43">
        <v>0.37345934878462372</v>
      </c>
      <c r="G833" s="61">
        <v>59.98827660409971</v>
      </c>
      <c r="H833" s="23">
        <v>-28580.704712968371</v>
      </c>
      <c r="I833" s="23">
        <v>-28580.704712968371</v>
      </c>
      <c r="J833" s="23">
        <v>0</v>
      </c>
      <c r="K833" s="23">
        <v>0</v>
      </c>
    </row>
    <row r="834" spans="5:11">
      <c r="E834" s="62">
        <v>823</v>
      </c>
      <c r="F834" s="43">
        <v>0.62654065121537628</v>
      </c>
      <c r="G834" s="61">
        <v>46.754162053335399</v>
      </c>
      <c r="H834" s="23">
        <v>-28580.704712968371</v>
      </c>
      <c r="I834" s="23">
        <v>-28580.704712968371</v>
      </c>
      <c r="J834" s="23">
        <v>0</v>
      </c>
      <c r="K834" s="23">
        <v>0</v>
      </c>
    </row>
    <row r="835" spans="5:11">
      <c r="E835" s="62">
        <v>824</v>
      </c>
      <c r="F835" s="43">
        <v>0.64392593458565173</v>
      </c>
      <c r="G835" s="61">
        <v>11.381407176389574</v>
      </c>
      <c r="H835" s="23">
        <v>-28580.704712968371</v>
      </c>
      <c r="I835" s="23">
        <v>-28580.704712968371</v>
      </c>
      <c r="J835" s="23">
        <v>0</v>
      </c>
      <c r="K835" s="23">
        <v>0</v>
      </c>
    </row>
    <row r="836" spans="5:11">
      <c r="E836" s="62">
        <v>825</v>
      </c>
      <c r="F836" s="43">
        <v>0.35607406541434827</v>
      </c>
      <c r="G836" s="61">
        <v>103.26165208525725</v>
      </c>
      <c r="H836" s="23">
        <v>-28580.704712968371</v>
      </c>
      <c r="I836" s="23">
        <v>-28580.704712968371</v>
      </c>
      <c r="J836" s="23">
        <v>0</v>
      </c>
      <c r="K836" s="23">
        <v>0</v>
      </c>
    </row>
    <row r="837" spans="5:11">
      <c r="E837" s="62">
        <v>826</v>
      </c>
      <c r="F837" s="43">
        <v>0.90057703170409853</v>
      </c>
      <c r="G837" s="61">
        <v>75.189508288571432</v>
      </c>
      <c r="H837" s="23">
        <v>-28580.704712968371</v>
      </c>
      <c r="I837" s="23">
        <v>-28580.704712968371</v>
      </c>
      <c r="J837" s="23">
        <v>0</v>
      </c>
      <c r="K837" s="23">
        <v>0</v>
      </c>
    </row>
    <row r="838" spans="5:11">
      <c r="E838" s="62">
        <v>827</v>
      </c>
      <c r="F838" s="43">
        <v>9.942296829590147E-2</v>
      </c>
      <c r="G838" s="61">
        <v>230.83721226367587</v>
      </c>
      <c r="H838" s="23">
        <v>-28580.704712968371</v>
      </c>
      <c r="I838" s="23">
        <v>-28580.704712968371</v>
      </c>
      <c r="J838" s="23">
        <v>0</v>
      </c>
      <c r="K838" s="23">
        <v>0</v>
      </c>
    </row>
    <row r="839" spans="5:11">
      <c r="E839" s="62">
        <v>828</v>
      </c>
      <c r="F839" s="43">
        <v>0.1231090423366088</v>
      </c>
      <c r="G839" s="61">
        <v>31.96957574419228</v>
      </c>
      <c r="H839" s="23">
        <v>-28580.704712968371</v>
      </c>
      <c r="I839" s="23">
        <v>-28580.704712968371</v>
      </c>
      <c r="J839" s="23">
        <v>0</v>
      </c>
      <c r="K839" s="23">
        <v>0</v>
      </c>
    </row>
    <row r="840" spans="5:11">
      <c r="E840" s="62">
        <v>829</v>
      </c>
      <c r="F840" s="43">
        <v>0.8768909576633912</v>
      </c>
      <c r="G840" s="61">
        <v>13.137262995783757</v>
      </c>
      <c r="H840" s="23">
        <v>-28580.704712968371</v>
      </c>
      <c r="I840" s="23">
        <v>-28580.704712968371</v>
      </c>
      <c r="J840" s="23">
        <v>0</v>
      </c>
      <c r="K840" s="23">
        <v>0</v>
      </c>
    </row>
    <row r="841" spans="5:11">
      <c r="E841" s="62">
        <v>830</v>
      </c>
      <c r="F841" s="43">
        <v>0.86647969940084923</v>
      </c>
      <c r="G841" s="61">
        <v>63.431747717133312</v>
      </c>
      <c r="H841" s="23">
        <v>-28580.704712968371</v>
      </c>
      <c r="I841" s="23">
        <v>-28580.704712968371</v>
      </c>
      <c r="J841" s="23">
        <v>0</v>
      </c>
      <c r="K841" s="23">
        <v>0</v>
      </c>
    </row>
    <row r="842" spans="5:11">
      <c r="E842" s="62">
        <v>831</v>
      </c>
      <c r="F842" s="43">
        <v>0.13352030059915077</v>
      </c>
      <c r="G842" s="61">
        <v>201.35017482893394</v>
      </c>
      <c r="H842" s="23">
        <v>-28580.704712968371</v>
      </c>
      <c r="I842" s="23">
        <v>-28580.704712968371</v>
      </c>
      <c r="J842" s="23">
        <v>0</v>
      </c>
      <c r="K842" s="23">
        <v>0</v>
      </c>
    </row>
    <row r="843" spans="5:11">
      <c r="E843" s="62">
        <v>832</v>
      </c>
      <c r="F843" s="43">
        <v>0.2598730632553079</v>
      </c>
      <c r="G843" s="61">
        <v>26.658822709453322</v>
      </c>
      <c r="H843" s="23">
        <v>-28580.704712968371</v>
      </c>
      <c r="I843" s="23">
        <v>-28580.704712968371</v>
      </c>
      <c r="J843" s="23">
        <v>0</v>
      </c>
      <c r="K843" s="23">
        <v>0</v>
      </c>
    </row>
    <row r="844" spans="5:11">
      <c r="E844" s="62">
        <v>833</v>
      </c>
      <c r="F844" s="43">
        <v>0.7401269367446921</v>
      </c>
      <c r="G844" s="61">
        <v>30.093357135308747</v>
      </c>
      <c r="H844" s="23">
        <v>-28580.704712968371</v>
      </c>
      <c r="I844" s="23">
        <v>-28580.704712968371</v>
      </c>
      <c r="J844" s="23">
        <v>0</v>
      </c>
      <c r="K844" s="23">
        <v>0</v>
      </c>
    </row>
    <row r="845" spans="5:11">
      <c r="E845" s="62">
        <v>834</v>
      </c>
      <c r="F845" s="43">
        <v>0.97881878045617332</v>
      </c>
      <c r="G845" s="61">
        <v>137.18711786254011</v>
      </c>
      <c r="H845" s="23">
        <v>-28580.704712968371</v>
      </c>
      <c r="I845" s="23">
        <v>-28580.704712968371</v>
      </c>
      <c r="J845" s="23">
        <v>0</v>
      </c>
      <c r="K845" s="23">
        <v>0</v>
      </c>
    </row>
    <row r="846" spans="5:11">
      <c r="E846" s="62">
        <v>835</v>
      </c>
      <c r="F846" s="43">
        <v>2.1181219543826679E-2</v>
      </c>
      <c r="G846" s="61">
        <v>385.46403604936086</v>
      </c>
      <c r="H846" s="23">
        <v>-28580.704712968371</v>
      </c>
      <c r="I846" s="23">
        <v>-28580.704712968371</v>
      </c>
      <c r="J846" s="23">
        <v>0</v>
      </c>
      <c r="K846" s="23">
        <v>0</v>
      </c>
    </row>
    <row r="847" spans="5:11">
      <c r="E847" s="62">
        <v>836</v>
      </c>
      <c r="F847" s="43">
        <v>0.96201427000763451</v>
      </c>
      <c r="G847" s="61">
        <v>67.650062449646043</v>
      </c>
      <c r="H847" s="23">
        <v>-28580.704712968371</v>
      </c>
      <c r="I847" s="23">
        <v>-28580.704712968371</v>
      </c>
      <c r="J847" s="23">
        <v>0</v>
      </c>
      <c r="K847" s="23">
        <v>0</v>
      </c>
    </row>
    <row r="848" spans="5:11">
      <c r="E848" s="62">
        <v>837</v>
      </c>
      <c r="F848" s="43">
        <v>3.7985729992365491E-2</v>
      </c>
      <c r="G848" s="61">
        <v>327.05447163001884</v>
      </c>
      <c r="H848" s="23">
        <v>-28580.704712968371</v>
      </c>
      <c r="I848" s="23">
        <v>-28580.704712968371</v>
      </c>
      <c r="J848" s="23">
        <v>0</v>
      </c>
      <c r="K848" s="23">
        <v>0</v>
      </c>
    </row>
    <row r="849" spans="5:11">
      <c r="E849" s="62">
        <v>838</v>
      </c>
      <c r="F849" s="43">
        <v>0.16275827405387577</v>
      </c>
      <c r="G849" s="61">
        <v>248.29767146622675</v>
      </c>
      <c r="H849" s="23">
        <v>-28580.704712968371</v>
      </c>
      <c r="I849" s="23">
        <v>-28580.704712968371</v>
      </c>
      <c r="J849" s="23">
        <v>0</v>
      </c>
      <c r="K849" s="23">
        <v>0</v>
      </c>
    </row>
    <row r="850" spans="5:11">
      <c r="E850" s="62">
        <v>839</v>
      </c>
      <c r="F850" s="43">
        <v>0.83724172594612423</v>
      </c>
      <c r="G850" s="61">
        <v>17.764244977394416</v>
      </c>
      <c r="H850" s="23">
        <v>-28580.704712968371</v>
      </c>
      <c r="I850" s="23">
        <v>-28580.704712968371</v>
      </c>
      <c r="J850" s="23">
        <v>0</v>
      </c>
      <c r="K850" s="23">
        <v>0</v>
      </c>
    </row>
    <row r="851" spans="5:11">
      <c r="E851" s="62">
        <v>840</v>
      </c>
      <c r="F851" s="43">
        <v>0.47265024305887315</v>
      </c>
      <c r="G851" s="61">
        <v>4.1824753669584407</v>
      </c>
      <c r="H851" s="23">
        <v>530628.03630754212</v>
      </c>
      <c r="I851" s="23">
        <v>-23075.202562092149</v>
      </c>
      <c r="J851" s="23">
        <v>-692.99529270292135</v>
      </c>
      <c r="K851" s="23">
        <v>554396.23416233715</v>
      </c>
    </row>
    <row r="852" spans="5:11">
      <c r="E852" s="62">
        <v>841</v>
      </c>
      <c r="F852" s="43">
        <v>0.52734975694112685</v>
      </c>
      <c r="G852" s="61">
        <v>63.989127516579835</v>
      </c>
      <c r="H852" s="23">
        <v>-28580.704712968371</v>
      </c>
      <c r="I852" s="23">
        <v>-28580.704712968371</v>
      </c>
      <c r="J852" s="23">
        <v>0</v>
      </c>
      <c r="K852" s="23">
        <v>0</v>
      </c>
    </row>
    <row r="853" spans="5:11">
      <c r="E853" s="62">
        <v>842</v>
      </c>
      <c r="F853" s="43">
        <v>0.70503053902786084</v>
      </c>
      <c r="G853" s="61">
        <v>7.4349391531963489</v>
      </c>
      <c r="H853" s="23">
        <v>-28580.704712968371</v>
      </c>
      <c r="I853" s="23">
        <v>-28580.704712968371</v>
      </c>
      <c r="J853" s="23">
        <v>0</v>
      </c>
      <c r="K853" s="23">
        <v>0</v>
      </c>
    </row>
    <row r="854" spans="5:11">
      <c r="E854" s="62">
        <v>843</v>
      </c>
      <c r="F854" s="43">
        <v>0.29496946097213916</v>
      </c>
      <c r="G854" s="61">
        <v>122.08834501294443</v>
      </c>
      <c r="H854" s="23">
        <v>-28580.704712968371</v>
      </c>
      <c r="I854" s="23">
        <v>-28580.704712968371</v>
      </c>
      <c r="J854" s="23">
        <v>0</v>
      </c>
      <c r="K854" s="23">
        <v>0</v>
      </c>
    </row>
    <row r="855" spans="5:11">
      <c r="E855" s="62">
        <v>844</v>
      </c>
      <c r="F855" s="43">
        <v>0.70281521335817543</v>
      </c>
      <c r="G855" s="61">
        <v>253.62716359677674</v>
      </c>
      <c r="H855" s="23">
        <v>-28580.704712968371</v>
      </c>
      <c r="I855" s="23">
        <v>-28580.704712968371</v>
      </c>
      <c r="J855" s="23">
        <v>0</v>
      </c>
      <c r="K855" s="23">
        <v>0</v>
      </c>
    </row>
    <row r="856" spans="5:11">
      <c r="E856" s="62">
        <v>845</v>
      </c>
      <c r="F856" s="43">
        <v>0.29718478664182457</v>
      </c>
      <c r="G856" s="61">
        <v>121.34011564062538</v>
      </c>
      <c r="H856" s="23">
        <v>-28580.704712968371</v>
      </c>
      <c r="I856" s="23">
        <v>-28580.704712968371</v>
      </c>
      <c r="J856" s="23">
        <v>0</v>
      </c>
      <c r="K856" s="23">
        <v>0</v>
      </c>
    </row>
    <row r="857" spans="5:11">
      <c r="E857" s="62">
        <v>846</v>
      </c>
      <c r="F857" s="43">
        <v>0.23863270787704782</v>
      </c>
      <c r="G857" s="61">
        <v>16.420148070083734</v>
      </c>
      <c r="H857" s="23">
        <v>-28580.704712968371</v>
      </c>
      <c r="I857" s="23">
        <v>-28580.704712968371</v>
      </c>
      <c r="J857" s="23">
        <v>0</v>
      </c>
      <c r="K857" s="23">
        <v>0</v>
      </c>
    </row>
    <row r="858" spans="5:11">
      <c r="E858" s="62">
        <v>847</v>
      </c>
      <c r="F858" s="43">
        <v>0.76136729212295218</v>
      </c>
      <c r="G858" s="61">
        <v>27.263939350444275</v>
      </c>
      <c r="H858" s="23">
        <v>-28580.704712968371</v>
      </c>
      <c r="I858" s="23">
        <v>-28580.704712968371</v>
      </c>
      <c r="J858" s="23">
        <v>0</v>
      </c>
      <c r="K858" s="23">
        <v>0</v>
      </c>
    </row>
    <row r="859" spans="5:11">
      <c r="E859" s="62">
        <v>848</v>
      </c>
      <c r="F859" s="43">
        <v>0.43127565938075862</v>
      </c>
      <c r="G859" s="61">
        <v>41.016027524378785</v>
      </c>
      <c r="H859" s="23">
        <v>-28580.704712968371</v>
      </c>
      <c r="I859" s="23">
        <v>-28580.704712968371</v>
      </c>
      <c r="J859" s="23">
        <v>0</v>
      </c>
      <c r="K859" s="23">
        <v>0</v>
      </c>
    </row>
    <row r="860" spans="5:11">
      <c r="E860" s="62">
        <v>849</v>
      </c>
      <c r="F860" s="43">
        <v>0.56872434061924138</v>
      </c>
      <c r="G860" s="61">
        <v>56.435942512944735</v>
      </c>
      <c r="H860" s="23">
        <v>-28580.704712968371</v>
      </c>
      <c r="I860" s="23">
        <v>-28580.704712968371</v>
      </c>
      <c r="J860" s="23">
        <v>0</v>
      </c>
      <c r="K860" s="23">
        <v>0</v>
      </c>
    </row>
    <row r="861" spans="5:11">
      <c r="E861" s="62">
        <v>850</v>
      </c>
      <c r="F861" s="43">
        <v>0.12479582839881342</v>
      </c>
      <c r="G861" s="61">
        <v>47.16157622590314</v>
      </c>
      <c r="H861" s="23">
        <v>-28580.704712968371</v>
      </c>
      <c r="I861" s="23">
        <v>-28580.704712968371</v>
      </c>
      <c r="J861" s="23">
        <v>0</v>
      </c>
      <c r="K861" s="23">
        <v>0</v>
      </c>
    </row>
    <row r="862" spans="5:11">
      <c r="E862" s="62">
        <v>851</v>
      </c>
      <c r="F862" s="43">
        <v>0.87520417160118658</v>
      </c>
      <c r="G862" s="61">
        <v>13.329808087104194</v>
      </c>
      <c r="H862" s="23">
        <v>-28580.704712968371</v>
      </c>
      <c r="I862" s="23">
        <v>-28580.704712968371</v>
      </c>
      <c r="J862" s="23">
        <v>0</v>
      </c>
      <c r="K862" s="23">
        <v>0</v>
      </c>
    </row>
    <row r="863" spans="5:11">
      <c r="E863" s="62">
        <v>852</v>
      </c>
      <c r="F863" s="43">
        <v>0.51252386523552085</v>
      </c>
      <c r="G863" s="61">
        <v>37.985638622812736</v>
      </c>
      <c r="H863" s="23">
        <v>-28580.704712968371</v>
      </c>
      <c r="I863" s="23">
        <v>-28580.704712968371</v>
      </c>
      <c r="J863" s="23">
        <v>0</v>
      </c>
      <c r="K863" s="23">
        <v>0</v>
      </c>
    </row>
    <row r="864" spans="5:11">
      <c r="E864" s="62">
        <v>853</v>
      </c>
      <c r="F864" s="43">
        <v>0.48747613476447915</v>
      </c>
      <c r="G864" s="61">
        <v>71.851394407181104</v>
      </c>
      <c r="H864" s="23">
        <v>-28580.704712968371</v>
      </c>
      <c r="I864" s="23">
        <v>-28580.704712968371</v>
      </c>
      <c r="J864" s="23">
        <v>0</v>
      </c>
      <c r="K864" s="23">
        <v>0</v>
      </c>
    </row>
    <row r="865" spans="5:11">
      <c r="E865" s="62">
        <v>854</v>
      </c>
      <c r="F865" s="43">
        <v>0.99168744794929409</v>
      </c>
      <c r="G865" s="61">
        <v>153.15248468757389</v>
      </c>
      <c r="H865" s="23">
        <v>-28580.704712968371</v>
      </c>
      <c r="I865" s="23">
        <v>-28580.704712968371</v>
      </c>
      <c r="J865" s="23">
        <v>0</v>
      </c>
      <c r="K865" s="23">
        <v>0</v>
      </c>
    </row>
    <row r="866" spans="5:11">
      <c r="E866" s="62">
        <v>855</v>
      </c>
      <c r="F866" s="43">
        <v>8.3125520507059125E-3</v>
      </c>
      <c r="G866" s="61">
        <v>478.99886112807121</v>
      </c>
      <c r="H866" s="23">
        <v>-28580.704712968371</v>
      </c>
      <c r="I866" s="23">
        <v>-28580.704712968371</v>
      </c>
      <c r="J866" s="23">
        <v>0</v>
      </c>
      <c r="K866" s="23">
        <v>0</v>
      </c>
    </row>
    <row r="867" spans="5:11">
      <c r="E867" s="62">
        <v>856</v>
      </c>
      <c r="F867" s="43">
        <v>0.39912303838405838</v>
      </c>
      <c r="G867" s="61">
        <v>182.58988624921983</v>
      </c>
      <c r="H867" s="23">
        <v>-28580.704712968371</v>
      </c>
      <c r="I867" s="23">
        <v>-28580.704712968371</v>
      </c>
      <c r="J867" s="23">
        <v>0</v>
      </c>
      <c r="K867" s="23">
        <v>0</v>
      </c>
    </row>
    <row r="868" spans="5:11">
      <c r="E868" s="62">
        <v>857</v>
      </c>
      <c r="F868" s="43">
        <v>0.60087696161594162</v>
      </c>
      <c r="G868" s="61">
        <v>50.936508817431189</v>
      </c>
      <c r="H868" s="23">
        <v>-28580.704712968371</v>
      </c>
      <c r="I868" s="23">
        <v>-28580.704712968371</v>
      </c>
      <c r="J868" s="23">
        <v>0</v>
      </c>
      <c r="K868" s="23">
        <v>0</v>
      </c>
    </row>
    <row r="869" spans="5:11">
      <c r="E869" s="62">
        <v>858</v>
      </c>
      <c r="F869" s="43">
        <v>0.49918020187054912</v>
      </c>
      <c r="G869" s="61">
        <v>58.15907922954537</v>
      </c>
      <c r="H869" s="23">
        <v>-28580.704712968371</v>
      </c>
      <c r="I869" s="23">
        <v>-28580.704712968371</v>
      </c>
      <c r="J869" s="23">
        <v>0</v>
      </c>
      <c r="K869" s="23">
        <v>0</v>
      </c>
    </row>
    <row r="870" spans="5:11">
      <c r="E870" s="62">
        <v>859</v>
      </c>
      <c r="F870" s="43">
        <v>0.50081979812945088</v>
      </c>
      <c r="G870" s="61">
        <v>69.150892697156493</v>
      </c>
      <c r="H870" s="23">
        <v>-28580.704712968371</v>
      </c>
      <c r="I870" s="23">
        <v>-28580.704712968371</v>
      </c>
      <c r="J870" s="23">
        <v>0</v>
      </c>
      <c r="K870" s="23">
        <v>0</v>
      </c>
    </row>
    <row r="871" spans="5:11">
      <c r="E871" s="62">
        <v>860</v>
      </c>
      <c r="F871" s="43">
        <v>0.29271297622095405</v>
      </c>
      <c r="G871" s="61">
        <v>304.39752933664835</v>
      </c>
      <c r="H871" s="23">
        <v>-28580.704712968371</v>
      </c>
      <c r="I871" s="23">
        <v>-28580.704712968371</v>
      </c>
      <c r="J871" s="23">
        <v>0</v>
      </c>
      <c r="K871" s="23">
        <v>0</v>
      </c>
    </row>
    <row r="872" spans="5:11">
      <c r="E872" s="62">
        <v>861</v>
      </c>
      <c r="F872" s="43">
        <v>0.70728702377904595</v>
      </c>
      <c r="G872" s="61">
        <v>34.631872124301651</v>
      </c>
      <c r="H872" s="23">
        <v>-28580.704712968371</v>
      </c>
      <c r="I872" s="23">
        <v>-28580.704712968371</v>
      </c>
      <c r="J872" s="23">
        <v>0</v>
      </c>
      <c r="K872" s="23">
        <v>0</v>
      </c>
    </row>
    <row r="873" spans="5:11">
      <c r="E873" s="62">
        <v>862</v>
      </c>
      <c r="F873" s="43">
        <v>0.90952774289060101</v>
      </c>
      <c r="G873" s="61">
        <v>260.14501707338519</v>
      </c>
      <c r="H873" s="23">
        <v>-28580.704712968371</v>
      </c>
      <c r="I873" s="23">
        <v>-28580.704712968371</v>
      </c>
      <c r="J873" s="23">
        <v>0</v>
      </c>
      <c r="K873" s="23">
        <v>0</v>
      </c>
    </row>
    <row r="874" spans="5:11">
      <c r="E874" s="62">
        <v>863</v>
      </c>
      <c r="F874" s="43">
        <v>9.047225710939899E-2</v>
      </c>
      <c r="G874" s="61">
        <v>240.27120265500636</v>
      </c>
      <c r="H874" s="23">
        <v>-28580.704712968371</v>
      </c>
      <c r="I874" s="23">
        <v>-28580.704712968371</v>
      </c>
      <c r="J874" s="23">
        <v>0</v>
      </c>
      <c r="K874" s="23">
        <v>0</v>
      </c>
    </row>
    <row r="875" spans="5:11">
      <c r="E875" s="62">
        <v>864</v>
      </c>
      <c r="F875" s="43">
        <v>1.3348763516300544E-2</v>
      </c>
      <c r="G875" s="61">
        <v>275.36726860162327</v>
      </c>
      <c r="H875" s="23">
        <v>-28580.704712968371</v>
      </c>
      <c r="I875" s="23">
        <v>-28580.704712968371</v>
      </c>
      <c r="J875" s="23">
        <v>0</v>
      </c>
      <c r="K875" s="23">
        <v>0</v>
      </c>
    </row>
    <row r="876" spans="5:11">
      <c r="E876" s="62">
        <v>865</v>
      </c>
      <c r="F876" s="43">
        <v>0.98665123648369946</v>
      </c>
      <c r="G876" s="61">
        <v>1.3438659153379668</v>
      </c>
      <c r="H876" s="23">
        <v>575365.74079116632</v>
      </c>
      <c r="I876" s="23">
        <v>-7396.2613009771694</v>
      </c>
      <c r="J876" s="23">
        <v>-729.36420787502323</v>
      </c>
      <c r="K876" s="23">
        <v>583491.3663000185</v>
      </c>
    </row>
    <row r="877" spans="5:11">
      <c r="E877" s="62">
        <v>866</v>
      </c>
      <c r="F877" s="43">
        <v>0.86740270163297184</v>
      </c>
      <c r="G877" s="61">
        <v>30.365079732380266</v>
      </c>
      <c r="H877" s="23">
        <v>-28580.704712968371</v>
      </c>
      <c r="I877" s="23">
        <v>-28580.704712968371</v>
      </c>
      <c r="J877" s="23">
        <v>0</v>
      </c>
      <c r="K877" s="23">
        <v>0</v>
      </c>
    </row>
    <row r="878" spans="5:11">
      <c r="E878" s="62">
        <v>867</v>
      </c>
      <c r="F878" s="43">
        <v>0.13259729836702816</v>
      </c>
      <c r="G878" s="61">
        <v>202.04385757439053</v>
      </c>
      <c r="H878" s="23">
        <v>-28580.704712968371</v>
      </c>
      <c r="I878" s="23">
        <v>-28580.704712968371</v>
      </c>
      <c r="J878" s="23">
        <v>0</v>
      </c>
      <c r="K878" s="23">
        <v>0</v>
      </c>
    </row>
    <row r="879" spans="5:11">
      <c r="E879" s="62">
        <v>868</v>
      </c>
      <c r="F879" s="43">
        <v>0.20079075288695825</v>
      </c>
      <c r="G879" s="61">
        <v>66.790900330488427</v>
      </c>
      <c r="H879" s="23">
        <v>-28580.704712968371</v>
      </c>
      <c r="I879" s="23">
        <v>-28580.704712968371</v>
      </c>
      <c r="J879" s="23">
        <v>0</v>
      </c>
      <c r="K879" s="23">
        <v>0</v>
      </c>
    </row>
    <row r="880" spans="5:11">
      <c r="E880" s="62">
        <v>869</v>
      </c>
      <c r="F880" s="43">
        <v>0.79920924711304175</v>
      </c>
      <c r="G880" s="61">
        <v>22.413248125296661</v>
      </c>
      <c r="H880" s="23">
        <v>-28580.704712968371</v>
      </c>
      <c r="I880" s="23">
        <v>-28580.704712968371</v>
      </c>
      <c r="J880" s="23">
        <v>0</v>
      </c>
      <c r="K880" s="23">
        <v>0</v>
      </c>
    </row>
    <row r="881" spans="5:11">
      <c r="E881" s="62">
        <v>870</v>
      </c>
      <c r="F881" s="43">
        <v>0.48266330352713638</v>
      </c>
      <c r="G881" s="61">
        <v>223.91910820284923</v>
      </c>
      <c r="H881" s="23">
        <v>-28580.704712968371</v>
      </c>
      <c r="I881" s="23">
        <v>-28580.704712968371</v>
      </c>
      <c r="J881" s="23">
        <v>0</v>
      </c>
      <c r="K881" s="23">
        <v>0</v>
      </c>
    </row>
    <row r="882" spans="5:11">
      <c r="E882" s="62">
        <v>871</v>
      </c>
      <c r="F882" s="43">
        <v>0.51733669647286362</v>
      </c>
      <c r="G882" s="61">
        <v>65.906136601417302</v>
      </c>
      <c r="H882" s="23">
        <v>-28580.704712968371</v>
      </c>
      <c r="I882" s="23">
        <v>-28580.704712968371</v>
      </c>
      <c r="J882" s="23">
        <v>0</v>
      </c>
      <c r="K882" s="23">
        <v>0</v>
      </c>
    </row>
    <row r="883" spans="5:11">
      <c r="E883" s="62">
        <v>872</v>
      </c>
      <c r="F883" s="43">
        <v>0.59733136787961438</v>
      </c>
      <c r="G883" s="61">
        <v>23.790813800150588</v>
      </c>
      <c r="H883" s="23">
        <v>-28580.704712968371</v>
      </c>
      <c r="I883" s="23">
        <v>-28580.704712968371</v>
      </c>
      <c r="J883" s="23">
        <v>0</v>
      </c>
      <c r="K883" s="23">
        <v>0</v>
      </c>
    </row>
    <row r="884" spans="5:11">
      <c r="E884" s="62">
        <v>873</v>
      </c>
      <c r="F884" s="43">
        <v>0.40266863212038562</v>
      </c>
      <c r="G884" s="61">
        <v>90.964130807372612</v>
      </c>
      <c r="H884" s="23">
        <v>-28580.704712968371</v>
      </c>
      <c r="I884" s="23">
        <v>-28580.704712968371</v>
      </c>
      <c r="J884" s="23">
        <v>0</v>
      </c>
      <c r="K884" s="23">
        <v>0</v>
      </c>
    </row>
    <row r="885" spans="5:11">
      <c r="E885" s="62">
        <v>874</v>
      </c>
      <c r="F885" s="43">
        <v>0.84601222143584909</v>
      </c>
      <c r="G885" s="61">
        <v>58.742331421554958</v>
      </c>
      <c r="H885" s="23">
        <v>-28580.704712968371</v>
      </c>
      <c r="I885" s="23">
        <v>-28580.704712968371</v>
      </c>
      <c r="J885" s="23">
        <v>0</v>
      </c>
      <c r="K885" s="23">
        <v>0</v>
      </c>
    </row>
    <row r="886" spans="5:11">
      <c r="E886" s="62">
        <v>875</v>
      </c>
      <c r="F886" s="43">
        <v>0.15398777856415091</v>
      </c>
      <c r="G886" s="61">
        <v>187.08820396907231</v>
      </c>
      <c r="H886" s="23">
        <v>-28580.704712968371</v>
      </c>
      <c r="I886" s="23">
        <v>-28580.704712968371</v>
      </c>
      <c r="J886" s="23">
        <v>0</v>
      </c>
      <c r="K886" s="23">
        <v>0</v>
      </c>
    </row>
    <row r="887" spans="5:11">
      <c r="E887" s="62">
        <v>876</v>
      </c>
      <c r="F887" s="43">
        <v>0.96008761639311324</v>
      </c>
      <c r="G887" s="61">
        <v>222.63715890981757</v>
      </c>
      <c r="H887" s="23">
        <v>-28580.704712968371</v>
      </c>
      <c r="I887" s="23">
        <v>-28580.704712968371</v>
      </c>
      <c r="J887" s="23">
        <v>0</v>
      </c>
      <c r="K887" s="23">
        <v>0</v>
      </c>
    </row>
    <row r="888" spans="5:11">
      <c r="E888" s="62">
        <v>877</v>
      </c>
      <c r="F888" s="43">
        <v>3.9912383606886759E-2</v>
      </c>
      <c r="G888" s="61">
        <v>322.10686371525225</v>
      </c>
      <c r="H888" s="23">
        <v>-28580.704712968371</v>
      </c>
      <c r="I888" s="23">
        <v>-28580.704712968371</v>
      </c>
      <c r="J888" s="23">
        <v>0</v>
      </c>
      <c r="K888" s="23">
        <v>0</v>
      </c>
    </row>
    <row r="889" spans="5:11">
      <c r="E889" s="62">
        <v>878</v>
      </c>
      <c r="F889" s="43">
        <v>0.62137419045209796</v>
      </c>
      <c r="G889" s="61">
        <v>8.6080607180753006</v>
      </c>
      <c r="H889" s="23">
        <v>-28580.704712968371</v>
      </c>
      <c r="I889" s="23">
        <v>-28580.704712968371</v>
      </c>
      <c r="J889" s="23">
        <v>0</v>
      </c>
      <c r="K889" s="23">
        <v>0</v>
      </c>
    </row>
    <row r="890" spans="5:11">
      <c r="E890" s="62">
        <v>879</v>
      </c>
      <c r="F890" s="43">
        <v>0.37862580954790204</v>
      </c>
      <c r="G890" s="61">
        <v>97.120687151116599</v>
      </c>
      <c r="H890" s="23">
        <v>-28580.704712968371</v>
      </c>
      <c r="I890" s="23">
        <v>-28580.704712968371</v>
      </c>
      <c r="J890" s="23">
        <v>0</v>
      </c>
      <c r="K890" s="23">
        <v>0</v>
      </c>
    </row>
    <row r="891" spans="5:11">
      <c r="E891" s="62">
        <v>880</v>
      </c>
      <c r="F891" s="43">
        <v>0.62633410959256786</v>
      </c>
      <c r="G891" s="61">
        <v>51.449453303033224</v>
      </c>
      <c r="H891" s="23">
        <v>-28580.704712968371</v>
      </c>
      <c r="I891" s="23">
        <v>-28580.704712968371</v>
      </c>
      <c r="J891" s="23">
        <v>0</v>
      </c>
      <c r="K891" s="23">
        <v>0</v>
      </c>
    </row>
    <row r="892" spans="5:11">
      <c r="E892" s="62">
        <v>881</v>
      </c>
      <c r="F892" s="43">
        <v>0.37366589040743214</v>
      </c>
      <c r="G892" s="61">
        <v>98.439322199122017</v>
      </c>
      <c r="H892" s="23">
        <v>-28580.704712968371</v>
      </c>
      <c r="I892" s="23">
        <v>-28580.704712968371</v>
      </c>
      <c r="J892" s="23">
        <v>0</v>
      </c>
      <c r="K892" s="23">
        <v>0</v>
      </c>
    </row>
    <row r="893" spans="5:11">
      <c r="E893" s="62">
        <v>882</v>
      </c>
      <c r="F893" s="43">
        <v>0.882155403870161</v>
      </c>
      <c r="G893" s="61">
        <v>10.619795501825456</v>
      </c>
      <c r="H893" s="23">
        <v>-28580.704712968371</v>
      </c>
      <c r="I893" s="23">
        <v>-28580.704712968371</v>
      </c>
      <c r="J893" s="23">
        <v>0</v>
      </c>
      <c r="K893" s="23">
        <v>0</v>
      </c>
    </row>
    <row r="894" spans="5:11">
      <c r="E894" s="62">
        <v>883</v>
      </c>
      <c r="F894" s="43">
        <v>0.117844596129839</v>
      </c>
      <c r="G894" s="61">
        <v>213.83885044498805</v>
      </c>
      <c r="H894" s="23">
        <v>-28580.704712968371</v>
      </c>
      <c r="I894" s="23">
        <v>-28580.704712968371</v>
      </c>
      <c r="J894" s="23">
        <v>0</v>
      </c>
      <c r="K894" s="23">
        <v>0</v>
      </c>
    </row>
    <row r="895" spans="5:11">
      <c r="E895" s="62">
        <v>884</v>
      </c>
      <c r="F895" s="43">
        <v>0.23422479568338805</v>
      </c>
      <c r="G895" s="61">
        <v>132.40376296245404</v>
      </c>
      <c r="H895" s="23">
        <v>-28580.704712968371</v>
      </c>
      <c r="I895" s="23">
        <v>-28580.704712968371</v>
      </c>
      <c r="J895" s="23">
        <v>0</v>
      </c>
      <c r="K895" s="23">
        <v>0</v>
      </c>
    </row>
    <row r="896" spans="5:11">
      <c r="E896" s="62">
        <v>885</v>
      </c>
      <c r="F896" s="43">
        <v>0.76577520431661195</v>
      </c>
      <c r="G896" s="61">
        <v>26.686661926099035</v>
      </c>
      <c r="H896" s="23">
        <v>-28580.704712968371</v>
      </c>
      <c r="I896" s="23">
        <v>-28580.704712968371</v>
      </c>
      <c r="J896" s="23">
        <v>0</v>
      </c>
      <c r="K896" s="23">
        <v>0</v>
      </c>
    </row>
    <row r="897" spans="5:11">
      <c r="E897" s="62">
        <v>886</v>
      </c>
      <c r="F897" s="43">
        <v>0.37050727453364418</v>
      </c>
      <c r="G897" s="61">
        <v>38.414109795316023</v>
      </c>
      <c r="H897" s="23">
        <v>-28580.704712968371</v>
      </c>
      <c r="I897" s="23">
        <v>-28580.704712968371</v>
      </c>
      <c r="J897" s="23">
        <v>0</v>
      </c>
      <c r="K897" s="23">
        <v>0</v>
      </c>
    </row>
    <row r="898" spans="5:11">
      <c r="E898" s="62">
        <v>887</v>
      </c>
      <c r="F898" s="43">
        <v>0.62949272546635582</v>
      </c>
      <c r="G898" s="61">
        <v>46.284098161477559</v>
      </c>
      <c r="H898" s="23">
        <v>-28580.704712968371</v>
      </c>
      <c r="I898" s="23">
        <v>-28580.704712968371</v>
      </c>
      <c r="J898" s="23">
        <v>0</v>
      </c>
      <c r="K898" s="23">
        <v>0</v>
      </c>
    </row>
    <row r="899" spans="5:11">
      <c r="E899" s="62">
        <v>888</v>
      </c>
      <c r="F899" s="43">
        <v>0.2366580159336622</v>
      </c>
      <c r="G899" s="61">
        <v>150.77235559174019</v>
      </c>
      <c r="H899" s="23">
        <v>-28580.704712968371</v>
      </c>
      <c r="I899" s="23">
        <v>-28580.704712968371</v>
      </c>
      <c r="J899" s="23">
        <v>0</v>
      </c>
      <c r="K899" s="23">
        <v>0</v>
      </c>
    </row>
    <row r="900" spans="5:11">
      <c r="E900" s="62">
        <v>889</v>
      </c>
      <c r="F900" s="43">
        <v>0.7633419840663378</v>
      </c>
      <c r="G900" s="61">
        <v>27.00491383281804</v>
      </c>
      <c r="H900" s="23">
        <v>-28580.704712968371</v>
      </c>
      <c r="I900" s="23">
        <v>-28580.704712968371</v>
      </c>
      <c r="J900" s="23">
        <v>0</v>
      </c>
      <c r="K900" s="23">
        <v>0</v>
      </c>
    </row>
    <row r="901" spans="5:11">
      <c r="E901" s="62">
        <v>890</v>
      </c>
      <c r="F901" s="43">
        <v>0.18751177293906174</v>
      </c>
      <c r="G901" s="61">
        <v>142.31069181675971</v>
      </c>
      <c r="H901" s="23">
        <v>-28580.704712968371</v>
      </c>
      <c r="I901" s="23">
        <v>-28580.704712968371</v>
      </c>
      <c r="J901" s="23">
        <v>0</v>
      </c>
      <c r="K901" s="23">
        <v>0</v>
      </c>
    </row>
    <row r="902" spans="5:11">
      <c r="E902" s="62">
        <v>891</v>
      </c>
      <c r="F902" s="43">
        <v>0.81248822706093826</v>
      </c>
      <c r="G902" s="61">
        <v>20.765385465437515</v>
      </c>
      <c r="H902" s="23">
        <v>-28580.704712968371</v>
      </c>
      <c r="I902" s="23">
        <v>-28580.704712968371</v>
      </c>
      <c r="J902" s="23">
        <v>0</v>
      </c>
      <c r="K902" s="23">
        <v>0</v>
      </c>
    </row>
    <row r="903" spans="5:11">
      <c r="E903" s="62">
        <v>892</v>
      </c>
      <c r="F903" s="43">
        <v>0.81769583405733903</v>
      </c>
      <c r="G903" s="61">
        <v>10.676806068909691</v>
      </c>
      <c r="H903" s="23">
        <v>-28580.704712968371</v>
      </c>
      <c r="I903" s="23">
        <v>-28580.704712968371</v>
      </c>
      <c r="J903" s="23">
        <v>0</v>
      </c>
      <c r="K903" s="23">
        <v>0</v>
      </c>
    </row>
    <row r="904" spans="5:11">
      <c r="E904" s="62">
        <v>893</v>
      </c>
      <c r="F904" s="43">
        <v>0.18230416594266097</v>
      </c>
      <c r="G904" s="61">
        <v>170.20787454321254</v>
      </c>
      <c r="H904" s="23">
        <v>-28580.704712968371</v>
      </c>
      <c r="I904" s="23">
        <v>-28580.704712968371</v>
      </c>
      <c r="J904" s="23">
        <v>0</v>
      </c>
      <c r="K904" s="23">
        <v>0</v>
      </c>
    </row>
    <row r="905" spans="5:11">
      <c r="E905" s="62">
        <v>894</v>
      </c>
      <c r="F905" s="43">
        <v>0.52971351508726416</v>
      </c>
      <c r="G905" s="61">
        <v>11.213663303887946</v>
      </c>
      <c r="H905" s="23">
        <v>-28580.704712968371</v>
      </c>
      <c r="I905" s="23">
        <v>-28580.704712968371</v>
      </c>
      <c r="J905" s="23">
        <v>0</v>
      </c>
      <c r="K905" s="23">
        <v>0</v>
      </c>
    </row>
    <row r="906" spans="5:11">
      <c r="E906" s="62">
        <v>895</v>
      </c>
      <c r="F906" s="43">
        <v>0.47028648491273584</v>
      </c>
      <c r="G906" s="61">
        <v>75.441322760600286</v>
      </c>
      <c r="H906" s="23">
        <v>-28580.704712968371</v>
      </c>
      <c r="I906" s="23">
        <v>-28580.704712968371</v>
      </c>
      <c r="J906" s="23">
        <v>0</v>
      </c>
      <c r="K906" s="23">
        <v>0</v>
      </c>
    </row>
    <row r="907" spans="5:11">
      <c r="E907" s="62">
        <v>896</v>
      </c>
      <c r="F907" s="43">
        <v>0.36465535999043353</v>
      </c>
      <c r="G907" s="61">
        <v>166.28854066836087</v>
      </c>
      <c r="H907" s="23">
        <v>-28580.704712968371</v>
      </c>
      <c r="I907" s="23">
        <v>-28580.704712968371</v>
      </c>
      <c r="J907" s="23">
        <v>0</v>
      </c>
      <c r="K907" s="23">
        <v>0</v>
      </c>
    </row>
    <row r="908" spans="5:11">
      <c r="E908" s="62">
        <v>897</v>
      </c>
      <c r="F908" s="43">
        <v>0.63534464000956647</v>
      </c>
      <c r="G908" s="61">
        <v>45.358768714707779</v>
      </c>
      <c r="H908" s="23">
        <v>-28580.704712968371</v>
      </c>
      <c r="I908" s="23">
        <v>-28580.704712968371</v>
      </c>
      <c r="J908" s="23">
        <v>0</v>
      </c>
      <c r="K908" s="23">
        <v>0</v>
      </c>
    </row>
    <row r="909" spans="5:11">
      <c r="E909" s="62">
        <v>898</v>
      </c>
      <c r="F909" s="43">
        <v>0.86589733062281371</v>
      </c>
      <c r="G909" s="61">
        <v>526.70706456271932</v>
      </c>
      <c r="H909" s="23">
        <v>-28580.704712968371</v>
      </c>
      <c r="I909" s="23">
        <v>-28580.704712968371</v>
      </c>
      <c r="J909" s="23">
        <v>0</v>
      </c>
      <c r="K909" s="23">
        <v>0</v>
      </c>
    </row>
    <row r="910" spans="5:11">
      <c r="E910" s="62">
        <v>899</v>
      </c>
      <c r="F910" s="43">
        <v>0.13410266937718629</v>
      </c>
      <c r="G910" s="61">
        <v>200.91495830224795</v>
      </c>
      <c r="H910" s="23">
        <v>-28580.704712968371</v>
      </c>
      <c r="I910" s="23">
        <v>-28580.704712968371</v>
      </c>
      <c r="J910" s="23">
        <v>0</v>
      </c>
      <c r="K910" s="23">
        <v>0</v>
      </c>
    </row>
    <row r="911" spans="5:11">
      <c r="E911" s="62">
        <v>900</v>
      </c>
      <c r="F911" s="43">
        <v>1.2464895009559829E-2</v>
      </c>
      <c r="G911" s="61">
        <v>116.08773659286595</v>
      </c>
      <c r="H911" s="23">
        <v>-28580.704712968371</v>
      </c>
      <c r="I911" s="23">
        <v>-28580.704712968371</v>
      </c>
      <c r="J911" s="23">
        <v>0</v>
      </c>
      <c r="K911" s="23">
        <v>0</v>
      </c>
    </row>
    <row r="912" spans="5:11">
      <c r="E912" s="62">
        <v>901</v>
      </c>
      <c r="F912" s="43">
        <v>0.98753510499044017</v>
      </c>
      <c r="G912" s="61">
        <v>1.2543233481315781</v>
      </c>
      <c r="H912" s="23">
        <v>575365.74079116632</v>
      </c>
      <c r="I912" s="23">
        <v>-7396.2613009771694</v>
      </c>
      <c r="J912" s="23">
        <v>-729.36420787502323</v>
      </c>
      <c r="K912" s="23">
        <v>583491.3663000185</v>
      </c>
    </row>
    <row r="913" spans="5:11">
      <c r="E913" s="62">
        <v>902</v>
      </c>
      <c r="F913" s="43">
        <v>0.29075134333689823</v>
      </c>
      <c r="G913" s="61">
        <v>39.440157645277402</v>
      </c>
      <c r="H913" s="23">
        <v>-28580.704712968371</v>
      </c>
      <c r="I913" s="23">
        <v>-28580.704712968371</v>
      </c>
      <c r="J913" s="23">
        <v>0</v>
      </c>
      <c r="K913" s="23">
        <v>0</v>
      </c>
    </row>
    <row r="914" spans="5:11">
      <c r="E914" s="62">
        <v>903</v>
      </c>
      <c r="F914" s="43">
        <v>0.70924865666310177</v>
      </c>
      <c r="G914" s="61">
        <v>34.354909931950047</v>
      </c>
      <c r="H914" s="23">
        <v>-28580.704712968371</v>
      </c>
      <c r="I914" s="23">
        <v>-28580.704712968371</v>
      </c>
      <c r="J914" s="23">
        <v>0</v>
      </c>
      <c r="K914" s="23">
        <v>0</v>
      </c>
    </row>
    <row r="915" spans="5:11">
      <c r="E915" s="62">
        <v>904</v>
      </c>
      <c r="F915" s="43">
        <v>4.2712470477892506E-3</v>
      </c>
      <c r="G915" s="61">
        <v>342.68252192404412</v>
      </c>
      <c r="H915" s="23">
        <v>-28580.704712968371</v>
      </c>
      <c r="I915" s="23">
        <v>-28580.704712968371</v>
      </c>
      <c r="J915" s="23">
        <v>0</v>
      </c>
      <c r="K915" s="23">
        <v>0</v>
      </c>
    </row>
    <row r="916" spans="5:11">
      <c r="E916" s="62">
        <v>905</v>
      </c>
      <c r="F916" s="43">
        <v>0.99572875295221075</v>
      </c>
      <c r="G916" s="61">
        <v>0.42803948811912718</v>
      </c>
      <c r="H916" s="23">
        <v>592209.76822575892</v>
      </c>
      <c r="I916" s="23">
        <v>-1493.0411917680374</v>
      </c>
      <c r="J916" s="23">
        <v>-743.05733343870713</v>
      </c>
      <c r="K916" s="23">
        <v>594445.86675096571</v>
      </c>
    </row>
    <row r="917" spans="5:11">
      <c r="E917" s="62">
        <v>906</v>
      </c>
      <c r="F917" s="43">
        <v>0.79066651595031467</v>
      </c>
      <c r="G917" s="61">
        <v>151.43912652893803</v>
      </c>
      <c r="H917" s="23">
        <v>-28580.704712968371</v>
      </c>
      <c r="I917" s="23">
        <v>-28580.704712968371</v>
      </c>
      <c r="J917" s="23">
        <v>0</v>
      </c>
      <c r="K917" s="23">
        <v>0</v>
      </c>
    </row>
    <row r="918" spans="5:11">
      <c r="E918" s="62">
        <v>907</v>
      </c>
      <c r="F918" s="43">
        <v>0.20933348404968533</v>
      </c>
      <c r="G918" s="61">
        <v>156.3826681199734</v>
      </c>
      <c r="H918" s="23">
        <v>-28580.704712968371</v>
      </c>
      <c r="I918" s="23">
        <v>-28580.704712968371</v>
      </c>
      <c r="J918" s="23">
        <v>0</v>
      </c>
      <c r="K918" s="23">
        <v>0</v>
      </c>
    </row>
    <row r="919" spans="5:11">
      <c r="E919" s="62">
        <v>908</v>
      </c>
      <c r="F919" s="43">
        <v>0.22110642818686266</v>
      </c>
      <c r="G919" s="61">
        <v>26.301161302673858</v>
      </c>
      <c r="H919" s="23">
        <v>-28580.704712968371</v>
      </c>
      <c r="I919" s="23">
        <v>-28580.704712968371</v>
      </c>
      <c r="J919" s="23">
        <v>0</v>
      </c>
      <c r="K919" s="23">
        <v>0</v>
      </c>
    </row>
    <row r="920" spans="5:11">
      <c r="E920" s="62">
        <v>909</v>
      </c>
      <c r="F920" s="43">
        <v>0.77889357181313734</v>
      </c>
      <c r="G920" s="61">
        <v>24.98808639942088</v>
      </c>
      <c r="H920" s="23">
        <v>-28580.704712968371</v>
      </c>
      <c r="I920" s="23">
        <v>-28580.704712968371</v>
      </c>
      <c r="J920" s="23">
        <v>0</v>
      </c>
      <c r="K920" s="23">
        <v>0</v>
      </c>
    </row>
    <row r="921" spans="5:11">
      <c r="E921" s="62">
        <v>910</v>
      </c>
      <c r="F921" s="43">
        <v>0.83162665183836371</v>
      </c>
      <c r="G921" s="61">
        <v>62.980050366201034</v>
      </c>
      <c r="H921" s="23">
        <v>-28580.704712968371</v>
      </c>
      <c r="I921" s="23">
        <v>-28580.704712968371</v>
      </c>
      <c r="J921" s="23">
        <v>0</v>
      </c>
      <c r="K921" s="23">
        <v>0</v>
      </c>
    </row>
    <row r="922" spans="5:11">
      <c r="E922" s="62">
        <v>911</v>
      </c>
      <c r="F922" s="43">
        <v>0.16837334816163629</v>
      </c>
      <c r="G922" s="61">
        <v>178.15714547725676</v>
      </c>
      <c r="H922" s="23">
        <v>-28580.704712968371</v>
      </c>
      <c r="I922" s="23">
        <v>-28580.704712968371</v>
      </c>
      <c r="J922" s="23">
        <v>0</v>
      </c>
      <c r="K922" s="23">
        <v>0</v>
      </c>
    </row>
    <row r="923" spans="5:11">
      <c r="E923" s="62">
        <v>912</v>
      </c>
      <c r="F923" s="43">
        <v>0.49959728071005494</v>
      </c>
      <c r="G923" s="61">
        <v>9.940931072178298</v>
      </c>
      <c r="H923" s="23">
        <v>-28580.704712968371</v>
      </c>
      <c r="I923" s="23">
        <v>-28580.704712968371</v>
      </c>
      <c r="J923" s="23">
        <v>0</v>
      </c>
      <c r="K923" s="23">
        <v>0</v>
      </c>
    </row>
    <row r="924" spans="5:11">
      <c r="E924" s="62">
        <v>913</v>
      </c>
      <c r="F924" s="43">
        <v>0.50040271928994506</v>
      </c>
      <c r="G924" s="61">
        <v>69.234206617164233</v>
      </c>
      <c r="H924" s="23">
        <v>-28580.704712968371</v>
      </c>
      <c r="I924" s="23">
        <v>-28580.704712968371</v>
      </c>
      <c r="J924" s="23">
        <v>0</v>
      </c>
      <c r="K924" s="23">
        <v>0</v>
      </c>
    </row>
    <row r="925" spans="5:11">
      <c r="E925" s="62">
        <v>914</v>
      </c>
      <c r="F925" s="43">
        <v>0.21146022656941121</v>
      </c>
      <c r="G925" s="61">
        <v>2.0295979509122977</v>
      </c>
      <c r="H925" s="23">
        <v>562936.73695936962</v>
      </c>
      <c r="I925" s="23">
        <v>-11752.175920696782</v>
      </c>
      <c r="J925" s="23">
        <v>-719.26021637054612</v>
      </c>
      <c r="K925" s="23">
        <v>575408.17309643689</v>
      </c>
    </row>
    <row r="926" spans="5:11">
      <c r="E926" s="62">
        <v>915</v>
      </c>
      <c r="F926" s="43">
        <v>0.78853977343058879</v>
      </c>
      <c r="G926" s="61">
        <v>23.757243196078271</v>
      </c>
      <c r="H926" s="23">
        <v>-28580.704712968371</v>
      </c>
      <c r="I926" s="23">
        <v>-28580.704712968371</v>
      </c>
      <c r="J926" s="23">
        <v>0</v>
      </c>
      <c r="K926" s="23">
        <v>0</v>
      </c>
    </row>
    <row r="927" spans="5:11">
      <c r="E927" s="62">
        <v>916</v>
      </c>
      <c r="F927" s="43">
        <v>0.83721985448171266</v>
      </c>
      <c r="G927" s="61">
        <v>79.27398813616341</v>
      </c>
      <c r="H927" s="23">
        <v>-28580.704712968371</v>
      </c>
      <c r="I927" s="23">
        <v>-28580.704712968371</v>
      </c>
      <c r="J927" s="23">
        <v>0</v>
      </c>
      <c r="K927" s="23">
        <v>0</v>
      </c>
    </row>
    <row r="928" spans="5:11">
      <c r="E928" s="62">
        <v>917</v>
      </c>
      <c r="F928" s="43">
        <v>0.16278014551828734</v>
      </c>
      <c r="G928" s="61">
        <v>181.53547891268445</v>
      </c>
      <c r="H928" s="23">
        <v>-28580.704712968371</v>
      </c>
      <c r="I928" s="23">
        <v>-28580.704712968371</v>
      </c>
      <c r="J928" s="23">
        <v>0</v>
      </c>
      <c r="K928" s="23">
        <v>0</v>
      </c>
    </row>
    <row r="929" spans="5:11">
      <c r="E929" s="62">
        <v>918</v>
      </c>
      <c r="F929" s="43">
        <v>0.93909669933947526</v>
      </c>
      <c r="G929" s="61">
        <v>1.9211657910316635</v>
      </c>
      <c r="H929" s="23">
        <v>567060.48828038177</v>
      </c>
      <c r="I929" s="23">
        <v>-10306.95079160545</v>
      </c>
      <c r="J929" s="23">
        <v>-722.61256454566615</v>
      </c>
      <c r="K929" s="23">
        <v>578090.05163653288</v>
      </c>
    </row>
    <row r="930" spans="5:11">
      <c r="E930" s="62">
        <v>919</v>
      </c>
      <c r="F930" s="43">
        <v>6.090330066052474E-2</v>
      </c>
      <c r="G930" s="61">
        <v>279.84679076967734</v>
      </c>
      <c r="H930" s="23">
        <v>-28580.704712968371</v>
      </c>
      <c r="I930" s="23">
        <v>-28580.704712968371</v>
      </c>
      <c r="J930" s="23">
        <v>0</v>
      </c>
      <c r="K930" s="23">
        <v>0</v>
      </c>
    </row>
    <row r="931" spans="5:11">
      <c r="E931" s="62">
        <v>920</v>
      </c>
      <c r="F931" s="43">
        <v>0.16156553415380959</v>
      </c>
      <c r="G931" s="61">
        <v>66.361798254414708</v>
      </c>
      <c r="H931" s="23">
        <v>-28580.704712968371</v>
      </c>
      <c r="I931" s="23">
        <v>-28580.704712968371</v>
      </c>
      <c r="J931" s="23">
        <v>0</v>
      </c>
      <c r="K931" s="23">
        <v>0</v>
      </c>
    </row>
    <row r="932" spans="5:11">
      <c r="E932" s="62">
        <v>921</v>
      </c>
      <c r="F932" s="43">
        <v>0.83843446584619041</v>
      </c>
      <c r="G932" s="61">
        <v>17.621885718804499</v>
      </c>
      <c r="H932" s="23">
        <v>-28580.704712968371</v>
      </c>
      <c r="I932" s="23">
        <v>-28580.704712968371</v>
      </c>
      <c r="J932" s="23">
        <v>0</v>
      </c>
      <c r="K932" s="23">
        <v>0</v>
      </c>
    </row>
    <row r="933" spans="5:11">
      <c r="E933" s="62">
        <v>922</v>
      </c>
      <c r="F933" s="43">
        <v>0.34249852095927313</v>
      </c>
      <c r="G933" s="61">
        <v>31.697727962507827</v>
      </c>
      <c r="H933" s="23">
        <v>-28580.704712968371</v>
      </c>
      <c r="I933" s="23">
        <v>-28580.704712968371</v>
      </c>
      <c r="J933" s="23">
        <v>0</v>
      </c>
      <c r="K933" s="23">
        <v>0</v>
      </c>
    </row>
    <row r="934" spans="5:11">
      <c r="E934" s="62">
        <v>923</v>
      </c>
      <c r="F934" s="43">
        <v>0.65750147904072687</v>
      </c>
      <c r="G934" s="61">
        <v>41.930826544114773</v>
      </c>
      <c r="H934" s="23">
        <v>-28580.704712968371</v>
      </c>
      <c r="I934" s="23">
        <v>-28580.704712968371</v>
      </c>
      <c r="J934" s="23">
        <v>0</v>
      </c>
      <c r="K934" s="23">
        <v>0</v>
      </c>
    </row>
    <row r="935" spans="5:11">
      <c r="E935" s="62">
        <v>924</v>
      </c>
      <c r="F935" s="43">
        <v>0.43668598342407994</v>
      </c>
      <c r="G935" s="61">
        <v>7.6347780897441346</v>
      </c>
      <c r="H935" s="23">
        <v>-28580.704712968371</v>
      </c>
      <c r="I935" s="23">
        <v>-28580.704712968371</v>
      </c>
      <c r="J935" s="23">
        <v>0</v>
      </c>
      <c r="K935" s="23">
        <v>0</v>
      </c>
    </row>
    <row r="936" spans="5:11">
      <c r="E936" s="62">
        <v>925</v>
      </c>
      <c r="F936" s="43">
        <v>0.56331401657592006</v>
      </c>
      <c r="G936" s="61">
        <v>57.391805042296362</v>
      </c>
      <c r="H936" s="23">
        <v>-28580.704712968371</v>
      </c>
      <c r="I936" s="23">
        <v>-28580.704712968371</v>
      </c>
      <c r="J936" s="23">
        <v>0</v>
      </c>
      <c r="K936" s="23">
        <v>0</v>
      </c>
    </row>
    <row r="937" spans="5:11">
      <c r="E937" s="62">
        <v>926</v>
      </c>
      <c r="F937" s="43">
        <v>0.79043657299995951</v>
      </c>
      <c r="G937" s="61">
        <v>150.29221898734929</v>
      </c>
      <c r="H937" s="23">
        <v>-28580.704712968371</v>
      </c>
      <c r="I937" s="23">
        <v>-28580.704712968371</v>
      </c>
      <c r="J937" s="23">
        <v>0</v>
      </c>
      <c r="K937" s="23">
        <v>0</v>
      </c>
    </row>
    <row r="938" spans="5:11">
      <c r="E938" s="62">
        <v>927</v>
      </c>
      <c r="F938" s="43">
        <v>0.20956342700004049</v>
      </c>
      <c r="G938" s="61">
        <v>156.27288312639379</v>
      </c>
      <c r="H938" s="23">
        <v>-28580.704712968371</v>
      </c>
      <c r="I938" s="23">
        <v>-28580.704712968371</v>
      </c>
      <c r="J938" s="23">
        <v>0</v>
      </c>
      <c r="K938" s="23">
        <v>0</v>
      </c>
    </row>
    <row r="939" spans="5:11">
      <c r="E939" s="62">
        <v>928</v>
      </c>
      <c r="F939" s="43">
        <v>0.77988071935794967</v>
      </c>
      <c r="G939" s="61">
        <v>196.86213717013149</v>
      </c>
      <c r="H939" s="23">
        <v>-28580.704712968371</v>
      </c>
      <c r="I939" s="23">
        <v>-28580.704712968371</v>
      </c>
      <c r="J939" s="23">
        <v>0</v>
      </c>
      <c r="K939" s="23">
        <v>0</v>
      </c>
    </row>
    <row r="940" spans="5:11">
      <c r="E940" s="62">
        <v>929</v>
      </c>
      <c r="F940" s="43">
        <v>0.22011928064205033</v>
      </c>
      <c r="G940" s="61">
        <v>151.35856948222212</v>
      </c>
      <c r="H940" s="23">
        <v>-28580.704712968371</v>
      </c>
      <c r="I940" s="23">
        <v>-28580.704712968371</v>
      </c>
      <c r="J940" s="23">
        <v>0</v>
      </c>
      <c r="K940" s="23">
        <v>0</v>
      </c>
    </row>
    <row r="941" spans="5:11">
      <c r="E941" s="62">
        <v>930</v>
      </c>
      <c r="F941" s="43">
        <v>0.25538938664517064</v>
      </c>
      <c r="G941" s="61">
        <v>13.714676105923179</v>
      </c>
      <c r="H941" s="23">
        <v>-28580.704712968371</v>
      </c>
      <c r="I941" s="23">
        <v>-28580.704712968371</v>
      </c>
      <c r="J941" s="23">
        <v>0</v>
      </c>
      <c r="K941" s="23">
        <v>0</v>
      </c>
    </row>
    <row r="942" spans="5:11">
      <c r="E942" s="62">
        <v>931</v>
      </c>
      <c r="F942" s="43">
        <v>0.74461061335482936</v>
      </c>
      <c r="G942" s="61">
        <v>29.489386387821035</v>
      </c>
      <c r="H942" s="23">
        <v>-28580.704712968371</v>
      </c>
      <c r="I942" s="23">
        <v>-28580.704712968371</v>
      </c>
      <c r="J942" s="23">
        <v>0</v>
      </c>
      <c r="K942" s="23">
        <v>0</v>
      </c>
    </row>
    <row r="943" spans="5:11">
      <c r="E943" s="62">
        <v>932</v>
      </c>
      <c r="F943" s="43">
        <v>0.45033286328401967</v>
      </c>
      <c r="G943" s="61">
        <v>29.508660324241063</v>
      </c>
      <c r="H943" s="23">
        <v>-28580.704712968371</v>
      </c>
      <c r="I943" s="23">
        <v>-28580.704712968371</v>
      </c>
      <c r="J943" s="23">
        <v>0</v>
      </c>
      <c r="K943" s="23">
        <v>0</v>
      </c>
    </row>
    <row r="944" spans="5:11">
      <c r="E944" s="62">
        <v>933</v>
      </c>
      <c r="F944" s="43">
        <v>0.54966713671598033</v>
      </c>
      <c r="G944" s="61">
        <v>59.844238993762296</v>
      </c>
      <c r="H944" s="23">
        <v>-28580.704712968371</v>
      </c>
      <c r="I944" s="23">
        <v>-28580.704712968371</v>
      </c>
      <c r="J944" s="23">
        <v>0</v>
      </c>
      <c r="K944" s="23">
        <v>0</v>
      </c>
    </row>
    <row r="945" spans="5:11">
      <c r="E945" s="62">
        <v>934</v>
      </c>
      <c r="F945" s="43">
        <v>0.49509719750718406</v>
      </c>
      <c r="G945" s="61">
        <v>16.772120319378438</v>
      </c>
      <c r="H945" s="23">
        <v>-28580.704712968371</v>
      </c>
      <c r="I945" s="23">
        <v>-28580.704712968371</v>
      </c>
      <c r="J945" s="23">
        <v>0</v>
      </c>
      <c r="K945" s="23">
        <v>0</v>
      </c>
    </row>
    <row r="946" spans="5:11">
      <c r="E946" s="62">
        <v>935</v>
      </c>
      <c r="F946" s="43">
        <v>0.50490280249281594</v>
      </c>
      <c r="G946" s="61">
        <v>68.338933854282018</v>
      </c>
      <c r="H946" s="23">
        <v>-28580.704712968371</v>
      </c>
      <c r="I946" s="23">
        <v>-28580.704712968371</v>
      </c>
      <c r="J946" s="23">
        <v>0</v>
      </c>
      <c r="K946" s="23">
        <v>0</v>
      </c>
    </row>
    <row r="947" spans="5:11">
      <c r="E947" s="62">
        <v>936</v>
      </c>
      <c r="F947" s="43">
        <v>0.56884984947761941</v>
      </c>
      <c r="G947" s="61">
        <v>254.29213198613505</v>
      </c>
      <c r="H947" s="23">
        <v>-28580.704712968371</v>
      </c>
      <c r="I947" s="23">
        <v>-28580.704712968371</v>
      </c>
      <c r="J947" s="23">
        <v>0</v>
      </c>
      <c r="K947" s="23">
        <v>0</v>
      </c>
    </row>
    <row r="948" spans="5:11">
      <c r="E948" s="62">
        <v>937</v>
      </c>
      <c r="F948" s="43">
        <v>0.43115015052238059</v>
      </c>
      <c r="G948" s="61">
        <v>84.129887246550524</v>
      </c>
      <c r="H948" s="23">
        <v>-28580.704712968371</v>
      </c>
      <c r="I948" s="23">
        <v>-28580.704712968371</v>
      </c>
      <c r="J948" s="23">
        <v>0</v>
      </c>
      <c r="K948" s="23">
        <v>0</v>
      </c>
    </row>
    <row r="949" spans="5:11">
      <c r="E949" s="62">
        <v>938</v>
      </c>
      <c r="F949" s="43">
        <v>0.51976385284448756</v>
      </c>
      <c r="G949" s="61">
        <v>128.9330812132942</v>
      </c>
      <c r="H949" s="23">
        <v>-28580.704712968371</v>
      </c>
      <c r="I949" s="23">
        <v>-28580.704712968371</v>
      </c>
      <c r="J949" s="23">
        <v>0</v>
      </c>
      <c r="K949" s="23">
        <v>0</v>
      </c>
    </row>
    <row r="950" spans="5:11">
      <c r="E950" s="62">
        <v>939</v>
      </c>
      <c r="F950" s="43">
        <v>0.48023614715551244</v>
      </c>
      <c r="G950" s="61">
        <v>73.347732281870691</v>
      </c>
      <c r="H950" s="23">
        <v>-28580.704712968371</v>
      </c>
      <c r="I950" s="23">
        <v>-28580.704712968371</v>
      </c>
      <c r="J950" s="23">
        <v>0</v>
      </c>
      <c r="K950" s="23">
        <v>0</v>
      </c>
    </row>
    <row r="951" spans="5:11">
      <c r="E951" s="62">
        <v>940</v>
      </c>
      <c r="F951" s="43">
        <v>0.19944534591856256</v>
      </c>
      <c r="G951" s="61">
        <v>2.0932427664405142</v>
      </c>
      <c r="H951" s="23">
        <v>562936.73695936962</v>
      </c>
      <c r="I951" s="23">
        <v>-11752.175920696782</v>
      </c>
      <c r="J951" s="23">
        <v>-719.26021637054612</v>
      </c>
      <c r="K951" s="23">
        <v>575408.17309643689</v>
      </c>
    </row>
    <row r="952" spans="5:11">
      <c r="E952" s="62">
        <v>941</v>
      </c>
      <c r="F952" s="43">
        <v>0.80055465408143744</v>
      </c>
      <c r="G952" s="61">
        <v>22.245047394602903</v>
      </c>
      <c r="H952" s="23">
        <v>-28580.704712968371</v>
      </c>
      <c r="I952" s="23">
        <v>-28580.704712968371</v>
      </c>
      <c r="J952" s="23">
        <v>0</v>
      </c>
      <c r="K952" s="23">
        <v>0</v>
      </c>
    </row>
    <row r="953" spans="5:11">
      <c r="E953" s="62">
        <v>942</v>
      </c>
      <c r="F953" s="43">
        <v>0.2623033495551057</v>
      </c>
      <c r="G953" s="61">
        <v>208.60090013419654</v>
      </c>
      <c r="H953" s="23">
        <v>-28580.704712968371</v>
      </c>
      <c r="I953" s="23">
        <v>-28580.704712968371</v>
      </c>
      <c r="J953" s="23">
        <v>0</v>
      </c>
      <c r="K953" s="23">
        <v>0</v>
      </c>
    </row>
    <row r="954" spans="5:11">
      <c r="E954" s="62">
        <v>943</v>
      </c>
      <c r="F954" s="43">
        <v>0.7376966504448943</v>
      </c>
      <c r="G954" s="61">
        <v>30.422258164049119</v>
      </c>
      <c r="H954" s="23">
        <v>-28580.704712968371</v>
      </c>
      <c r="I954" s="23">
        <v>-28580.704712968371</v>
      </c>
      <c r="J954" s="23">
        <v>0</v>
      </c>
      <c r="K954" s="23">
        <v>0</v>
      </c>
    </row>
    <row r="955" spans="5:11">
      <c r="E955" s="62">
        <v>944</v>
      </c>
      <c r="F955" s="43">
        <v>0.17860861703211273</v>
      </c>
      <c r="G955" s="61">
        <v>65.788906295927077</v>
      </c>
      <c r="H955" s="23">
        <v>-28580.704712968371</v>
      </c>
      <c r="I955" s="23">
        <v>-28580.704712968371</v>
      </c>
      <c r="J955" s="23">
        <v>0</v>
      </c>
      <c r="K955" s="23">
        <v>0</v>
      </c>
    </row>
    <row r="956" spans="5:11">
      <c r="E956" s="62">
        <v>945</v>
      </c>
      <c r="F956" s="43">
        <v>0.82139138296788727</v>
      </c>
      <c r="G956" s="61">
        <v>19.675556817956227</v>
      </c>
      <c r="H956" s="23">
        <v>-28580.704712968371</v>
      </c>
      <c r="I956" s="23">
        <v>-28580.704712968371</v>
      </c>
      <c r="J956" s="23">
        <v>0</v>
      </c>
      <c r="K956" s="23">
        <v>0</v>
      </c>
    </row>
    <row r="957" spans="5:11">
      <c r="E957" s="62">
        <v>946</v>
      </c>
      <c r="F957" s="43">
        <v>0.957988098364144</v>
      </c>
      <c r="G957" s="61">
        <v>246.13221399129071</v>
      </c>
      <c r="H957" s="23">
        <v>-28580.704712968371</v>
      </c>
      <c r="I957" s="23">
        <v>-28580.704712968371</v>
      </c>
      <c r="J957" s="23">
        <v>0</v>
      </c>
      <c r="K957" s="23">
        <v>0</v>
      </c>
    </row>
    <row r="958" spans="5:11">
      <c r="E958" s="62">
        <v>947</v>
      </c>
      <c r="F958" s="43">
        <v>4.2011901635855997E-2</v>
      </c>
      <c r="G958" s="61">
        <v>316.98023285588249</v>
      </c>
      <c r="H958" s="23">
        <v>-28580.704712968371</v>
      </c>
      <c r="I958" s="23">
        <v>-28580.704712968371</v>
      </c>
      <c r="J958" s="23">
        <v>0</v>
      </c>
      <c r="K958" s="23">
        <v>0</v>
      </c>
    </row>
    <row r="959" spans="5:11">
      <c r="E959" s="62">
        <v>948</v>
      </c>
      <c r="F959" s="43">
        <v>0.11877665364400214</v>
      </c>
      <c r="G959" s="61">
        <v>309.59119172971003</v>
      </c>
      <c r="H959" s="23">
        <v>-28580.704712968371</v>
      </c>
      <c r="I959" s="23">
        <v>-28580.704712968371</v>
      </c>
      <c r="J959" s="23">
        <v>0</v>
      </c>
      <c r="K959" s="23">
        <v>0</v>
      </c>
    </row>
    <row r="960" spans="5:11">
      <c r="E960" s="62">
        <v>949</v>
      </c>
      <c r="F960" s="43">
        <v>0.88122334635599786</v>
      </c>
      <c r="G960" s="61">
        <v>12.644417058284571</v>
      </c>
      <c r="H960" s="23">
        <v>-28580.704712968371</v>
      </c>
      <c r="I960" s="23">
        <v>-28580.704712968371</v>
      </c>
      <c r="J960" s="23">
        <v>0</v>
      </c>
      <c r="K960" s="23">
        <v>0</v>
      </c>
    </row>
    <row r="961" spans="5:11">
      <c r="E961" s="62">
        <v>950</v>
      </c>
      <c r="F961" s="43">
        <v>0.52802967493900166</v>
      </c>
      <c r="G961" s="61">
        <v>63.801532265703095</v>
      </c>
      <c r="H961" s="23">
        <v>-28580.704712968371</v>
      </c>
      <c r="I961" s="23">
        <v>-28580.704712968371</v>
      </c>
      <c r="J961" s="23">
        <v>0</v>
      </c>
      <c r="K961" s="23">
        <v>0</v>
      </c>
    </row>
    <row r="962" spans="5:11">
      <c r="E962" s="62">
        <v>951</v>
      </c>
      <c r="F962" s="43">
        <v>0.47197032506099834</v>
      </c>
      <c r="G962" s="61">
        <v>75.083916600650085</v>
      </c>
      <c r="H962" s="23">
        <v>-28580.704712968371</v>
      </c>
      <c r="I962" s="23">
        <v>-28580.704712968371</v>
      </c>
      <c r="J962" s="23">
        <v>0</v>
      </c>
      <c r="K962" s="23">
        <v>0</v>
      </c>
    </row>
    <row r="963" spans="5:11">
      <c r="E963" s="62">
        <v>952</v>
      </c>
      <c r="F963" s="43">
        <v>0.54566111002118256</v>
      </c>
      <c r="G963" s="61">
        <v>0.91049749188048135</v>
      </c>
      <c r="H963" s="23">
        <v>583748.59242693754</v>
      </c>
      <c r="I963" s="23">
        <v>-4458.3761342045282</v>
      </c>
      <c r="J963" s="23">
        <v>-736.17893436938925</v>
      </c>
      <c r="K963" s="23">
        <v>588943.14749551145</v>
      </c>
    </row>
    <row r="964" spans="5:11">
      <c r="E964" s="62">
        <v>953</v>
      </c>
      <c r="F964" s="43">
        <v>0.45433888997881744</v>
      </c>
      <c r="G964" s="61">
        <v>78.891190570095276</v>
      </c>
      <c r="H964" s="23">
        <v>-28580.704712968371</v>
      </c>
      <c r="I964" s="23">
        <v>-28580.704712968371</v>
      </c>
      <c r="J964" s="23">
        <v>0</v>
      </c>
      <c r="K964" s="23">
        <v>0</v>
      </c>
    </row>
    <row r="965" spans="5:11">
      <c r="E965" s="62">
        <v>954</v>
      </c>
      <c r="F965" s="43">
        <v>0.24755025914821527</v>
      </c>
      <c r="G965" s="61">
        <v>35.47237356053899</v>
      </c>
      <c r="H965" s="23">
        <v>-28580.704712968371</v>
      </c>
      <c r="I965" s="23">
        <v>-28580.704712968371</v>
      </c>
      <c r="J965" s="23">
        <v>0</v>
      </c>
      <c r="K965" s="23">
        <v>0</v>
      </c>
    </row>
    <row r="966" spans="5:11">
      <c r="E966" s="62">
        <v>955</v>
      </c>
      <c r="F966" s="43">
        <v>0.75244974085178473</v>
      </c>
      <c r="G966" s="61">
        <v>28.44210741553632</v>
      </c>
      <c r="H966" s="23">
        <v>-28580.704712968371</v>
      </c>
      <c r="I966" s="23">
        <v>-28580.704712968371</v>
      </c>
      <c r="J966" s="23">
        <v>0</v>
      </c>
      <c r="K966" s="23">
        <v>0</v>
      </c>
    </row>
    <row r="967" spans="5:11">
      <c r="E967" s="62">
        <v>956</v>
      </c>
      <c r="F967" s="43">
        <v>0.61957284210478525</v>
      </c>
      <c r="G967" s="61">
        <v>69.900390860739051</v>
      </c>
      <c r="H967" s="23">
        <v>-28580.704712968371</v>
      </c>
      <c r="I967" s="23">
        <v>-28580.704712968371</v>
      </c>
      <c r="J967" s="23">
        <v>0</v>
      </c>
      <c r="K967" s="23">
        <v>0</v>
      </c>
    </row>
    <row r="968" spans="5:11">
      <c r="E968" s="62">
        <v>957</v>
      </c>
      <c r="F968" s="43">
        <v>0.38042715789521475</v>
      </c>
      <c r="G968" s="61">
        <v>96.646055786447931</v>
      </c>
      <c r="H968" s="23">
        <v>-28580.704712968371</v>
      </c>
      <c r="I968" s="23">
        <v>-28580.704712968371</v>
      </c>
      <c r="J968" s="23">
        <v>0</v>
      </c>
      <c r="K968" s="23">
        <v>0</v>
      </c>
    </row>
    <row r="969" spans="5:11">
      <c r="E969" s="62">
        <v>958</v>
      </c>
      <c r="F969" s="43">
        <v>0.49585045580340559</v>
      </c>
      <c r="G969" s="61">
        <v>102.222991526577</v>
      </c>
      <c r="H969" s="23">
        <v>-28580.704712968371</v>
      </c>
      <c r="I969" s="23">
        <v>-28580.704712968371</v>
      </c>
      <c r="J969" s="23">
        <v>0</v>
      </c>
      <c r="K969" s="23">
        <v>0</v>
      </c>
    </row>
    <row r="970" spans="5:11">
      <c r="E970" s="62">
        <v>959</v>
      </c>
      <c r="F970" s="43">
        <v>0.50414954419659441</v>
      </c>
      <c r="G970" s="61">
        <v>68.488234024607962</v>
      </c>
      <c r="H970" s="23">
        <v>-28580.704712968371</v>
      </c>
      <c r="I970" s="23">
        <v>-28580.704712968371</v>
      </c>
      <c r="J970" s="23">
        <v>0</v>
      </c>
      <c r="K970" s="23">
        <v>0</v>
      </c>
    </row>
    <row r="971" spans="5:11">
      <c r="E971" s="62">
        <v>960</v>
      </c>
      <c r="F971" s="43">
        <v>0.55986529043845479</v>
      </c>
      <c r="G971" s="61">
        <v>41.996561080918092</v>
      </c>
      <c r="H971" s="23">
        <v>-28580.704712968371</v>
      </c>
      <c r="I971" s="23">
        <v>-28580.704712968371</v>
      </c>
      <c r="J971" s="23">
        <v>0</v>
      </c>
      <c r="K971" s="23">
        <v>0</v>
      </c>
    </row>
    <row r="972" spans="5:11">
      <c r="E972" s="62">
        <v>961</v>
      </c>
      <c r="F972" s="43">
        <v>0.44013470956154521</v>
      </c>
      <c r="G972" s="61">
        <v>82.067444083223521</v>
      </c>
      <c r="H972" s="23">
        <v>-28580.704712968371</v>
      </c>
      <c r="I972" s="23">
        <v>-28580.704712968371</v>
      </c>
      <c r="J972" s="23">
        <v>0</v>
      </c>
      <c r="K972" s="23">
        <v>0</v>
      </c>
    </row>
    <row r="973" spans="5:11">
      <c r="E973" s="62">
        <v>962</v>
      </c>
      <c r="F973" s="43">
        <v>0.69837872992247418</v>
      </c>
      <c r="G973" s="61">
        <v>42.973798389370053</v>
      </c>
      <c r="H973" s="23">
        <v>-28580.704712968371</v>
      </c>
      <c r="I973" s="23">
        <v>-28580.704712968371</v>
      </c>
      <c r="J973" s="23">
        <v>0</v>
      </c>
      <c r="K973" s="23">
        <v>0</v>
      </c>
    </row>
    <row r="974" spans="5:11">
      <c r="E974" s="62">
        <v>963</v>
      </c>
      <c r="F974" s="43">
        <v>0.30162127007752582</v>
      </c>
      <c r="G974" s="61">
        <v>119.85831212053179</v>
      </c>
      <c r="H974" s="23">
        <v>-28580.704712968371</v>
      </c>
      <c r="I974" s="23">
        <v>-28580.704712968371</v>
      </c>
      <c r="J974" s="23">
        <v>0</v>
      </c>
      <c r="K974" s="23">
        <v>0</v>
      </c>
    </row>
    <row r="975" spans="5:11">
      <c r="E975" s="62">
        <v>964</v>
      </c>
      <c r="F975" s="43">
        <v>0.15833250663922649</v>
      </c>
      <c r="G975" s="61">
        <v>177.40978609912733</v>
      </c>
      <c r="H975" s="23">
        <v>-28580.704712968371</v>
      </c>
      <c r="I975" s="23">
        <v>-28580.704712968371</v>
      </c>
      <c r="J975" s="23">
        <v>0</v>
      </c>
      <c r="K975" s="23">
        <v>0</v>
      </c>
    </row>
    <row r="976" spans="5:11">
      <c r="E976" s="62">
        <v>965</v>
      </c>
      <c r="F976" s="43">
        <v>0.84166749336077351</v>
      </c>
      <c r="G976" s="61">
        <v>17.237024373044889</v>
      </c>
      <c r="H976" s="23">
        <v>-28580.704712968371</v>
      </c>
      <c r="I976" s="23">
        <v>-28580.704712968371</v>
      </c>
      <c r="J976" s="23">
        <v>0</v>
      </c>
      <c r="K976" s="23">
        <v>0</v>
      </c>
    </row>
    <row r="977" spans="5:11">
      <c r="E977" s="62">
        <v>966</v>
      </c>
      <c r="F977" s="43">
        <v>0.26918980412686766</v>
      </c>
      <c r="G977" s="61">
        <v>30.170927164701755</v>
      </c>
      <c r="H977" s="23">
        <v>-28580.704712968371</v>
      </c>
      <c r="I977" s="23">
        <v>-28580.704712968371</v>
      </c>
      <c r="J977" s="23">
        <v>0</v>
      </c>
      <c r="K977" s="23">
        <v>0</v>
      </c>
    </row>
    <row r="978" spans="5:11">
      <c r="E978" s="62">
        <v>967</v>
      </c>
      <c r="F978" s="43">
        <v>0.73081019587313234</v>
      </c>
      <c r="G978" s="61">
        <v>31.360150291560295</v>
      </c>
      <c r="H978" s="23">
        <v>-28580.704712968371</v>
      </c>
      <c r="I978" s="23">
        <v>-28580.704712968371</v>
      </c>
      <c r="J978" s="23">
        <v>0</v>
      </c>
      <c r="K978" s="23">
        <v>0</v>
      </c>
    </row>
    <row r="979" spans="5:11">
      <c r="E979" s="62">
        <v>968</v>
      </c>
      <c r="F979" s="43">
        <v>0.49811352527060015</v>
      </c>
      <c r="G979" s="61">
        <v>116.65769672635415</v>
      </c>
      <c r="H979" s="23">
        <v>-28580.704712968371</v>
      </c>
      <c r="I979" s="23">
        <v>-28580.704712968371</v>
      </c>
      <c r="J979" s="23">
        <v>0</v>
      </c>
      <c r="K979" s="23">
        <v>0</v>
      </c>
    </row>
    <row r="980" spans="5:11">
      <c r="E980" s="62">
        <v>969</v>
      </c>
      <c r="F980" s="43">
        <v>0.50188647472939985</v>
      </c>
      <c r="G980" s="61">
        <v>68.93813308226315</v>
      </c>
      <c r="H980" s="23">
        <v>-28580.704712968371</v>
      </c>
      <c r="I980" s="23">
        <v>-28580.704712968371</v>
      </c>
      <c r="J980" s="23">
        <v>0</v>
      </c>
      <c r="K980" s="23">
        <v>0</v>
      </c>
    </row>
    <row r="981" spans="5:11">
      <c r="E981" s="62">
        <v>970</v>
      </c>
      <c r="F981" s="43">
        <v>0.19952454906203165</v>
      </c>
      <c r="G981" s="61">
        <v>26.723905023059601</v>
      </c>
      <c r="H981" s="23">
        <v>-28580.704712968371</v>
      </c>
      <c r="I981" s="23">
        <v>-28580.704712968371</v>
      </c>
      <c r="J981" s="23">
        <v>0</v>
      </c>
      <c r="K981" s="23">
        <v>0</v>
      </c>
    </row>
    <row r="982" spans="5:11">
      <c r="E982" s="62">
        <v>971</v>
      </c>
      <c r="F982" s="43">
        <v>0.80047545093796835</v>
      </c>
      <c r="G982" s="61">
        <v>22.254941417617886</v>
      </c>
      <c r="H982" s="23">
        <v>-28580.704712968371</v>
      </c>
      <c r="I982" s="23">
        <v>-28580.704712968371</v>
      </c>
      <c r="J982" s="23">
        <v>0</v>
      </c>
      <c r="K982" s="23">
        <v>0</v>
      </c>
    </row>
    <row r="983" spans="5:11">
      <c r="E983" s="62">
        <v>972</v>
      </c>
      <c r="F983" s="43">
        <v>6.5648364715725549E-2</v>
      </c>
      <c r="G983" s="61">
        <v>51.112466830602585</v>
      </c>
      <c r="H983" s="23">
        <v>-28580.704712968371</v>
      </c>
      <c r="I983" s="23">
        <v>-28580.704712968371</v>
      </c>
      <c r="J983" s="23">
        <v>0</v>
      </c>
      <c r="K983" s="23">
        <v>0</v>
      </c>
    </row>
    <row r="984" spans="5:11">
      <c r="E984" s="62">
        <v>973</v>
      </c>
      <c r="F984" s="43">
        <v>0.93435163528427445</v>
      </c>
      <c r="G984" s="61">
        <v>6.7902428431560606</v>
      </c>
      <c r="H984" s="23">
        <v>-28580.704712968371</v>
      </c>
      <c r="I984" s="23">
        <v>-28580.704712968371</v>
      </c>
      <c r="J984" s="23">
        <v>0</v>
      </c>
      <c r="K984" s="23">
        <v>0</v>
      </c>
    </row>
    <row r="985" spans="5:11">
      <c r="E985" s="62">
        <v>974</v>
      </c>
      <c r="F985" s="43">
        <v>0.32523632871451447</v>
      </c>
      <c r="G985" s="61">
        <v>3.5183853726520891</v>
      </c>
      <c r="H985" s="23">
        <v>538592.88659810065</v>
      </c>
      <c r="I985" s="23">
        <v>-20283.811691669787</v>
      </c>
      <c r="J985" s="23">
        <v>-699.47021062549493</v>
      </c>
      <c r="K985" s="23">
        <v>559576.16850039596</v>
      </c>
    </row>
    <row r="986" spans="5:11">
      <c r="E986" s="62">
        <v>975</v>
      </c>
      <c r="F986" s="43">
        <v>0.67476367128548553</v>
      </c>
      <c r="G986" s="61">
        <v>39.339276602883416</v>
      </c>
      <c r="H986" s="23">
        <v>-28580.704712968371</v>
      </c>
      <c r="I986" s="23">
        <v>-28580.704712968371</v>
      </c>
      <c r="J986" s="23">
        <v>0</v>
      </c>
      <c r="K986" s="23">
        <v>0</v>
      </c>
    </row>
    <row r="987" spans="5:11">
      <c r="E987" s="62">
        <v>976</v>
      </c>
      <c r="F987" s="43">
        <v>0.49472775839531169</v>
      </c>
      <c r="G987" s="61">
        <v>383.17247073627902</v>
      </c>
      <c r="H987" s="23">
        <v>-28580.704712968371</v>
      </c>
      <c r="I987" s="23">
        <v>-28580.704712968371</v>
      </c>
      <c r="J987" s="23">
        <v>0</v>
      </c>
      <c r="K987" s="23">
        <v>0</v>
      </c>
    </row>
    <row r="988" spans="5:11">
      <c r="E988" s="62">
        <v>977</v>
      </c>
      <c r="F988" s="43">
        <v>0.50527224160468831</v>
      </c>
      <c r="G988" s="61">
        <v>68.265790267830965</v>
      </c>
      <c r="H988" s="23">
        <v>-28580.704712968371</v>
      </c>
      <c r="I988" s="23">
        <v>-28580.704712968371</v>
      </c>
      <c r="J988" s="23">
        <v>0</v>
      </c>
      <c r="K988" s="23">
        <v>0</v>
      </c>
    </row>
    <row r="989" spans="5:11">
      <c r="E989" s="62">
        <v>978</v>
      </c>
      <c r="F989" s="43">
        <v>0.82541440958982271</v>
      </c>
      <c r="G989" s="61">
        <v>20.844428263005231</v>
      </c>
      <c r="H989" s="23">
        <v>-28580.704712968371</v>
      </c>
      <c r="I989" s="23">
        <v>-28580.704712968371</v>
      </c>
      <c r="J989" s="23">
        <v>0</v>
      </c>
      <c r="K989" s="23">
        <v>0</v>
      </c>
    </row>
    <row r="990" spans="5:11">
      <c r="E990" s="62">
        <v>979</v>
      </c>
      <c r="F990" s="43">
        <v>0.17458559041017729</v>
      </c>
      <c r="G990" s="61">
        <v>174.53401681336857</v>
      </c>
      <c r="H990" s="23">
        <v>-28580.704712968371</v>
      </c>
      <c r="I990" s="23">
        <v>-28580.704712968371</v>
      </c>
      <c r="J990" s="23">
        <v>0</v>
      </c>
      <c r="K990" s="23">
        <v>0</v>
      </c>
    </row>
    <row r="991" spans="5:11">
      <c r="E991" s="62">
        <v>980</v>
      </c>
      <c r="F991" s="43">
        <v>0.27825477703636226</v>
      </c>
      <c r="G991" s="61">
        <v>13.508811925771658</v>
      </c>
      <c r="H991" s="23">
        <v>-28580.704712968371</v>
      </c>
      <c r="I991" s="23">
        <v>-28580.704712968371</v>
      </c>
      <c r="J991" s="23">
        <v>0</v>
      </c>
      <c r="K991" s="23">
        <v>0</v>
      </c>
    </row>
    <row r="992" spans="5:11">
      <c r="E992" s="62">
        <v>981</v>
      </c>
      <c r="F992" s="43">
        <v>0.72174522296363774</v>
      </c>
      <c r="G992" s="61">
        <v>32.608307914663833</v>
      </c>
      <c r="H992" s="23">
        <v>-28580.704712968371</v>
      </c>
      <c r="I992" s="23">
        <v>-28580.704712968371</v>
      </c>
      <c r="J992" s="23">
        <v>0</v>
      </c>
      <c r="K992" s="23">
        <v>0</v>
      </c>
    </row>
    <row r="993" spans="5:11">
      <c r="E993" s="62">
        <v>982</v>
      </c>
      <c r="F993" s="43">
        <v>3.1456574361292455E-2</v>
      </c>
      <c r="G993" s="61">
        <v>97.921386251208872</v>
      </c>
      <c r="H993" s="23">
        <v>-28580.704712968371</v>
      </c>
      <c r="I993" s="23">
        <v>-28580.704712968371</v>
      </c>
      <c r="J993" s="23">
        <v>0</v>
      </c>
      <c r="K993" s="23">
        <v>0</v>
      </c>
    </row>
    <row r="994" spans="5:11">
      <c r="E994" s="62">
        <v>983</v>
      </c>
      <c r="F994" s="43">
        <v>0.96854342563870754</v>
      </c>
      <c r="G994" s="61">
        <v>3.1961959103412299</v>
      </c>
      <c r="H994" s="23">
        <v>546632.15550656326</v>
      </c>
      <c r="I994" s="23">
        <v>-17466.339797370179</v>
      </c>
      <c r="J994" s="23">
        <v>-706.00562616262005</v>
      </c>
      <c r="K994" s="23">
        <v>564804.50093009602</v>
      </c>
    </row>
    <row r="995" spans="5:11">
      <c r="E995" s="62">
        <v>984</v>
      </c>
      <c r="F995" s="43">
        <v>0.46521658124008047</v>
      </c>
      <c r="G995" s="61">
        <v>3.1548413817851255</v>
      </c>
      <c r="H995" s="23">
        <v>546632.15550656326</v>
      </c>
      <c r="I995" s="23">
        <v>-17466.339797370179</v>
      </c>
      <c r="J995" s="23">
        <v>-706.00562616262005</v>
      </c>
      <c r="K995" s="23">
        <v>564804.50093009602</v>
      </c>
    </row>
    <row r="996" spans="5:11">
      <c r="E996" s="62">
        <v>985</v>
      </c>
      <c r="F996" s="43">
        <v>0.53478341875991953</v>
      </c>
      <c r="G996" s="61">
        <v>62.589343879760406</v>
      </c>
      <c r="H996" s="23">
        <v>-28580.704712968371</v>
      </c>
      <c r="I996" s="23">
        <v>-28580.704712968371</v>
      </c>
      <c r="J996" s="23">
        <v>0</v>
      </c>
      <c r="K996" s="23">
        <v>0</v>
      </c>
    </row>
    <row r="997" spans="5:11">
      <c r="E997" s="62">
        <v>986</v>
      </c>
      <c r="F997" s="43">
        <v>0.13210585002418651</v>
      </c>
      <c r="G997" s="61">
        <v>20.909992331638659</v>
      </c>
      <c r="H997" s="23">
        <v>-28580.704712968371</v>
      </c>
      <c r="I997" s="23">
        <v>-28580.704712968371</v>
      </c>
      <c r="J997" s="23">
        <v>0</v>
      </c>
      <c r="K997" s="23">
        <v>0</v>
      </c>
    </row>
    <row r="998" spans="5:11">
      <c r="E998" s="62">
        <v>987</v>
      </c>
      <c r="F998" s="43">
        <v>0.86789414997581349</v>
      </c>
      <c r="G998" s="61">
        <v>14.168551879040372</v>
      </c>
      <c r="H998" s="23">
        <v>-28580.704712968371</v>
      </c>
      <c r="I998" s="23">
        <v>-28580.704712968371</v>
      </c>
      <c r="J998" s="23">
        <v>0</v>
      </c>
      <c r="K998" s="23">
        <v>0</v>
      </c>
    </row>
    <row r="999" spans="5:11">
      <c r="E999" s="62">
        <v>988</v>
      </c>
      <c r="F999" s="43">
        <v>0.96818861077151908</v>
      </c>
      <c r="G999" s="61">
        <v>55.588602307342704</v>
      </c>
      <c r="H999" s="23">
        <v>-28580.704712968371</v>
      </c>
      <c r="I999" s="23">
        <v>-28580.704712968371</v>
      </c>
      <c r="J999" s="23">
        <v>0</v>
      </c>
      <c r="K999" s="23">
        <v>0</v>
      </c>
    </row>
    <row r="1000" spans="5:11">
      <c r="E1000" s="62">
        <v>989</v>
      </c>
      <c r="F1000" s="43">
        <v>3.1811389228480924E-2</v>
      </c>
      <c r="G1000" s="61">
        <v>344.79309014780432</v>
      </c>
      <c r="H1000" s="23">
        <v>-28580.704712968371</v>
      </c>
      <c r="I1000" s="23">
        <v>-28580.704712968371</v>
      </c>
      <c r="J1000" s="23">
        <v>0</v>
      </c>
      <c r="K1000" s="23">
        <v>0</v>
      </c>
    </row>
    <row r="1001" spans="5:11">
      <c r="E1001" s="62">
        <v>990</v>
      </c>
      <c r="F1001" s="43">
        <v>0.94994653855362399</v>
      </c>
      <c r="G1001" s="61">
        <v>8.9845034853905386</v>
      </c>
      <c r="H1001" s="23">
        <v>-28580.704712968371</v>
      </c>
      <c r="I1001" s="23">
        <v>-28580.704712968371</v>
      </c>
      <c r="J1001" s="23">
        <v>0</v>
      </c>
      <c r="K1001" s="23">
        <v>0</v>
      </c>
    </row>
    <row r="1002" spans="5:11">
      <c r="E1002" s="62">
        <v>991</v>
      </c>
      <c r="F1002" s="43">
        <v>5.0053461446376013E-2</v>
      </c>
      <c r="G1002" s="61">
        <v>299.46636158445818</v>
      </c>
      <c r="H1002" s="23">
        <v>-28580.704712968371</v>
      </c>
      <c r="I1002" s="23">
        <v>-28580.704712968371</v>
      </c>
      <c r="J1002" s="23">
        <v>0</v>
      </c>
      <c r="K1002" s="23">
        <v>0</v>
      </c>
    </row>
    <row r="1003" spans="5:11">
      <c r="E1003" s="62">
        <v>992</v>
      </c>
      <c r="F1003" s="43">
        <v>0.57811926409013115</v>
      </c>
      <c r="G1003" s="61">
        <v>46.477258796323532</v>
      </c>
      <c r="H1003" s="23">
        <v>-28580.704712968371</v>
      </c>
      <c r="I1003" s="23">
        <v>-28580.704712968371</v>
      </c>
      <c r="J1003" s="23">
        <v>0</v>
      </c>
      <c r="K1003" s="23">
        <v>0</v>
      </c>
    </row>
    <row r="1004" spans="5:11">
      <c r="E1004" s="62">
        <v>993</v>
      </c>
      <c r="F1004" s="43">
        <v>0.42188073590986885</v>
      </c>
      <c r="G1004" s="61">
        <v>86.303262121697045</v>
      </c>
      <c r="H1004" s="23">
        <v>-28580.704712968371</v>
      </c>
      <c r="I1004" s="23">
        <v>-28580.704712968371</v>
      </c>
      <c r="J1004" s="23">
        <v>0</v>
      </c>
      <c r="K1004" s="23">
        <v>0</v>
      </c>
    </row>
    <row r="1005" spans="5:11">
      <c r="E1005" s="62">
        <v>994</v>
      </c>
      <c r="F1005" s="43">
        <v>0.92688613524353469</v>
      </c>
      <c r="G1005" s="61">
        <v>7.3487825337510486</v>
      </c>
      <c r="H1005" s="23">
        <v>-28580.704712968371</v>
      </c>
      <c r="I1005" s="23">
        <v>-28580.704712968371</v>
      </c>
      <c r="J1005" s="23">
        <v>0</v>
      </c>
      <c r="K1005" s="23">
        <v>0</v>
      </c>
    </row>
    <row r="1006" spans="5:11">
      <c r="E1006" s="62">
        <v>995</v>
      </c>
      <c r="F1006" s="43">
        <v>7.3113864756465308E-2</v>
      </c>
      <c r="G1006" s="61">
        <v>261.57372618600732</v>
      </c>
      <c r="H1006" s="23">
        <v>-28580.704712968371</v>
      </c>
      <c r="I1006" s="23">
        <v>-28580.704712968371</v>
      </c>
      <c r="J1006" s="23">
        <v>0</v>
      </c>
      <c r="K1006" s="23">
        <v>0</v>
      </c>
    </row>
    <row r="1007" spans="5:11">
      <c r="E1007" s="62">
        <v>996</v>
      </c>
      <c r="F1007" s="43">
        <v>0.58527368002197955</v>
      </c>
      <c r="G1007" s="61">
        <v>201.20954251383094</v>
      </c>
      <c r="H1007" s="23">
        <v>-28580.704712968371</v>
      </c>
      <c r="I1007" s="23">
        <v>-28580.704712968371</v>
      </c>
      <c r="J1007" s="23">
        <v>0</v>
      </c>
      <c r="K1007" s="23">
        <v>0</v>
      </c>
    </row>
    <row r="1008" spans="5:11">
      <c r="E1008" s="62">
        <v>997</v>
      </c>
      <c r="F1008" s="43">
        <v>0.41472631997802045</v>
      </c>
      <c r="G1008" s="61">
        <v>88.013644622986405</v>
      </c>
      <c r="H1008" s="23">
        <v>-28580.704712968371</v>
      </c>
      <c r="I1008" s="23">
        <v>-28580.704712968371</v>
      </c>
      <c r="J1008" s="23">
        <v>0</v>
      </c>
      <c r="K1008" s="23">
        <v>0</v>
      </c>
    </row>
    <row r="1009" spans="5:11">
      <c r="E1009" s="62">
        <v>998</v>
      </c>
      <c r="F1009" s="43">
        <v>0.10622059129808192</v>
      </c>
      <c r="G1009" s="61">
        <v>34.945022353561107</v>
      </c>
      <c r="H1009" s="23">
        <v>-28580.704712968371</v>
      </c>
      <c r="I1009" s="23">
        <v>-28580.704712968371</v>
      </c>
      <c r="J1009" s="23">
        <v>0</v>
      </c>
      <c r="K1009" s="23">
        <v>0</v>
      </c>
    </row>
    <row r="1010" spans="5:11">
      <c r="E1010" s="62">
        <v>999</v>
      </c>
      <c r="F1010" s="43">
        <v>0.89377940870191808</v>
      </c>
      <c r="G1010" s="61">
        <v>11.229628067396511</v>
      </c>
      <c r="H1010" s="23">
        <v>-28580.704712968371</v>
      </c>
      <c r="I1010" s="23">
        <v>-28580.704712968371</v>
      </c>
      <c r="J1010" s="23">
        <v>0</v>
      </c>
      <c r="K1010" s="23">
        <v>0</v>
      </c>
    </row>
    <row r="1011" spans="5:11">
      <c r="E1011" s="62">
        <v>1000</v>
      </c>
      <c r="F1011" s="43">
        <v>0.88258700663842737</v>
      </c>
      <c r="G1011" s="61">
        <v>147.27663390013913</v>
      </c>
      <c r="H1011" s="23">
        <v>-28580.704712968371</v>
      </c>
      <c r="I1011" s="23">
        <v>-28580.704712968371</v>
      </c>
      <c r="J1011" s="23">
        <v>0</v>
      </c>
      <c r="K1011" s="23">
        <v>0</v>
      </c>
    </row>
    <row r="1012" spans="5:11">
      <c r="E1012" s="62"/>
      <c r="F1012" s="43">
        <v>0.11741299336157263</v>
      </c>
      <c r="G1012" s="61">
        <v>214.20577017193241</v>
      </c>
      <c r="H1012" s="23">
        <v>-28580.704712968371</v>
      </c>
      <c r="I1012" s="23">
        <v>-28580.704712968371</v>
      </c>
      <c r="J1012" s="23">
        <v>0</v>
      </c>
      <c r="K1012" s="23">
        <v>0</v>
      </c>
    </row>
    <row r="1013" spans="5:11">
      <c r="F1013" s="43"/>
      <c r="G1013" s="61"/>
    </row>
    <row r="1014" spans="5:11">
      <c r="F1014" s="43"/>
      <c r="G1014" s="61"/>
    </row>
    <row r="1015" spans="5:11">
      <c r="F1015" s="43"/>
      <c r="G1015" s="61"/>
    </row>
    <row r="1016" spans="5:11">
      <c r="F1016" s="43"/>
      <c r="G1016" s="61"/>
    </row>
    <row r="1017" spans="5:11">
      <c r="F1017" s="43"/>
      <c r="G1017" s="61"/>
    </row>
    <row r="1018" spans="5:11">
      <c r="F1018" s="43"/>
      <c r="G1018" s="61"/>
    </row>
    <row r="1019" spans="5:11">
      <c r="F1019" s="43"/>
      <c r="G1019" s="61"/>
    </row>
    <row r="1020" spans="5:11">
      <c r="F1020" s="43"/>
      <c r="G1020" s="61"/>
    </row>
    <row r="1021" spans="5:11">
      <c r="F1021" s="43"/>
      <c r="G1021" s="61"/>
    </row>
    <row r="1022" spans="5:11">
      <c r="F1022" s="43"/>
      <c r="G1022" s="61"/>
    </row>
    <row r="1023" spans="5:11">
      <c r="F1023" s="43"/>
      <c r="G1023" s="61"/>
    </row>
    <row r="1024" spans="5:11">
      <c r="F1024" s="43"/>
      <c r="G1024" s="61"/>
    </row>
    <row r="1025" spans="6:7">
      <c r="F1025" s="43"/>
      <c r="G1025" s="61"/>
    </row>
    <row r="1026" spans="6:7">
      <c r="F1026" s="43"/>
      <c r="G1026" s="61"/>
    </row>
    <row r="1027" spans="6:7">
      <c r="F1027" s="43"/>
      <c r="G1027" s="61"/>
    </row>
    <row r="1028" spans="6:7">
      <c r="F1028" s="43"/>
      <c r="G1028" s="61"/>
    </row>
    <row r="1029" spans="6:7">
      <c r="F1029" s="43"/>
      <c r="G1029" s="61"/>
    </row>
    <row r="1030" spans="6:7">
      <c r="F1030" s="43"/>
      <c r="G1030" s="61"/>
    </row>
    <row r="1031" spans="6:7">
      <c r="F1031" s="43"/>
      <c r="G1031" s="61"/>
    </row>
    <row r="1032" spans="6:7">
      <c r="F1032" s="43"/>
      <c r="G1032" s="61"/>
    </row>
    <row r="1033" spans="6:7">
      <c r="F1033" s="43"/>
      <c r="G1033" s="61"/>
    </row>
    <row r="1034" spans="6:7">
      <c r="F1034" s="43"/>
      <c r="G1034" s="61"/>
    </row>
    <row r="1035" spans="6:7">
      <c r="F1035" s="43"/>
      <c r="G1035" s="61"/>
    </row>
    <row r="1036" spans="6:7">
      <c r="F1036" s="43"/>
      <c r="G1036" s="61"/>
    </row>
    <row r="1037" spans="6:7">
      <c r="F1037" s="43"/>
      <c r="G1037" s="61"/>
    </row>
    <row r="1038" spans="6:7">
      <c r="F1038" s="43"/>
      <c r="G1038" s="61"/>
    </row>
    <row r="1039" spans="6:7">
      <c r="F1039" s="43"/>
      <c r="G1039" s="61"/>
    </row>
    <row r="1040" spans="6:7">
      <c r="F1040" s="43"/>
      <c r="G1040" s="61"/>
    </row>
    <row r="1041" spans="6:7">
      <c r="F1041" s="43"/>
      <c r="G1041" s="61"/>
    </row>
    <row r="1042" spans="6:7">
      <c r="F1042" s="43"/>
      <c r="G1042" s="61"/>
    </row>
    <row r="1043" spans="6:7">
      <c r="F1043" s="43"/>
      <c r="G1043" s="61"/>
    </row>
    <row r="1044" spans="6:7">
      <c r="F1044" s="43"/>
      <c r="G1044" s="61"/>
    </row>
    <row r="1045" spans="6:7">
      <c r="F1045" s="43"/>
      <c r="G1045" s="61"/>
    </row>
    <row r="1046" spans="6:7">
      <c r="F1046" s="43"/>
      <c r="G1046" s="61"/>
    </row>
    <row r="1047" spans="6:7">
      <c r="F1047" s="43"/>
      <c r="G1047" s="61"/>
    </row>
    <row r="1048" spans="6:7">
      <c r="F1048" s="43"/>
      <c r="G1048" s="61"/>
    </row>
    <row r="1049" spans="6:7">
      <c r="F1049" s="43"/>
      <c r="G1049" s="61"/>
    </row>
    <row r="1050" spans="6:7">
      <c r="F1050" s="43"/>
      <c r="G1050" s="61"/>
    </row>
    <row r="1051" spans="6:7">
      <c r="F1051" s="43"/>
      <c r="G1051" s="61"/>
    </row>
    <row r="1052" spans="6:7">
      <c r="F1052" s="43"/>
      <c r="G1052" s="61"/>
    </row>
    <row r="1053" spans="6:7">
      <c r="F1053" s="43"/>
      <c r="G1053" s="61"/>
    </row>
    <row r="1054" spans="6:7">
      <c r="F1054" s="43"/>
      <c r="G1054" s="61"/>
    </row>
    <row r="1055" spans="6:7">
      <c r="F1055" s="43"/>
      <c r="G1055" s="61"/>
    </row>
    <row r="1056" spans="6:7">
      <c r="F1056" s="43"/>
      <c r="G1056" s="61"/>
    </row>
    <row r="1057" spans="6:7">
      <c r="F1057" s="43"/>
      <c r="G1057" s="61"/>
    </row>
    <row r="1058" spans="6:7">
      <c r="F1058" s="43"/>
      <c r="G1058" s="61"/>
    </row>
    <row r="1059" spans="6:7">
      <c r="F1059" s="43"/>
      <c r="G1059" s="61"/>
    </row>
    <row r="1060" spans="6:7">
      <c r="F1060" s="43"/>
      <c r="G1060" s="61"/>
    </row>
    <row r="1061" spans="6:7">
      <c r="F1061" s="43"/>
      <c r="G1061" s="61"/>
    </row>
    <row r="1062" spans="6:7">
      <c r="F1062" s="43"/>
      <c r="G1062" s="61"/>
    </row>
    <row r="1063" spans="6:7">
      <c r="F1063" s="43"/>
      <c r="G1063" s="61"/>
    </row>
    <row r="1064" spans="6:7">
      <c r="F1064" s="43"/>
      <c r="G1064" s="61"/>
    </row>
    <row r="1065" spans="6:7">
      <c r="F1065" s="43"/>
      <c r="G1065" s="61"/>
    </row>
    <row r="1066" spans="6:7">
      <c r="F1066" s="43"/>
      <c r="G1066" s="61"/>
    </row>
    <row r="1067" spans="6:7">
      <c r="F1067" s="43"/>
      <c r="G1067" s="61"/>
    </row>
    <row r="1068" spans="6:7">
      <c r="F1068" s="43"/>
      <c r="G1068" s="61"/>
    </row>
    <row r="1069" spans="6:7">
      <c r="F1069" s="43"/>
      <c r="G1069" s="61"/>
    </row>
    <row r="1070" spans="6:7">
      <c r="F1070" s="43"/>
      <c r="G1070" s="61"/>
    </row>
    <row r="1071" spans="6:7">
      <c r="F1071" s="43"/>
      <c r="G1071" s="61"/>
    </row>
    <row r="1072" spans="6:7">
      <c r="F1072" s="43"/>
      <c r="G1072" s="61"/>
    </row>
    <row r="1073" spans="6:7">
      <c r="F1073" s="43"/>
      <c r="G1073" s="61"/>
    </row>
    <row r="1074" spans="6:7">
      <c r="F1074" s="43"/>
      <c r="G1074" s="61"/>
    </row>
    <row r="1075" spans="6:7">
      <c r="F1075" s="43"/>
      <c r="G1075" s="61"/>
    </row>
    <row r="1076" spans="6:7">
      <c r="F1076" s="43"/>
      <c r="G1076" s="61"/>
    </row>
    <row r="1077" spans="6:7">
      <c r="F1077" s="43"/>
      <c r="G1077" s="61"/>
    </row>
    <row r="1078" spans="6:7">
      <c r="F1078" s="43"/>
      <c r="G1078" s="61"/>
    </row>
    <row r="1079" spans="6:7">
      <c r="F1079" s="43"/>
      <c r="G1079" s="61"/>
    </row>
    <row r="1080" spans="6:7">
      <c r="F1080" s="43"/>
      <c r="G1080" s="61"/>
    </row>
    <row r="1081" spans="6:7">
      <c r="F1081" s="43"/>
      <c r="G1081" s="61"/>
    </row>
    <row r="1082" spans="6:7">
      <c r="F1082" s="43"/>
      <c r="G1082" s="61"/>
    </row>
    <row r="1083" spans="6:7">
      <c r="F1083" s="43"/>
      <c r="G1083" s="61"/>
    </row>
    <row r="1084" spans="6:7">
      <c r="F1084" s="43"/>
      <c r="G1084" s="61"/>
    </row>
    <row r="1085" spans="6:7">
      <c r="F1085" s="43"/>
      <c r="G1085" s="61"/>
    </row>
    <row r="1086" spans="6:7">
      <c r="F1086" s="43"/>
      <c r="G1086" s="61"/>
    </row>
    <row r="1087" spans="6:7">
      <c r="F1087" s="43"/>
      <c r="G1087" s="61"/>
    </row>
    <row r="1088" spans="6:7">
      <c r="F1088" s="43"/>
      <c r="G1088" s="61"/>
    </row>
    <row r="1089" spans="6:7">
      <c r="F1089" s="43"/>
      <c r="G1089" s="61"/>
    </row>
    <row r="1090" spans="6:7">
      <c r="F1090" s="43"/>
      <c r="G1090" s="61"/>
    </row>
    <row r="1091" spans="6:7">
      <c r="F1091" s="43"/>
      <c r="G1091" s="61"/>
    </row>
    <row r="1092" spans="6:7">
      <c r="F1092" s="43"/>
      <c r="G1092" s="61"/>
    </row>
    <row r="1093" spans="6:7">
      <c r="F1093" s="43"/>
      <c r="G1093" s="61"/>
    </row>
    <row r="1094" spans="6:7">
      <c r="F1094" s="43"/>
      <c r="G1094" s="61"/>
    </row>
    <row r="1095" spans="6:7">
      <c r="F1095" s="43"/>
      <c r="G1095" s="61"/>
    </row>
    <row r="1096" spans="6:7">
      <c r="F1096" s="43"/>
      <c r="G1096" s="61"/>
    </row>
    <row r="1097" spans="6:7">
      <c r="F1097" s="43"/>
      <c r="G1097" s="61"/>
    </row>
    <row r="1098" spans="6:7">
      <c r="F1098" s="43"/>
      <c r="G1098" s="61"/>
    </row>
    <row r="1099" spans="6:7">
      <c r="F1099" s="43"/>
      <c r="G1099" s="61"/>
    </row>
    <row r="1100" spans="6:7">
      <c r="F1100" s="43"/>
      <c r="G1100" s="61"/>
    </row>
    <row r="1101" spans="6:7">
      <c r="F1101" s="43"/>
      <c r="G1101" s="61"/>
    </row>
    <row r="1102" spans="6:7">
      <c r="F1102" s="43"/>
      <c r="G1102" s="61"/>
    </row>
    <row r="1103" spans="6:7">
      <c r="F1103" s="43"/>
      <c r="G1103" s="61"/>
    </row>
    <row r="1104" spans="6:7">
      <c r="F1104" s="43"/>
      <c r="G1104" s="61"/>
    </row>
    <row r="1105" spans="6:7">
      <c r="F1105" s="43"/>
      <c r="G1105" s="61"/>
    </row>
    <row r="1106" spans="6:7">
      <c r="F1106" s="43"/>
      <c r="G1106" s="61"/>
    </row>
    <row r="1107" spans="6:7">
      <c r="F1107" s="43"/>
      <c r="G1107" s="61"/>
    </row>
    <row r="1108" spans="6:7">
      <c r="F1108" s="43"/>
      <c r="G1108" s="61"/>
    </row>
    <row r="1109" spans="6:7">
      <c r="F1109" s="43"/>
      <c r="G1109" s="61"/>
    </row>
    <row r="1110" spans="6:7">
      <c r="F1110" s="43"/>
      <c r="G1110" s="61"/>
    </row>
    <row r="1111" spans="6:7">
      <c r="F1111" s="43"/>
      <c r="G1111" s="61"/>
    </row>
    <row r="1112" spans="6:7">
      <c r="F1112" s="43"/>
      <c r="G1112" s="61"/>
    </row>
    <row r="1113" spans="6:7">
      <c r="F1113" s="43"/>
      <c r="G1113" s="61"/>
    </row>
    <row r="1114" spans="6:7">
      <c r="F1114" s="43"/>
      <c r="G1114" s="61"/>
    </row>
    <row r="1115" spans="6:7">
      <c r="F1115" s="43"/>
      <c r="G1115" s="61"/>
    </row>
    <row r="1116" spans="6:7">
      <c r="F1116" s="43"/>
      <c r="G1116" s="61"/>
    </row>
    <row r="1117" spans="6:7">
      <c r="F1117" s="43"/>
      <c r="G1117" s="61"/>
    </row>
    <row r="1118" spans="6:7">
      <c r="F1118" s="43"/>
      <c r="G1118" s="61"/>
    </row>
    <row r="1119" spans="6:7">
      <c r="F1119" s="43"/>
      <c r="G1119" s="61"/>
    </row>
    <row r="1120" spans="6:7">
      <c r="F1120" s="43"/>
      <c r="G1120" s="61"/>
    </row>
    <row r="1121" spans="6:7">
      <c r="F1121" s="43"/>
      <c r="G1121" s="61"/>
    </row>
    <row r="1122" spans="6:7">
      <c r="F1122" s="43"/>
      <c r="G1122" s="61"/>
    </row>
    <row r="1123" spans="6:7">
      <c r="F1123" s="43"/>
      <c r="G1123" s="61"/>
    </row>
    <row r="1124" spans="6:7">
      <c r="F1124" s="43"/>
      <c r="G1124" s="61"/>
    </row>
    <row r="1125" spans="6:7">
      <c r="F1125" s="43"/>
      <c r="G1125" s="61"/>
    </row>
    <row r="1126" spans="6:7">
      <c r="F1126" s="43"/>
      <c r="G1126" s="61"/>
    </row>
    <row r="1127" spans="6:7">
      <c r="F1127" s="43"/>
      <c r="G1127" s="61"/>
    </row>
    <row r="1128" spans="6:7">
      <c r="F1128" s="43"/>
      <c r="G1128" s="61"/>
    </row>
    <row r="1129" spans="6:7">
      <c r="F1129" s="43"/>
      <c r="G1129" s="61"/>
    </row>
    <row r="1130" spans="6:7">
      <c r="F1130" s="43"/>
      <c r="G1130" s="61"/>
    </row>
    <row r="1131" spans="6:7">
      <c r="F1131" s="43"/>
      <c r="G1131" s="61"/>
    </row>
    <row r="1132" spans="6:7">
      <c r="F1132" s="43"/>
      <c r="G1132" s="61"/>
    </row>
    <row r="1133" spans="6:7">
      <c r="F1133" s="43"/>
      <c r="G1133" s="61"/>
    </row>
    <row r="1134" spans="6:7">
      <c r="F1134" s="43"/>
      <c r="G1134" s="61"/>
    </row>
    <row r="1135" spans="6:7">
      <c r="F1135" s="43"/>
      <c r="G1135" s="61"/>
    </row>
    <row r="1136" spans="6:7">
      <c r="F1136" s="43"/>
      <c r="G1136" s="61"/>
    </row>
    <row r="1137" spans="6:7">
      <c r="F1137" s="43"/>
      <c r="G1137" s="61"/>
    </row>
    <row r="1138" spans="6:7">
      <c r="F1138" s="43"/>
      <c r="G1138" s="61"/>
    </row>
    <row r="1139" spans="6:7">
      <c r="F1139" s="43"/>
      <c r="G1139" s="61"/>
    </row>
    <row r="1140" spans="6:7">
      <c r="F1140" s="43"/>
      <c r="G1140" s="61"/>
    </row>
    <row r="1141" spans="6:7">
      <c r="F1141" s="43"/>
      <c r="G1141" s="61"/>
    </row>
    <row r="1142" spans="6:7">
      <c r="F1142" s="43"/>
      <c r="G1142" s="61"/>
    </row>
    <row r="1143" spans="6:7">
      <c r="F1143" s="43"/>
      <c r="G1143" s="61"/>
    </row>
    <row r="1144" spans="6:7">
      <c r="F1144" s="43"/>
      <c r="G1144" s="61"/>
    </row>
    <row r="1145" spans="6:7">
      <c r="F1145" s="43"/>
      <c r="G1145" s="61"/>
    </row>
    <row r="1146" spans="6:7">
      <c r="F1146" s="43"/>
      <c r="G1146" s="61"/>
    </row>
    <row r="1147" spans="6:7">
      <c r="F1147" s="43"/>
      <c r="G1147" s="61"/>
    </row>
    <row r="1148" spans="6:7">
      <c r="F1148" s="43"/>
      <c r="G1148" s="61"/>
    </row>
    <row r="1149" spans="6:7">
      <c r="F1149" s="43"/>
      <c r="G1149" s="61"/>
    </row>
    <row r="1150" spans="6:7">
      <c r="F1150" s="43"/>
      <c r="G1150" s="61"/>
    </row>
    <row r="1151" spans="6:7">
      <c r="F1151" s="43"/>
      <c r="G1151" s="61"/>
    </row>
    <row r="1152" spans="6:7">
      <c r="F1152" s="43"/>
      <c r="G1152" s="61"/>
    </row>
    <row r="1153" spans="6:7">
      <c r="F1153" s="43"/>
      <c r="G1153" s="61"/>
    </row>
    <row r="1154" spans="6:7">
      <c r="F1154" s="43"/>
      <c r="G1154" s="61"/>
    </row>
    <row r="1155" spans="6:7">
      <c r="F1155" s="43"/>
      <c r="G1155" s="61"/>
    </row>
    <row r="1156" spans="6:7">
      <c r="F1156" s="43"/>
      <c r="G1156" s="61"/>
    </row>
    <row r="1157" spans="6:7">
      <c r="F1157" s="43"/>
      <c r="G1157" s="61"/>
    </row>
    <row r="1158" spans="6:7">
      <c r="F1158" s="43"/>
      <c r="G1158" s="61"/>
    </row>
    <row r="1159" spans="6:7">
      <c r="F1159" s="43"/>
      <c r="G1159" s="61"/>
    </row>
    <row r="1160" spans="6:7">
      <c r="F1160" s="43"/>
      <c r="G1160" s="61"/>
    </row>
    <row r="1161" spans="6:7">
      <c r="F1161" s="43"/>
      <c r="G1161" s="61"/>
    </row>
    <row r="1162" spans="6:7">
      <c r="F1162" s="43"/>
      <c r="G1162" s="61"/>
    </row>
    <row r="1163" spans="6:7">
      <c r="F1163" s="43"/>
      <c r="G1163" s="61"/>
    </row>
    <row r="1164" spans="6:7">
      <c r="F1164" s="43"/>
      <c r="G1164" s="61"/>
    </row>
    <row r="1165" spans="6:7">
      <c r="F1165" s="43"/>
      <c r="G1165" s="61"/>
    </row>
    <row r="1166" spans="6:7">
      <c r="F1166" s="43"/>
      <c r="G1166" s="61"/>
    </row>
    <row r="1167" spans="6:7">
      <c r="F1167" s="43"/>
      <c r="G1167" s="61"/>
    </row>
    <row r="1168" spans="6:7">
      <c r="F1168" s="43"/>
      <c r="G1168" s="61"/>
    </row>
    <row r="1169" spans="6:7">
      <c r="F1169" s="43"/>
      <c r="G1169" s="61"/>
    </row>
    <row r="1170" spans="6:7">
      <c r="F1170" s="43"/>
      <c r="G1170" s="61"/>
    </row>
    <row r="1171" spans="6:7">
      <c r="F1171" s="43"/>
      <c r="G1171" s="61"/>
    </row>
    <row r="1172" spans="6:7">
      <c r="F1172" s="43"/>
      <c r="G1172" s="61"/>
    </row>
    <row r="1173" spans="6:7">
      <c r="F1173" s="43"/>
      <c r="G1173" s="61"/>
    </row>
    <row r="1174" spans="6:7">
      <c r="F1174" s="43"/>
      <c r="G1174" s="61"/>
    </row>
    <row r="1175" spans="6:7">
      <c r="F1175" s="43"/>
      <c r="G1175" s="61"/>
    </row>
    <row r="1176" spans="6:7">
      <c r="F1176" s="43"/>
      <c r="G1176" s="61"/>
    </row>
    <row r="1177" spans="6:7">
      <c r="F1177" s="43"/>
      <c r="G1177" s="61"/>
    </row>
    <row r="1178" spans="6:7">
      <c r="F1178" s="43"/>
      <c r="G1178" s="61"/>
    </row>
    <row r="1179" spans="6:7">
      <c r="F1179" s="43"/>
      <c r="G1179" s="61"/>
    </row>
    <row r="1180" spans="6:7">
      <c r="F1180" s="43"/>
      <c r="G1180" s="61"/>
    </row>
    <row r="1181" spans="6:7">
      <c r="F1181" s="43"/>
      <c r="G1181" s="61"/>
    </row>
    <row r="1182" spans="6:7">
      <c r="F1182" s="43"/>
      <c r="G1182" s="61"/>
    </row>
    <row r="1183" spans="6:7">
      <c r="F1183" s="43"/>
      <c r="G1183" s="61"/>
    </row>
    <row r="1184" spans="6:7">
      <c r="F1184" s="43"/>
      <c r="G1184" s="61"/>
    </row>
    <row r="1185" spans="6:7">
      <c r="F1185" s="43"/>
      <c r="G1185" s="61"/>
    </row>
    <row r="1186" spans="6:7">
      <c r="F1186" s="43"/>
      <c r="G1186" s="61"/>
    </row>
    <row r="1187" spans="6:7">
      <c r="F1187" s="43"/>
      <c r="G1187" s="61"/>
    </row>
    <row r="1188" spans="6:7">
      <c r="F1188" s="43"/>
      <c r="G1188" s="61"/>
    </row>
    <row r="1189" spans="6:7">
      <c r="F1189" s="43"/>
      <c r="G1189" s="61"/>
    </row>
    <row r="1190" spans="6:7">
      <c r="F1190" s="43"/>
      <c r="G1190" s="61"/>
    </row>
    <row r="1191" spans="6:7">
      <c r="F1191" s="43"/>
      <c r="G1191" s="61"/>
    </row>
    <row r="1192" spans="6:7">
      <c r="F1192" s="43"/>
      <c r="G1192" s="61"/>
    </row>
    <row r="1193" spans="6:7">
      <c r="F1193" s="43"/>
      <c r="G1193" s="61"/>
    </row>
    <row r="1194" spans="6:7">
      <c r="F1194" s="43"/>
      <c r="G1194" s="61"/>
    </row>
    <row r="1195" spans="6:7">
      <c r="F1195" s="43"/>
      <c r="G1195" s="61"/>
    </row>
    <row r="1196" spans="6:7">
      <c r="F1196" s="43"/>
      <c r="G1196" s="61"/>
    </row>
    <row r="1197" spans="6:7">
      <c r="F1197" s="43"/>
      <c r="G1197" s="61"/>
    </row>
    <row r="1198" spans="6:7">
      <c r="F1198" s="43"/>
      <c r="G1198" s="61"/>
    </row>
    <row r="1199" spans="6:7">
      <c r="F1199" s="43"/>
      <c r="G1199" s="61"/>
    </row>
    <row r="1200" spans="6:7">
      <c r="F1200" s="43"/>
      <c r="G1200" s="61"/>
    </row>
    <row r="1201" spans="6:7">
      <c r="F1201" s="43"/>
      <c r="G1201" s="61"/>
    </row>
    <row r="1202" spans="6:7">
      <c r="F1202" s="43"/>
      <c r="G1202" s="61"/>
    </row>
    <row r="1203" spans="6:7">
      <c r="F1203" s="43"/>
      <c r="G1203" s="61"/>
    </row>
    <row r="1204" spans="6:7">
      <c r="F1204" s="43"/>
      <c r="G1204" s="61"/>
    </row>
    <row r="1205" spans="6:7">
      <c r="F1205" s="43"/>
      <c r="G1205" s="61"/>
    </row>
    <row r="1206" spans="6:7">
      <c r="F1206" s="43"/>
      <c r="G1206" s="61"/>
    </row>
    <row r="1207" spans="6:7">
      <c r="F1207" s="43"/>
      <c r="G1207" s="61"/>
    </row>
    <row r="1208" spans="6:7">
      <c r="F1208" s="43"/>
      <c r="G1208" s="61"/>
    </row>
    <row r="1209" spans="6:7">
      <c r="F1209" s="43"/>
      <c r="G1209" s="61"/>
    </row>
    <row r="1210" spans="6:7">
      <c r="F1210" s="43"/>
      <c r="G1210" s="61"/>
    </row>
    <row r="1211" spans="6:7">
      <c r="F1211" s="43"/>
      <c r="G1211" s="61"/>
    </row>
    <row r="1212" spans="6:7">
      <c r="F1212" s="43"/>
      <c r="G1212" s="61"/>
    </row>
    <row r="1213" spans="6:7">
      <c r="F1213" s="43"/>
      <c r="G1213" s="61"/>
    </row>
    <row r="1214" spans="6:7">
      <c r="F1214" s="43"/>
      <c r="G1214" s="61"/>
    </row>
    <row r="1215" spans="6:7">
      <c r="F1215" s="43"/>
      <c r="G1215" s="61"/>
    </row>
    <row r="1216" spans="6:7">
      <c r="F1216" s="43"/>
      <c r="G1216" s="61"/>
    </row>
    <row r="1217" spans="6:7">
      <c r="F1217" s="43"/>
      <c r="G1217" s="61"/>
    </row>
    <row r="1218" spans="6:7">
      <c r="F1218" s="43"/>
      <c r="G1218" s="61"/>
    </row>
    <row r="1219" spans="6:7">
      <c r="F1219" s="43"/>
      <c r="G1219" s="61"/>
    </row>
    <row r="1220" spans="6:7">
      <c r="F1220" s="43"/>
      <c r="G1220" s="61"/>
    </row>
    <row r="1221" spans="6:7">
      <c r="F1221" s="43"/>
      <c r="G1221" s="61"/>
    </row>
    <row r="1222" spans="6:7">
      <c r="F1222" s="43"/>
      <c r="G1222" s="61"/>
    </row>
    <row r="1223" spans="6:7">
      <c r="F1223" s="43"/>
      <c r="G1223" s="61"/>
    </row>
    <row r="1224" spans="6:7">
      <c r="F1224" s="43"/>
      <c r="G1224" s="61"/>
    </row>
    <row r="1225" spans="6:7">
      <c r="F1225" s="43"/>
      <c r="G1225" s="61"/>
    </row>
    <row r="1226" spans="6:7">
      <c r="F1226" s="43"/>
      <c r="G1226" s="61"/>
    </row>
    <row r="1227" spans="6:7">
      <c r="F1227" s="43"/>
      <c r="G1227" s="61"/>
    </row>
    <row r="1228" spans="6:7">
      <c r="F1228" s="43"/>
      <c r="G1228" s="61"/>
    </row>
    <row r="1229" spans="6:7">
      <c r="F1229" s="43"/>
      <c r="G1229" s="61"/>
    </row>
    <row r="1230" spans="6:7">
      <c r="F1230" s="43"/>
      <c r="G1230" s="61"/>
    </row>
    <row r="1231" spans="6:7">
      <c r="F1231" s="43"/>
      <c r="G1231" s="61"/>
    </row>
    <row r="1232" spans="6:7">
      <c r="F1232" s="43"/>
      <c r="G1232" s="61"/>
    </row>
    <row r="1233" spans="6:7">
      <c r="F1233" s="43"/>
      <c r="G1233" s="61"/>
    </row>
    <row r="1234" spans="6:7">
      <c r="F1234" s="43"/>
      <c r="G1234" s="61"/>
    </row>
    <row r="1235" spans="6:7">
      <c r="F1235" s="43"/>
      <c r="G1235" s="61"/>
    </row>
    <row r="1236" spans="6:7">
      <c r="F1236" s="43"/>
      <c r="G1236" s="61"/>
    </row>
    <row r="1237" spans="6:7">
      <c r="F1237" s="43"/>
      <c r="G1237" s="61"/>
    </row>
    <row r="1238" spans="6:7">
      <c r="F1238" s="43"/>
      <c r="G1238" s="61"/>
    </row>
    <row r="1239" spans="6:7">
      <c r="F1239" s="43"/>
      <c r="G1239" s="61"/>
    </row>
    <row r="1240" spans="6:7">
      <c r="F1240" s="43"/>
      <c r="G1240" s="61"/>
    </row>
    <row r="1241" spans="6:7">
      <c r="F1241" s="43"/>
      <c r="G1241" s="61"/>
    </row>
    <row r="1242" spans="6:7">
      <c r="F1242" s="43"/>
      <c r="G1242" s="61"/>
    </row>
    <row r="1243" spans="6:7">
      <c r="F1243" s="43"/>
      <c r="G1243" s="61"/>
    </row>
    <row r="1244" spans="6:7">
      <c r="F1244" s="43"/>
      <c r="G1244" s="61"/>
    </row>
    <row r="1245" spans="6:7">
      <c r="F1245" s="43"/>
      <c r="G1245" s="61"/>
    </row>
    <row r="1246" spans="6:7">
      <c r="F1246" s="43"/>
      <c r="G1246" s="61"/>
    </row>
    <row r="1247" spans="6:7">
      <c r="F1247" s="43"/>
      <c r="G1247" s="61"/>
    </row>
    <row r="1248" spans="6:7">
      <c r="F1248" s="43"/>
      <c r="G1248" s="61"/>
    </row>
    <row r="1249" spans="6:7">
      <c r="F1249" s="43"/>
      <c r="G1249" s="61"/>
    </row>
    <row r="1250" spans="6:7">
      <c r="F1250" s="43"/>
      <c r="G1250" s="61"/>
    </row>
    <row r="1251" spans="6:7">
      <c r="F1251" s="43"/>
      <c r="G1251" s="61"/>
    </row>
    <row r="1252" spans="6:7">
      <c r="F1252" s="43"/>
      <c r="G1252" s="61"/>
    </row>
    <row r="1253" spans="6:7">
      <c r="F1253" s="43"/>
      <c r="G1253" s="61"/>
    </row>
    <row r="1254" spans="6:7">
      <c r="F1254" s="43"/>
      <c r="G1254" s="61"/>
    </row>
    <row r="1255" spans="6:7">
      <c r="F1255" s="43"/>
      <c r="G1255" s="61"/>
    </row>
    <row r="1256" spans="6:7">
      <c r="F1256" s="43"/>
      <c r="G1256" s="61"/>
    </row>
    <row r="1257" spans="6:7">
      <c r="F1257" s="43"/>
      <c r="G1257" s="61"/>
    </row>
    <row r="1258" spans="6:7">
      <c r="F1258" s="43"/>
      <c r="G1258" s="61"/>
    </row>
    <row r="1259" spans="6:7">
      <c r="F1259" s="43"/>
      <c r="G1259" s="61"/>
    </row>
    <row r="1260" spans="6:7">
      <c r="F1260" s="43"/>
      <c r="G1260" s="61"/>
    </row>
    <row r="1261" spans="6:7">
      <c r="F1261" s="43"/>
      <c r="G1261" s="61"/>
    </row>
    <row r="1262" spans="6:7">
      <c r="F1262" s="43"/>
      <c r="G1262" s="61"/>
    </row>
    <row r="1263" spans="6:7">
      <c r="F1263" s="43"/>
      <c r="G1263" s="61"/>
    </row>
    <row r="1264" spans="6:7">
      <c r="F1264" s="43"/>
      <c r="G1264" s="61"/>
    </row>
    <row r="1265" spans="6:7">
      <c r="F1265" s="43"/>
      <c r="G1265" s="61"/>
    </row>
    <row r="1266" spans="6:7">
      <c r="F1266" s="43"/>
      <c r="G1266" s="61"/>
    </row>
    <row r="1267" spans="6:7">
      <c r="F1267" s="43"/>
      <c r="G1267" s="61"/>
    </row>
    <row r="1268" spans="6:7">
      <c r="F1268" s="43"/>
      <c r="G1268" s="61"/>
    </row>
    <row r="1269" spans="6:7">
      <c r="F1269" s="43"/>
      <c r="G1269" s="61"/>
    </row>
    <row r="1270" spans="6:7">
      <c r="F1270" s="43"/>
      <c r="G1270" s="61"/>
    </row>
    <row r="1271" spans="6:7">
      <c r="F1271" s="43"/>
      <c r="G1271" s="61"/>
    </row>
    <row r="1272" spans="6:7">
      <c r="F1272" s="43"/>
      <c r="G1272" s="61"/>
    </row>
    <row r="1273" spans="6:7">
      <c r="F1273" s="43"/>
      <c r="G1273" s="61"/>
    </row>
    <row r="1274" spans="6:7">
      <c r="F1274" s="43"/>
      <c r="G1274" s="61"/>
    </row>
    <row r="1275" spans="6:7">
      <c r="F1275" s="43"/>
      <c r="G1275" s="61"/>
    </row>
    <row r="1276" spans="6:7">
      <c r="F1276" s="43"/>
      <c r="G1276" s="61"/>
    </row>
    <row r="1277" spans="6:7">
      <c r="F1277" s="43"/>
      <c r="G1277" s="61"/>
    </row>
    <row r="1278" spans="6:7">
      <c r="F1278" s="43"/>
      <c r="G1278" s="61"/>
    </row>
    <row r="1279" spans="6:7">
      <c r="F1279" s="43"/>
      <c r="G1279" s="61"/>
    </row>
    <row r="1280" spans="6:7">
      <c r="F1280" s="43"/>
      <c r="G1280" s="61"/>
    </row>
    <row r="1281" spans="6:7">
      <c r="F1281" s="43"/>
      <c r="G1281" s="61"/>
    </row>
    <row r="1282" spans="6:7">
      <c r="F1282" s="43"/>
      <c r="G1282" s="61"/>
    </row>
    <row r="1283" spans="6:7">
      <c r="F1283" s="43"/>
      <c r="G1283" s="61"/>
    </row>
    <row r="1284" spans="6:7">
      <c r="F1284" s="43"/>
      <c r="G1284" s="61"/>
    </row>
    <row r="1285" spans="6:7">
      <c r="F1285" s="43"/>
      <c r="G1285" s="61"/>
    </row>
    <row r="1286" spans="6:7">
      <c r="F1286" s="43"/>
      <c r="G1286" s="61"/>
    </row>
    <row r="1287" spans="6:7">
      <c r="F1287" s="43"/>
      <c r="G1287" s="61"/>
    </row>
    <row r="1288" spans="6:7">
      <c r="F1288" s="43"/>
      <c r="G1288" s="61"/>
    </row>
    <row r="1289" spans="6:7">
      <c r="F1289" s="43"/>
      <c r="G1289" s="61"/>
    </row>
    <row r="1290" spans="6:7">
      <c r="F1290" s="43"/>
      <c r="G1290" s="61"/>
    </row>
    <row r="1291" spans="6:7">
      <c r="F1291" s="43"/>
      <c r="G1291" s="61"/>
    </row>
    <row r="1292" spans="6:7">
      <c r="F1292" s="43"/>
      <c r="G1292" s="61"/>
    </row>
    <row r="1293" spans="6:7">
      <c r="F1293" s="43"/>
      <c r="G1293" s="61"/>
    </row>
    <row r="1294" spans="6:7">
      <c r="F1294" s="43"/>
      <c r="G1294" s="61"/>
    </row>
    <row r="1295" spans="6:7">
      <c r="F1295" s="43"/>
      <c r="G1295" s="61"/>
    </row>
    <row r="1296" spans="6:7">
      <c r="F1296" s="43"/>
      <c r="G1296" s="61"/>
    </row>
    <row r="1297" spans="6:7">
      <c r="F1297" s="43"/>
      <c r="G1297" s="61"/>
    </row>
    <row r="1298" spans="6:7">
      <c r="F1298" s="43"/>
      <c r="G1298" s="61"/>
    </row>
    <row r="1299" spans="6:7">
      <c r="F1299" s="43"/>
      <c r="G1299" s="61"/>
    </row>
    <row r="1300" spans="6:7">
      <c r="F1300" s="43"/>
      <c r="G1300" s="61"/>
    </row>
    <row r="1301" spans="6:7">
      <c r="F1301" s="43"/>
      <c r="G1301" s="61"/>
    </row>
    <row r="1302" spans="6:7">
      <c r="F1302" s="43"/>
      <c r="G1302" s="61"/>
    </row>
    <row r="1303" spans="6:7">
      <c r="F1303" s="43"/>
      <c r="G1303" s="61"/>
    </row>
    <row r="1304" spans="6:7">
      <c r="F1304" s="43"/>
      <c r="G1304" s="61"/>
    </row>
    <row r="1305" spans="6:7">
      <c r="F1305" s="43"/>
      <c r="G1305" s="61"/>
    </row>
    <row r="1306" spans="6:7">
      <c r="F1306" s="43"/>
      <c r="G1306" s="61"/>
    </row>
    <row r="1307" spans="6:7">
      <c r="F1307" s="43"/>
      <c r="G1307" s="61"/>
    </row>
    <row r="1308" spans="6:7">
      <c r="F1308" s="43"/>
      <c r="G1308" s="61"/>
    </row>
    <row r="1309" spans="6:7">
      <c r="F1309" s="43"/>
      <c r="G1309" s="61"/>
    </row>
    <row r="1310" spans="6:7">
      <c r="F1310" s="43"/>
      <c r="G1310" s="61"/>
    </row>
    <row r="1311" spans="6:7">
      <c r="F1311" s="43"/>
      <c r="G1311" s="61"/>
    </row>
    <row r="1312" spans="6:7">
      <c r="F1312" s="43"/>
      <c r="G1312" s="61"/>
    </row>
    <row r="1313" spans="6:7">
      <c r="F1313" s="43"/>
      <c r="G1313" s="61"/>
    </row>
    <row r="1314" spans="6:7">
      <c r="F1314" s="43"/>
      <c r="G1314" s="61"/>
    </row>
    <row r="1315" spans="6:7">
      <c r="F1315" s="43"/>
      <c r="G1315" s="61"/>
    </row>
    <row r="1316" spans="6:7">
      <c r="F1316" s="43"/>
      <c r="G1316" s="61"/>
    </row>
    <row r="1317" spans="6:7">
      <c r="F1317" s="43"/>
      <c r="G1317" s="61"/>
    </row>
    <row r="1318" spans="6:7">
      <c r="F1318" s="43"/>
      <c r="G1318" s="61"/>
    </row>
    <row r="1319" spans="6:7">
      <c r="F1319" s="43"/>
      <c r="G1319" s="61"/>
    </row>
    <row r="1320" spans="6:7">
      <c r="F1320" s="43"/>
      <c r="G1320" s="61"/>
    </row>
    <row r="1321" spans="6:7">
      <c r="F1321" s="43"/>
      <c r="G1321" s="61"/>
    </row>
    <row r="1322" spans="6:7">
      <c r="F1322" s="43"/>
      <c r="G1322" s="61"/>
    </row>
    <row r="1323" spans="6:7">
      <c r="F1323" s="43"/>
      <c r="G1323" s="61"/>
    </row>
    <row r="1324" spans="6:7">
      <c r="F1324" s="43"/>
      <c r="G1324" s="61"/>
    </row>
    <row r="1325" spans="6:7">
      <c r="F1325" s="43"/>
      <c r="G1325" s="61"/>
    </row>
    <row r="1326" spans="6:7">
      <c r="F1326" s="43"/>
      <c r="G1326" s="61"/>
    </row>
    <row r="1327" spans="6:7">
      <c r="F1327" s="43"/>
      <c r="G1327" s="61"/>
    </row>
    <row r="1328" spans="6:7">
      <c r="F1328" s="43"/>
      <c r="G1328" s="61"/>
    </row>
    <row r="1329" spans="6:7">
      <c r="F1329" s="43"/>
      <c r="G1329" s="61"/>
    </row>
    <row r="1330" spans="6:7">
      <c r="F1330" s="43"/>
      <c r="G1330" s="61"/>
    </row>
    <row r="1331" spans="6:7">
      <c r="F1331" s="43"/>
      <c r="G1331" s="61"/>
    </row>
    <row r="1332" spans="6:7">
      <c r="F1332" s="43"/>
      <c r="G1332" s="61"/>
    </row>
    <row r="1333" spans="6:7">
      <c r="F1333" s="43"/>
      <c r="G1333" s="61"/>
    </row>
    <row r="1334" spans="6:7">
      <c r="F1334" s="43"/>
      <c r="G1334" s="61"/>
    </row>
    <row r="1335" spans="6:7">
      <c r="F1335" s="43"/>
      <c r="G1335" s="61"/>
    </row>
    <row r="1336" spans="6:7">
      <c r="F1336" s="43"/>
      <c r="G1336" s="61"/>
    </row>
    <row r="1337" spans="6:7">
      <c r="F1337" s="43"/>
      <c r="G1337" s="61"/>
    </row>
    <row r="1338" spans="6:7">
      <c r="F1338" s="43"/>
      <c r="G1338" s="61"/>
    </row>
    <row r="1339" spans="6:7">
      <c r="F1339" s="43"/>
      <c r="G1339" s="61"/>
    </row>
    <row r="1340" spans="6:7">
      <c r="F1340" s="43"/>
      <c r="G1340" s="61"/>
    </row>
    <row r="1341" spans="6:7">
      <c r="F1341" s="43"/>
      <c r="G1341" s="61"/>
    </row>
    <row r="1342" spans="6:7">
      <c r="F1342" s="43"/>
      <c r="G1342" s="61"/>
    </row>
    <row r="1343" spans="6:7">
      <c r="F1343" s="43"/>
      <c r="G1343" s="61"/>
    </row>
    <row r="1344" spans="6:7">
      <c r="F1344" s="43"/>
      <c r="G1344" s="61"/>
    </row>
    <row r="1345" spans="6:7">
      <c r="F1345" s="43"/>
      <c r="G1345" s="61"/>
    </row>
    <row r="1346" spans="6:7">
      <c r="F1346" s="43"/>
      <c r="G1346" s="61"/>
    </row>
    <row r="1347" spans="6:7">
      <c r="F1347" s="43"/>
      <c r="G1347" s="61"/>
    </row>
    <row r="1348" spans="6:7">
      <c r="F1348" s="43"/>
      <c r="G1348" s="61"/>
    </row>
    <row r="1349" spans="6:7">
      <c r="F1349" s="43"/>
      <c r="G1349" s="61"/>
    </row>
    <row r="1350" spans="6:7">
      <c r="F1350" s="43"/>
      <c r="G1350" s="61"/>
    </row>
    <row r="1351" spans="6:7">
      <c r="F1351" s="43"/>
      <c r="G1351" s="61"/>
    </row>
    <row r="1352" spans="6:7">
      <c r="F1352" s="43"/>
      <c r="G1352" s="61"/>
    </row>
    <row r="1353" spans="6:7">
      <c r="F1353" s="43"/>
      <c r="G1353" s="61"/>
    </row>
    <row r="1354" spans="6:7">
      <c r="F1354" s="43"/>
      <c r="G1354" s="61"/>
    </row>
    <row r="1355" spans="6:7">
      <c r="F1355" s="43"/>
      <c r="G1355" s="61"/>
    </row>
    <row r="1356" spans="6:7">
      <c r="F1356" s="43"/>
      <c r="G1356" s="61"/>
    </row>
    <row r="1357" spans="6:7">
      <c r="F1357" s="43"/>
      <c r="G1357" s="61"/>
    </row>
    <row r="1358" spans="6:7">
      <c r="F1358" s="43"/>
      <c r="G1358" s="61"/>
    </row>
    <row r="1359" spans="6:7">
      <c r="F1359" s="43"/>
      <c r="G1359" s="61"/>
    </row>
    <row r="1360" spans="6:7">
      <c r="F1360" s="43"/>
      <c r="G1360" s="61"/>
    </row>
    <row r="1361" spans="6:7">
      <c r="F1361" s="43"/>
      <c r="G1361" s="61"/>
    </row>
    <row r="1362" spans="6:7">
      <c r="F1362" s="43"/>
      <c r="G1362" s="61"/>
    </row>
    <row r="1363" spans="6:7">
      <c r="F1363" s="43"/>
      <c r="G1363" s="61"/>
    </row>
    <row r="1364" spans="6:7">
      <c r="F1364" s="43"/>
      <c r="G1364" s="61"/>
    </row>
    <row r="1365" spans="6:7">
      <c r="F1365" s="43"/>
      <c r="G1365" s="61"/>
    </row>
    <row r="1366" spans="6:7">
      <c r="F1366" s="43"/>
      <c r="G1366" s="61"/>
    </row>
    <row r="1367" spans="6:7">
      <c r="F1367" s="43"/>
      <c r="G1367" s="61"/>
    </row>
    <row r="1368" spans="6:7">
      <c r="F1368" s="43"/>
      <c r="G1368" s="61"/>
    </row>
    <row r="1369" spans="6:7">
      <c r="F1369" s="43"/>
      <c r="G1369" s="61"/>
    </row>
    <row r="1370" spans="6:7">
      <c r="F1370" s="43"/>
      <c r="G1370" s="61"/>
    </row>
    <row r="1371" spans="6:7">
      <c r="F1371" s="43"/>
      <c r="G1371" s="61"/>
    </row>
    <row r="1372" spans="6:7">
      <c r="F1372" s="43"/>
      <c r="G1372" s="61"/>
    </row>
    <row r="1373" spans="6:7">
      <c r="F1373" s="43"/>
      <c r="G1373" s="61"/>
    </row>
    <row r="1374" spans="6:7">
      <c r="F1374" s="43"/>
      <c r="G1374" s="61"/>
    </row>
    <row r="1375" spans="6:7">
      <c r="F1375" s="43"/>
      <c r="G1375" s="61"/>
    </row>
    <row r="1376" spans="6:7">
      <c r="F1376" s="43"/>
      <c r="G1376" s="61"/>
    </row>
    <row r="1377" spans="6:7">
      <c r="F1377" s="43"/>
      <c r="G1377" s="61"/>
    </row>
    <row r="1378" spans="6:7">
      <c r="F1378" s="43"/>
      <c r="G1378" s="61"/>
    </row>
    <row r="1379" spans="6:7">
      <c r="F1379" s="43"/>
      <c r="G1379" s="61"/>
    </row>
    <row r="1380" spans="6:7">
      <c r="F1380" s="43"/>
      <c r="G1380" s="61"/>
    </row>
    <row r="1381" spans="6:7">
      <c r="F1381" s="43"/>
      <c r="G1381" s="61"/>
    </row>
    <row r="1382" spans="6:7">
      <c r="F1382" s="43"/>
      <c r="G1382" s="61"/>
    </row>
    <row r="1383" spans="6:7">
      <c r="F1383" s="43"/>
      <c r="G1383" s="61"/>
    </row>
    <row r="1384" spans="6:7">
      <c r="F1384" s="43"/>
      <c r="G1384" s="61"/>
    </row>
    <row r="1385" spans="6:7">
      <c r="F1385" s="43"/>
      <c r="G1385" s="61"/>
    </row>
    <row r="1386" spans="6:7">
      <c r="F1386" s="43"/>
      <c r="G1386" s="61"/>
    </row>
    <row r="1387" spans="6:7">
      <c r="F1387" s="43"/>
      <c r="G1387" s="61"/>
    </row>
    <row r="1388" spans="6:7">
      <c r="F1388" s="43"/>
      <c r="G1388" s="61"/>
    </row>
    <row r="1389" spans="6:7">
      <c r="F1389" s="43"/>
      <c r="G1389" s="61"/>
    </row>
    <row r="1390" spans="6:7">
      <c r="F1390" s="43"/>
      <c r="G1390" s="61"/>
    </row>
    <row r="1391" spans="6:7">
      <c r="F1391" s="43"/>
      <c r="G1391" s="61"/>
    </row>
    <row r="1392" spans="6:7">
      <c r="F1392" s="43"/>
      <c r="G1392" s="61"/>
    </row>
    <row r="1393" spans="6:7">
      <c r="F1393" s="43"/>
      <c r="G1393" s="61"/>
    </row>
    <row r="1394" spans="6:7">
      <c r="F1394" s="43"/>
      <c r="G1394" s="61"/>
    </row>
    <row r="1395" spans="6:7">
      <c r="F1395" s="43"/>
      <c r="G1395" s="61"/>
    </row>
    <row r="1396" spans="6:7">
      <c r="F1396" s="43"/>
      <c r="G1396" s="61"/>
    </row>
    <row r="1397" spans="6:7">
      <c r="F1397" s="43"/>
      <c r="G1397" s="61"/>
    </row>
    <row r="1398" spans="6:7">
      <c r="F1398" s="43"/>
      <c r="G1398" s="61"/>
    </row>
    <row r="1399" spans="6:7">
      <c r="F1399" s="43"/>
      <c r="G1399" s="61"/>
    </row>
    <row r="1400" spans="6:7">
      <c r="F1400" s="43"/>
      <c r="G1400" s="61"/>
    </row>
    <row r="1401" spans="6:7">
      <c r="F1401" s="43"/>
      <c r="G1401" s="61"/>
    </row>
    <row r="1402" spans="6:7">
      <c r="F1402" s="43"/>
      <c r="G1402" s="61"/>
    </row>
    <row r="1403" spans="6:7">
      <c r="F1403" s="43"/>
      <c r="G1403" s="61"/>
    </row>
    <row r="1404" spans="6:7">
      <c r="F1404" s="43"/>
      <c r="G1404" s="61"/>
    </row>
    <row r="1405" spans="6:7">
      <c r="F1405" s="43"/>
      <c r="G1405" s="61"/>
    </row>
    <row r="1406" spans="6:7">
      <c r="F1406" s="43"/>
      <c r="G1406" s="61"/>
    </row>
    <row r="1407" spans="6:7">
      <c r="F1407" s="43"/>
      <c r="G1407" s="61"/>
    </row>
    <row r="1408" spans="6:7">
      <c r="F1408" s="43"/>
      <c r="G1408" s="61"/>
    </row>
    <row r="1409" spans="6:7">
      <c r="F1409" s="43"/>
      <c r="G1409" s="61"/>
    </row>
    <row r="1410" spans="6:7">
      <c r="F1410" s="43"/>
      <c r="G1410" s="61"/>
    </row>
    <row r="1411" spans="6:7">
      <c r="F1411" s="43"/>
      <c r="G1411" s="61"/>
    </row>
    <row r="1412" spans="6:7">
      <c r="F1412" s="43"/>
      <c r="G1412" s="61"/>
    </row>
    <row r="1413" spans="6:7">
      <c r="F1413" s="43"/>
      <c r="G1413" s="61"/>
    </row>
    <row r="1414" spans="6:7">
      <c r="F1414" s="43"/>
      <c r="G1414" s="61"/>
    </row>
    <row r="1415" spans="6:7">
      <c r="F1415" s="43"/>
      <c r="G1415" s="61"/>
    </row>
    <row r="1416" spans="6:7">
      <c r="F1416" s="43"/>
      <c r="G1416" s="61"/>
    </row>
    <row r="1417" spans="6:7">
      <c r="F1417" s="43"/>
      <c r="G1417" s="61"/>
    </row>
    <row r="1418" spans="6:7">
      <c r="F1418" s="43"/>
      <c r="G1418" s="61"/>
    </row>
    <row r="1419" spans="6:7">
      <c r="F1419" s="43"/>
      <c r="G1419" s="61"/>
    </row>
    <row r="1420" spans="6:7">
      <c r="F1420" s="43"/>
      <c r="G1420" s="61"/>
    </row>
    <row r="1421" spans="6:7">
      <c r="F1421" s="43"/>
      <c r="G1421" s="61"/>
    </row>
    <row r="1422" spans="6:7">
      <c r="F1422" s="43"/>
      <c r="G1422" s="61"/>
    </row>
    <row r="1423" spans="6:7">
      <c r="F1423" s="43"/>
      <c r="G1423" s="61"/>
    </row>
    <row r="1424" spans="6:7">
      <c r="F1424" s="43"/>
      <c r="G1424" s="61"/>
    </row>
    <row r="1425" spans="6:7">
      <c r="F1425" s="43"/>
      <c r="G1425" s="61"/>
    </row>
    <row r="1426" spans="6:7">
      <c r="F1426" s="43"/>
      <c r="G1426" s="61"/>
    </row>
    <row r="1427" spans="6:7">
      <c r="F1427" s="43"/>
      <c r="G1427" s="61"/>
    </row>
    <row r="1428" spans="6:7">
      <c r="F1428" s="43"/>
      <c r="G1428" s="61"/>
    </row>
    <row r="1429" spans="6:7">
      <c r="F1429" s="43"/>
      <c r="G1429" s="61"/>
    </row>
    <row r="1430" spans="6:7">
      <c r="F1430" s="43"/>
      <c r="G1430" s="61"/>
    </row>
    <row r="1431" spans="6:7">
      <c r="F1431" s="43"/>
      <c r="G1431" s="61"/>
    </row>
    <row r="1432" spans="6:7">
      <c r="F1432" s="43"/>
      <c r="G1432" s="61"/>
    </row>
    <row r="1433" spans="6:7">
      <c r="F1433" s="43"/>
      <c r="G1433" s="61"/>
    </row>
    <row r="1434" spans="6:7">
      <c r="F1434" s="43"/>
      <c r="G1434" s="61"/>
    </row>
    <row r="1435" spans="6:7">
      <c r="F1435" s="43"/>
      <c r="G1435" s="61"/>
    </row>
    <row r="1436" spans="6:7">
      <c r="F1436" s="43"/>
      <c r="G1436" s="61"/>
    </row>
    <row r="1437" spans="6:7">
      <c r="F1437" s="43"/>
      <c r="G1437" s="61"/>
    </row>
    <row r="1438" spans="6:7">
      <c r="F1438" s="43"/>
      <c r="G1438" s="61"/>
    </row>
    <row r="1439" spans="6:7">
      <c r="F1439" s="43"/>
      <c r="G1439" s="61"/>
    </row>
    <row r="1440" spans="6:7">
      <c r="F1440" s="43"/>
      <c r="G1440" s="61"/>
    </row>
    <row r="1441" spans="6:7">
      <c r="F1441" s="43"/>
      <c r="G1441" s="61"/>
    </row>
    <row r="1442" spans="6:7">
      <c r="F1442" s="43"/>
      <c r="G1442" s="61"/>
    </row>
    <row r="1443" spans="6:7">
      <c r="F1443" s="43"/>
      <c r="G1443" s="61"/>
    </row>
    <row r="1444" spans="6:7">
      <c r="F1444" s="43"/>
      <c r="G1444" s="61"/>
    </row>
    <row r="1445" spans="6:7">
      <c r="F1445" s="43"/>
      <c r="G1445" s="61"/>
    </row>
    <row r="1446" spans="6:7">
      <c r="F1446" s="43"/>
      <c r="G1446" s="61"/>
    </row>
    <row r="1447" spans="6:7">
      <c r="F1447" s="43"/>
      <c r="G1447" s="61"/>
    </row>
    <row r="1448" spans="6:7">
      <c r="F1448" s="43"/>
      <c r="G1448" s="61"/>
    </row>
    <row r="1449" spans="6:7">
      <c r="F1449" s="43"/>
      <c r="G1449" s="61"/>
    </row>
    <row r="1450" spans="6:7">
      <c r="F1450" s="43"/>
      <c r="G1450" s="61"/>
    </row>
    <row r="1451" spans="6:7">
      <c r="F1451" s="43"/>
      <c r="G1451" s="61"/>
    </row>
    <row r="1452" spans="6:7">
      <c r="F1452" s="43"/>
      <c r="G1452" s="61"/>
    </row>
    <row r="1453" spans="6:7">
      <c r="F1453" s="43"/>
      <c r="G1453" s="61"/>
    </row>
    <row r="1454" spans="6:7">
      <c r="F1454" s="43"/>
      <c r="G1454" s="61"/>
    </row>
    <row r="1455" spans="6:7">
      <c r="F1455" s="43"/>
      <c r="G1455" s="61"/>
    </row>
    <row r="1456" spans="6:7">
      <c r="F1456" s="43"/>
      <c r="G1456" s="61"/>
    </row>
    <row r="1457" spans="6:7">
      <c r="F1457" s="43"/>
      <c r="G1457" s="61"/>
    </row>
    <row r="1458" spans="6:7">
      <c r="F1458" s="43"/>
      <c r="G1458" s="61"/>
    </row>
    <row r="1459" spans="6:7">
      <c r="F1459" s="43"/>
      <c r="G1459" s="61"/>
    </row>
    <row r="1460" spans="6:7">
      <c r="F1460" s="43"/>
      <c r="G1460" s="61"/>
    </row>
    <row r="1461" spans="6:7">
      <c r="F1461" s="43"/>
      <c r="G1461" s="61"/>
    </row>
    <row r="1462" spans="6:7">
      <c r="F1462" s="43"/>
      <c r="G1462" s="61"/>
    </row>
    <row r="1463" spans="6:7">
      <c r="F1463" s="43"/>
      <c r="G1463" s="61"/>
    </row>
    <row r="1464" spans="6:7">
      <c r="F1464" s="43"/>
      <c r="G1464" s="61"/>
    </row>
    <row r="1465" spans="6:7">
      <c r="F1465" s="43"/>
      <c r="G1465" s="61"/>
    </row>
    <row r="1466" spans="6:7">
      <c r="F1466" s="43"/>
      <c r="G1466" s="61"/>
    </row>
    <row r="1467" spans="6:7">
      <c r="F1467" s="43"/>
      <c r="G1467" s="61"/>
    </row>
    <row r="1468" spans="6:7">
      <c r="F1468" s="43"/>
      <c r="G1468" s="61"/>
    </row>
    <row r="1469" spans="6:7">
      <c r="F1469" s="43"/>
      <c r="G1469" s="61"/>
    </row>
    <row r="1470" spans="6:7">
      <c r="F1470" s="43"/>
      <c r="G1470" s="61"/>
    </row>
    <row r="1471" spans="6:7">
      <c r="F1471" s="43"/>
      <c r="G1471" s="61"/>
    </row>
    <row r="1472" spans="6:7">
      <c r="F1472" s="43"/>
      <c r="G1472" s="61"/>
    </row>
    <row r="1473" spans="6:7">
      <c r="F1473" s="43"/>
      <c r="G1473" s="61"/>
    </row>
    <row r="1474" spans="6:7">
      <c r="F1474" s="43"/>
      <c r="G1474" s="61"/>
    </row>
    <row r="1475" spans="6:7">
      <c r="F1475" s="43"/>
      <c r="G1475" s="61"/>
    </row>
    <row r="1476" spans="6:7">
      <c r="F1476" s="43"/>
      <c r="G1476" s="61"/>
    </row>
    <row r="1477" spans="6:7">
      <c r="F1477" s="43"/>
      <c r="G1477" s="61"/>
    </row>
    <row r="1478" spans="6:7">
      <c r="F1478" s="43"/>
      <c r="G1478" s="61"/>
    </row>
    <row r="1479" spans="6:7">
      <c r="F1479" s="43"/>
      <c r="G1479" s="61"/>
    </row>
    <row r="1480" spans="6:7">
      <c r="F1480" s="43"/>
      <c r="G1480" s="61"/>
    </row>
    <row r="1481" spans="6:7">
      <c r="F1481" s="43"/>
      <c r="G1481" s="61"/>
    </row>
    <row r="1482" spans="6:7">
      <c r="F1482" s="43"/>
      <c r="G1482" s="61"/>
    </row>
    <row r="1483" spans="6:7">
      <c r="F1483" s="43"/>
      <c r="G1483" s="61"/>
    </row>
    <row r="1484" spans="6:7">
      <c r="F1484" s="43"/>
      <c r="G1484" s="61"/>
    </row>
    <row r="1485" spans="6:7">
      <c r="F1485" s="43"/>
      <c r="G1485" s="61"/>
    </row>
    <row r="1486" spans="6:7">
      <c r="F1486" s="43"/>
      <c r="G1486" s="61"/>
    </row>
    <row r="1487" spans="6:7">
      <c r="F1487" s="43"/>
      <c r="G1487" s="61"/>
    </row>
    <row r="1488" spans="6:7">
      <c r="F1488" s="43"/>
      <c r="G1488" s="61"/>
    </row>
    <row r="1489" spans="6:7">
      <c r="F1489" s="43"/>
      <c r="G1489" s="61"/>
    </row>
    <row r="1490" spans="6:7">
      <c r="F1490" s="43"/>
      <c r="G1490" s="61"/>
    </row>
    <row r="1491" spans="6:7">
      <c r="F1491" s="43"/>
      <c r="G1491" s="61"/>
    </row>
    <row r="1492" spans="6:7">
      <c r="F1492" s="43"/>
      <c r="G1492" s="61"/>
    </row>
    <row r="1493" spans="6:7">
      <c r="F1493" s="43"/>
      <c r="G1493" s="61"/>
    </row>
    <row r="1494" spans="6:7">
      <c r="F1494" s="43"/>
      <c r="G1494" s="61"/>
    </row>
    <row r="1495" spans="6:7">
      <c r="F1495" s="43"/>
      <c r="G1495" s="61"/>
    </row>
    <row r="1496" spans="6:7">
      <c r="F1496" s="43"/>
      <c r="G1496" s="61"/>
    </row>
    <row r="1497" spans="6:7">
      <c r="F1497" s="43"/>
      <c r="G1497" s="61"/>
    </row>
    <row r="1498" spans="6:7">
      <c r="F1498" s="43"/>
      <c r="G1498" s="61"/>
    </row>
    <row r="1499" spans="6:7">
      <c r="F1499" s="43"/>
      <c r="G1499" s="61"/>
    </row>
    <row r="1500" spans="6:7">
      <c r="F1500" s="43"/>
      <c r="G1500" s="61"/>
    </row>
    <row r="1501" spans="6:7">
      <c r="F1501" s="43"/>
      <c r="G1501" s="61"/>
    </row>
    <row r="1502" spans="6:7">
      <c r="F1502" s="43"/>
      <c r="G1502" s="61"/>
    </row>
    <row r="1503" spans="6:7">
      <c r="F1503" s="43"/>
      <c r="G1503" s="61"/>
    </row>
    <row r="1504" spans="6:7">
      <c r="F1504" s="43"/>
      <c r="G1504" s="61"/>
    </row>
    <row r="1505" spans="6:7">
      <c r="F1505" s="43"/>
      <c r="G1505" s="61"/>
    </row>
    <row r="1506" spans="6:7">
      <c r="F1506" s="43"/>
      <c r="G1506" s="61"/>
    </row>
    <row r="1507" spans="6:7">
      <c r="F1507" s="43"/>
      <c r="G1507" s="61"/>
    </row>
    <row r="1508" spans="6:7">
      <c r="F1508" s="43"/>
      <c r="G1508" s="61"/>
    </row>
    <row r="1509" spans="6:7">
      <c r="F1509" s="43"/>
      <c r="G1509" s="61"/>
    </row>
    <row r="1510" spans="6:7">
      <c r="F1510" s="43"/>
      <c r="G1510" s="61"/>
    </row>
    <row r="1511" spans="6:7">
      <c r="F1511" s="43"/>
      <c r="G1511" s="61"/>
    </row>
    <row r="1512" spans="6:7">
      <c r="F1512" s="43"/>
      <c r="G1512" s="61"/>
    </row>
    <row r="1513" spans="6:7">
      <c r="F1513" s="43"/>
      <c r="G1513" s="61"/>
    </row>
    <row r="1514" spans="6:7">
      <c r="F1514" s="43"/>
      <c r="G1514" s="61"/>
    </row>
    <row r="1515" spans="6:7">
      <c r="F1515" s="43"/>
      <c r="G1515" s="61"/>
    </row>
    <row r="1516" spans="6:7">
      <c r="F1516" s="43"/>
      <c r="G1516" s="61"/>
    </row>
    <row r="1517" spans="6:7">
      <c r="F1517" s="43"/>
      <c r="G1517" s="61"/>
    </row>
    <row r="1518" spans="6:7">
      <c r="F1518" s="43"/>
      <c r="G1518" s="61"/>
    </row>
    <row r="1519" spans="6:7">
      <c r="F1519" s="43"/>
      <c r="G1519" s="61"/>
    </row>
    <row r="1520" spans="6:7">
      <c r="F1520" s="43"/>
      <c r="G1520" s="61"/>
    </row>
    <row r="1521" spans="6:7">
      <c r="F1521" s="43"/>
      <c r="G1521" s="61"/>
    </row>
    <row r="1522" spans="6:7">
      <c r="F1522" s="43"/>
      <c r="G1522" s="61"/>
    </row>
    <row r="1523" spans="6:7">
      <c r="F1523" s="43"/>
      <c r="G1523" s="61"/>
    </row>
    <row r="1524" spans="6:7">
      <c r="F1524" s="43"/>
      <c r="G1524" s="61"/>
    </row>
    <row r="1525" spans="6:7">
      <c r="F1525" s="43"/>
      <c r="G1525" s="61"/>
    </row>
    <row r="1526" spans="6:7">
      <c r="F1526" s="43"/>
      <c r="G1526" s="61"/>
    </row>
    <row r="1527" spans="6:7">
      <c r="F1527" s="43"/>
      <c r="G1527" s="61"/>
    </row>
    <row r="1528" spans="6:7">
      <c r="F1528" s="43"/>
      <c r="G1528" s="61"/>
    </row>
    <row r="1529" spans="6:7">
      <c r="F1529" s="43"/>
      <c r="G1529" s="61"/>
    </row>
    <row r="1530" spans="6:7">
      <c r="F1530" s="43"/>
      <c r="G1530" s="61"/>
    </row>
    <row r="1531" spans="6:7">
      <c r="F1531" s="43"/>
      <c r="G1531" s="61"/>
    </row>
    <row r="1532" spans="6:7">
      <c r="F1532" s="43"/>
      <c r="G1532" s="61"/>
    </row>
    <row r="1533" spans="6:7">
      <c r="F1533" s="43"/>
      <c r="G1533" s="61"/>
    </row>
    <row r="1534" spans="6:7">
      <c r="F1534" s="43"/>
      <c r="G1534" s="61"/>
    </row>
    <row r="1535" spans="6:7">
      <c r="F1535" s="43"/>
      <c r="G1535" s="61"/>
    </row>
    <row r="1536" spans="6:7">
      <c r="F1536" s="43"/>
      <c r="G1536" s="61"/>
    </row>
    <row r="1537" spans="6:7">
      <c r="F1537" s="43"/>
      <c r="G1537" s="61"/>
    </row>
    <row r="1538" spans="6:7">
      <c r="F1538" s="43"/>
      <c r="G1538" s="61"/>
    </row>
    <row r="1539" spans="6:7">
      <c r="F1539" s="43"/>
      <c r="G1539" s="61"/>
    </row>
    <row r="1540" spans="6:7">
      <c r="F1540" s="43"/>
      <c r="G1540" s="61"/>
    </row>
    <row r="1541" spans="6:7">
      <c r="F1541" s="43"/>
      <c r="G1541" s="61"/>
    </row>
    <row r="1542" spans="6:7">
      <c r="F1542" s="43"/>
      <c r="G1542" s="61"/>
    </row>
    <row r="1543" spans="6:7">
      <c r="F1543" s="43"/>
      <c r="G1543" s="61"/>
    </row>
    <row r="1544" spans="6:7">
      <c r="F1544" s="43"/>
      <c r="G1544" s="61"/>
    </row>
    <row r="1545" spans="6:7">
      <c r="F1545" s="43"/>
      <c r="G1545" s="61"/>
    </row>
    <row r="1546" spans="6:7">
      <c r="F1546" s="43"/>
      <c r="G1546" s="61"/>
    </row>
    <row r="1547" spans="6:7">
      <c r="F1547" s="43"/>
      <c r="G1547" s="61"/>
    </row>
    <row r="1548" spans="6:7">
      <c r="F1548" s="43"/>
      <c r="G1548" s="61"/>
    </row>
    <row r="1549" spans="6:7">
      <c r="F1549" s="43"/>
      <c r="G1549" s="61"/>
    </row>
    <row r="1550" spans="6:7">
      <c r="F1550" s="43"/>
      <c r="G1550" s="61"/>
    </row>
    <row r="1551" spans="6:7">
      <c r="F1551" s="43"/>
      <c r="G1551" s="61"/>
    </row>
    <row r="1552" spans="6:7">
      <c r="F1552" s="43"/>
      <c r="G1552" s="61"/>
    </row>
    <row r="1553" spans="6:7">
      <c r="F1553" s="43"/>
      <c r="G1553" s="61"/>
    </row>
    <row r="1554" spans="6:7">
      <c r="F1554" s="43"/>
      <c r="G1554" s="61"/>
    </row>
    <row r="1555" spans="6:7">
      <c r="F1555" s="43"/>
      <c r="G1555" s="61"/>
    </row>
    <row r="1556" spans="6:7">
      <c r="F1556" s="43"/>
      <c r="G1556" s="61"/>
    </row>
    <row r="1557" spans="6:7">
      <c r="F1557" s="43"/>
      <c r="G1557" s="61"/>
    </row>
    <row r="1558" spans="6:7">
      <c r="F1558" s="43"/>
      <c r="G1558" s="61"/>
    </row>
    <row r="1559" spans="6:7">
      <c r="F1559" s="43"/>
      <c r="G1559" s="61"/>
    </row>
    <row r="1560" spans="6:7">
      <c r="F1560" s="43"/>
      <c r="G1560" s="61"/>
    </row>
    <row r="1561" spans="6:7">
      <c r="F1561" s="43"/>
      <c r="G1561" s="61"/>
    </row>
    <row r="1562" spans="6:7">
      <c r="F1562" s="43"/>
      <c r="G1562" s="61"/>
    </row>
    <row r="1563" spans="6:7">
      <c r="F1563" s="43"/>
      <c r="G1563" s="61"/>
    </row>
    <row r="1564" spans="6:7">
      <c r="F1564" s="43"/>
      <c r="G1564" s="61"/>
    </row>
    <row r="1565" spans="6:7">
      <c r="F1565" s="43"/>
      <c r="G1565" s="61"/>
    </row>
    <row r="1566" spans="6:7">
      <c r="F1566" s="43"/>
      <c r="G1566" s="61"/>
    </row>
    <row r="1567" spans="6:7">
      <c r="F1567" s="43"/>
      <c r="G1567" s="61"/>
    </row>
    <row r="1568" spans="6:7">
      <c r="F1568" s="43"/>
      <c r="G1568" s="61"/>
    </row>
    <row r="1569" spans="6:7">
      <c r="F1569" s="43"/>
      <c r="G1569" s="61"/>
    </row>
    <row r="1570" spans="6:7">
      <c r="F1570" s="43"/>
      <c r="G1570" s="61"/>
    </row>
    <row r="1571" spans="6:7">
      <c r="F1571" s="43"/>
      <c r="G1571" s="61"/>
    </row>
    <row r="1572" spans="6:7">
      <c r="F1572" s="43"/>
      <c r="G1572" s="61"/>
    </row>
    <row r="1573" spans="6:7">
      <c r="F1573" s="43"/>
      <c r="G1573" s="61"/>
    </row>
    <row r="1574" spans="6:7">
      <c r="F1574" s="43"/>
      <c r="G1574" s="61"/>
    </row>
    <row r="1575" spans="6:7">
      <c r="F1575" s="43"/>
      <c r="G1575" s="61"/>
    </row>
    <row r="1576" spans="6:7">
      <c r="F1576" s="43"/>
      <c r="G1576" s="61"/>
    </row>
    <row r="1577" spans="6:7">
      <c r="F1577" s="43"/>
      <c r="G1577" s="61"/>
    </row>
    <row r="1578" spans="6:7">
      <c r="F1578" s="43"/>
      <c r="G1578" s="61"/>
    </row>
    <row r="1579" spans="6:7">
      <c r="F1579" s="43"/>
      <c r="G1579" s="61"/>
    </row>
    <row r="1580" spans="6:7">
      <c r="F1580" s="43"/>
      <c r="G1580" s="61"/>
    </row>
    <row r="1581" spans="6:7">
      <c r="F1581" s="43"/>
      <c r="G1581" s="61"/>
    </row>
    <row r="1582" spans="6:7">
      <c r="F1582" s="43"/>
      <c r="G1582" s="61"/>
    </row>
    <row r="1583" spans="6:7">
      <c r="F1583" s="43"/>
      <c r="G1583" s="61"/>
    </row>
    <row r="1584" spans="6:7">
      <c r="F1584" s="43"/>
      <c r="G1584" s="61"/>
    </row>
    <row r="1585" spans="6:7">
      <c r="F1585" s="43"/>
      <c r="G1585" s="61"/>
    </row>
    <row r="1586" spans="6:7">
      <c r="F1586" s="43"/>
      <c r="G1586" s="61"/>
    </row>
    <row r="1587" spans="6:7">
      <c r="F1587" s="43"/>
      <c r="G1587" s="61"/>
    </row>
    <row r="1588" spans="6:7">
      <c r="F1588" s="43"/>
      <c r="G1588" s="61"/>
    </row>
    <row r="1589" spans="6:7">
      <c r="F1589" s="43"/>
      <c r="G1589" s="61"/>
    </row>
    <row r="1590" spans="6:7">
      <c r="F1590" s="43"/>
      <c r="G1590" s="61"/>
    </row>
    <row r="1591" spans="6:7">
      <c r="F1591" s="43"/>
      <c r="G1591" s="61"/>
    </row>
    <row r="1592" spans="6:7">
      <c r="F1592" s="43"/>
      <c r="G1592" s="61"/>
    </row>
    <row r="1593" spans="6:7">
      <c r="F1593" s="43"/>
      <c r="G1593" s="61"/>
    </row>
    <row r="1594" spans="6:7">
      <c r="F1594" s="43"/>
      <c r="G1594" s="61"/>
    </row>
    <row r="1595" spans="6:7">
      <c r="F1595" s="43"/>
      <c r="G1595" s="61"/>
    </row>
    <row r="1596" spans="6:7">
      <c r="F1596" s="43"/>
      <c r="G1596" s="61"/>
    </row>
    <row r="1597" spans="6:7">
      <c r="F1597" s="43"/>
      <c r="G1597" s="61"/>
    </row>
    <row r="1598" spans="6:7">
      <c r="F1598" s="43"/>
      <c r="G1598" s="61"/>
    </row>
    <row r="1599" spans="6:7">
      <c r="F1599" s="43"/>
      <c r="G1599" s="61"/>
    </row>
    <row r="1600" spans="6:7">
      <c r="F1600" s="43"/>
      <c r="G1600" s="61"/>
    </row>
    <row r="1601" spans="6:7">
      <c r="F1601" s="43"/>
      <c r="G1601" s="61"/>
    </row>
    <row r="1602" spans="6:7">
      <c r="F1602" s="43"/>
      <c r="G1602" s="61"/>
    </row>
    <row r="1603" spans="6:7">
      <c r="F1603" s="43"/>
      <c r="G1603" s="61"/>
    </row>
    <row r="1604" spans="6:7">
      <c r="F1604" s="43"/>
      <c r="G1604" s="61"/>
    </row>
    <row r="1605" spans="6:7">
      <c r="F1605" s="43"/>
      <c r="G1605" s="61"/>
    </row>
    <row r="1606" spans="6:7">
      <c r="F1606" s="43"/>
      <c r="G1606" s="61"/>
    </row>
    <row r="1607" spans="6:7">
      <c r="F1607" s="43"/>
      <c r="G1607" s="61"/>
    </row>
    <row r="1608" spans="6:7">
      <c r="F1608" s="43"/>
      <c r="G1608" s="61"/>
    </row>
    <row r="1609" spans="6:7">
      <c r="F1609" s="43"/>
      <c r="G1609" s="61"/>
    </row>
    <row r="1610" spans="6:7">
      <c r="F1610" s="43"/>
      <c r="G1610" s="61"/>
    </row>
    <row r="1611" spans="6:7">
      <c r="F1611" s="43"/>
      <c r="G1611" s="61"/>
    </row>
    <row r="1612" spans="6:7">
      <c r="F1612" s="43"/>
      <c r="G1612" s="61"/>
    </row>
    <row r="1613" spans="6:7">
      <c r="F1613" s="43"/>
      <c r="G1613" s="61"/>
    </row>
    <row r="1614" spans="6:7">
      <c r="F1614" s="43"/>
      <c r="G1614" s="61"/>
    </row>
    <row r="1615" spans="6:7">
      <c r="F1615" s="43"/>
      <c r="G1615" s="61"/>
    </row>
    <row r="1616" spans="6:7">
      <c r="F1616" s="43"/>
      <c r="G1616" s="61"/>
    </row>
    <row r="1617" spans="6:7">
      <c r="F1617" s="43"/>
      <c r="G1617" s="61"/>
    </row>
    <row r="1618" spans="6:7">
      <c r="F1618" s="43"/>
      <c r="G1618" s="61"/>
    </row>
    <row r="1619" spans="6:7">
      <c r="F1619" s="43"/>
      <c r="G1619" s="61"/>
    </row>
    <row r="1620" spans="6:7">
      <c r="F1620" s="43"/>
      <c r="G1620" s="61"/>
    </row>
    <row r="1621" spans="6:7">
      <c r="F1621" s="43"/>
      <c r="G1621" s="61"/>
    </row>
    <row r="1622" spans="6:7">
      <c r="F1622" s="43"/>
      <c r="G1622" s="61"/>
    </row>
    <row r="1623" spans="6:7">
      <c r="F1623" s="43"/>
      <c r="G1623" s="61"/>
    </row>
    <row r="1624" spans="6:7">
      <c r="F1624" s="43"/>
      <c r="G1624" s="61"/>
    </row>
    <row r="1625" spans="6:7">
      <c r="F1625" s="43"/>
      <c r="G1625" s="61"/>
    </row>
    <row r="1626" spans="6:7">
      <c r="F1626" s="43"/>
      <c r="G1626" s="61"/>
    </row>
    <row r="1627" spans="6:7">
      <c r="F1627" s="43"/>
      <c r="G1627" s="61"/>
    </row>
    <row r="1628" spans="6:7">
      <c r="F1628" s="43"/>
      <c r="G1628" s="61"/>
    </row>
    <row r="1629" spans="6:7">
      <c r="F1629" s="43"/>
      <c r="G1629" s="61"/>
    </row>
    <row r="1630" spans="6:7">
      <c r="F1630" s="43"/>
      <c r="G1630" s="61"/>
    </row>
    <row r="1631" spans="6:7">
      <c r="F1631" s="43"/>
      <c r="G1631" s="61"/>
    </row>
    <row r="1632" spans="6:7">
      <c r="F1632" s="43"/>
      <c r="G1632" s="61"/>
    </row>
    <row r="1633" spans="6:7">
      <c r="F1633" s="43"/>
      <c r="G1633" s="61"/>
    </row>
    <row r="1634" spans="6:7">
      <c r="F1634" s="43"/>
      <c r="G1634" s="61"/>
    </row>
    <row r="1635" spans="6:7">
      <c r="F1635" s="43"/>
      <c r="G1635" s="61"/>
    </row>
    <row r="1636" spans="6:7">
      <c r="F1636" s="43"/>
      <c r="G1636" s="61"/>
    </row>
    <row r="1637" spans="6:7">
      <c r="F1637" s="43"/>
      <c r="G1637" s="61"/>
    </row>
    <row r="1638" spans="6:7">
      <c r="F1638" s="43"/>
      <c r="G1638" s="61"/>
    </row>
    <row r="1639" spans="6:7">
      <c r="F1639" s="43"/>
      <c r="G1639" s="61"/>
    </row>
    <row r="1640" spans="6:7">
      <c r="F1640" s="43"/>
      <c r="G1640" s="61"/>
    </row>
    <row r="1641" spans="6:7">
      <c r="F1641" s="43"/>
      <c r="G1641" s="61"/>
    </row>
    <row r="1642" spans="6:7">
      <c r="F1642" s="43"/>
      <c r="G1642" s="61"/>
    </row>
    <row r="1643" spans="6:7">
      <c r="F1643" s="43"/>
      <c r="G1643" s="61"/>
    </row>
    <row r="1644" spans="6:7">
      <c r="F1644" s="43"/>
      <c r="G1644" s="61"/>
    </row>
    <row r="1645" spans="6:7">
      <c r="F1645" s="43"/>
      <c r="G1645" s="61"/>
    </row>
    <row r="1646" spans="6:7">
      <c r="F1646" s="43"/>
      <c r="G1646" s="61"/>
    </row>
    <row r="1647" spans="6:7">
      <c r="F1647" s="43"/>
      <c r="G1647" s="61"/>
    </row>
    <row r="1648" spans="6:7">
      <c r="F1648" s="43"/>
      <c r="G1648" s="61"/>
    </row>
    <row r="1649" spans="6:7">
      <c r="F1649" s="43"/>
      <c r="G1649" s="61"/>
    </row>
    <row r="1650" spans="6:7">
      <c r="F1650" s="43"/>
      <c r="G1650" s="61"/>
    </row>
    <row r="1651" spans="6:7">
      <c r="F1651" s="43"/>
      <c r="G1651" s="61"/>
    </row>
    <row r="1652" spans="6:7">
      <c r="F1652" s="43"/>
      <c r="G1652" s="61"/>
    </row>
    <row r="1653" spans="6:7">
      <c r="F1653" s="43"/>
      <c r="G1653" s="61"/>
    </row>
    <row r="1654" spans="6:7">
      <c r="F1654" s="43"/>
      <c r="G1654" s="61"/>
    </row>
    <row r="1655" spans="6:7">
      <c r="F1655" s="43"/>
      <c r="G1655" s="61"/>
    </row>
    <row r="1656" spans="6:7">
      <c r="F1656" s="43"/>
      <c r="G1656" s="61"/>
    </row>
    <row r="1657" spans="6:7">
      <c r="F1657" s="43"/>
      <c r="G1657" s="61"/>
    </row>
    <row r="1658" spans="6:7">
      <c r="F1658" s="43"/>
      <c r="G1658" s="61"/>
    </row>
    <row r="1659" spans="6:7">
      <c r="F1659" s="43"/>
      <c r="G1659" s="61"/>
    </row>
    <row r="1660" spans="6:7">
      <c r="F1660" s="43"/>
      <c r="G1660" s="61"/>
    </row>
    <row r="1661" spans="6:7">
      <c r="F1661" s="43"/>
      <c r="G1661" s="61"/>
    </row>
    <row r="1662" spans="6:7">
      <c r="F1662" s="43"/>
      <c r="G1662" s="61"/>
    </row>
    <row r="1663" spans="6:7">
      <c r="F1663" s="43"/>
      <c r="G1663" s="61"/>
    </row>
    <row r="1664" spans="6:7">
      <c r="F1664" s="43"/>
      <c r="G1664" s="61"/>
    </row>
    <row r="1665" spans="6:7">
      <c r="F1665" s="43"/>
      <c r="G1665" s="61"/>
    </row>
    <row r="1666" spans="6:7">
      <c r="F1666" s="43"/>
      <c r="G1666" s="61"/>
    </row>
    <row r="1667" spans="6:7">
      <c r="F1667" s="43"/>
      <c r="G1667" s="61"/>
    </row>
    <row r="1668" spans="6:7">
      <c r="F1668" s="43"/>
      <c r="G1668" s="61"/>
    </row>
    <row r="1669" spans="6:7">
      <c r="F1669" s="43"/>
      <c r="G1669" s="61"/>
    </row>
    <row r="1670" spans="6:7">
      <c r="F1670" s="43"/>
      <c r="G1670" s="61"/>
    </row>
    <row r="1671" spans="6:7">
      <c r="F1671" s="43"/>
      <c r="G1671" s="61"/>
    </row>
    <row r="1672" spans="6:7">
      <c r="F1672" s="43"/>
      <c r="G1672" s="61"/>
    </row>
    <row r="1673" spans="6:7">
      <c r="F1673" s="43"/>
      <c r="G1673" s="61"/>
    </row>
    <row r="1674" spans="6:7">
      <c r="F1674" s="43"/>
      <c r="G1674" s="61"/>
    </row>
    <row r="1675" spans="6:7">
      <c r="F1675" s="43"/>
      <c r="G1675" s="61"/>
    </row>
    <row r="1676" spans="6:7">
      <c r="F1676" s="43"/>
      <c r="G1676" s="61"/>
    </row>
    <row r="1677" spans="6:7">
      <c r="F1677" s="43"/>
      <c r="G1677" s="61"/>
    </row>
    <row r="1678" spans="6:7">
      <c r="F1678" s="43"/>
      <c r="G1678" s="61"/>
    </row>
    <row r="1679" spans="6:7">
      <c r="F1679" s="43"/>
      <c r="G1679" s="61"/>
    </row>
    <row r="1680" spans="6:7">
      <c r="F1680" s="43"/>
      <c r="G1680" s="61"/>
    </row>
    <row r="1681" spans="6:7">
      <c r="F1681" s="43"/>
      <c r="G1681" s="61"/>
    </row>
    <row r="1682" spans="6:7">
      <c r="F1682" s="43"/>
      <c r="G1682" s="61"/>
    </row>
    <row r="1683" spans="6:7">
      <c r="F1683" s="43"/>
      <c r="G1683" s="61"/>
    </row>
    <row r="1684" spans="6:7">
      <c r="F1684" s="43"/>
      <c r="G1684" s="61"/>
    </row>
    <row r="1685" spans="6:7">
      <c r="F1685" s="43"/>
      <c r="G1685" s="61"/>
    </row>
    <row r="1686" spans="6:7">
      <c r="F1686" s="43"/>
      <c r="G1686" s="61"/>
    </row>
    <row r="1687" spans="6:7">
      <c r="F1687" s="43"/>
      <c r="G1687" s="61"/>
    </row>
    <row r="1688" spans="6:7">
      <c r="F1688" s="43"/>
      <c r="G1688" s="61"/>
    </row>
    <row r="1689" spans="6:7">
      <c r="F1689" s="43"/>
      <c r="G1689" s="61"/>
    </row>
    <row r="1690" spans="6:7">
      <c r="F1690" s="43"/>
      <c r="G1690" s="61"/>
    </row>
    <row r="1691" spans="6:7">
      <c r="F1691" s="43"/>
      <c r="G1691" s="61"/>
    </row>
    <row r="1692" spans="6:7">
      <c r="F1692" s="43"/>
      <c r="G1692" s="61"/>
    </row>
    <row r="1693" spans="6:7">
      <c r="F1693" s="43"/>
      <c r="G1693" s="61"/>
    </row>
    <row r="1694" spans="6:7">
      <c r="F1694" s="43"/>
      <c r="G1694" s="61"/>
    </row>
    <row r="1695" spans="6:7">
      <c r="F1695" s="43"/>
      <c r="G1695" s="61"/>
    </row>
    <row r="1696" spans="6:7">
      <c r="F1696" s="43"/>
      <c r="G1696" s="61"/>
    </row>
    <row r="1697" spans="6:7">
      <c r="F1697" s="43"/>
      <c r="G1697" s="61"/>
    </row>
    <row r="1698" spans="6:7">
      <c r="F1698" s="43"/>
      <c r="G1698" s="61"/>
    </row>
    <row r="1699" spans="6:7">
      <c r="F1699" s="43"/>
      <c r="G1699" s="61"/>
    </row>
    <row r="1700" spans="6:7">
      <c r="F1700" s="43"/>
      <c r="G1700" s="61"/>
    </row>
    <row r="1701" spans="6:7">
      <c r="F1701" s="43"/>
      <c r="G1701" s="61"/>
    </row>
    <row r="1702" spans="6:7">
      <c r="F1702" s="43"/>
      <c r="G1702" s="61"/>
    </row>
    <row r="1703" spans="6:7">
      <c r="F1703" s="43"/>
      <c r="G1703" s="61"/>
    </row>
    <row r="1704" spans="6:7">
      <c r="F1704" s="43"/>
      <c r="G1704" s="61"/>
    </row>
    <row r="1705" spans="6:7">
      <c r="F1705" s="43"/>
      <c r="G1705" s="61"/>
    </row>
    <row r="1706" spans="6:7">
      <c r="F1706" s="43"/>
      <c r="G1706" s="61"/>
    </row>
    <row r="1707" spans="6:7">
      <c r="F1707" s="43"/>
      <c r="G1707" s="61"/>
    </row>
    <row r="1708" spans="6:7">
      <c r="F1708" s="43"/>
      <c r="G1708" s="61"/>
    </row>
    <row r="1709" spans="6:7">
      <c r="F1709" s="43"/>
      <c r="G1709" s="61"/>
    </row>
    <row r="1710" spans="6:7">
      <c r="F1710" s="43"/>
      <c r="G1710" s="61"/>
    </row>
    <row r="1711" spans="6:7">
      <c r="F1711" s="43"/>
      <c r="G1711" s="61"/>
    </row>
    <row r="1712" spans="6:7">
      <c r="F1712" s="43"/>
      <c r="G1712" s="61"/>
    </row>
    <row r="1713" spans="6:7">
      <c r="F1713" s="43"/>
      <c r="G1713" s="61"/>
    </row>
    <row r="1714" spans="6:7">
      <c r="F1714" s="43"/>
      <c r="G1714" s="61"/>
    </row>
    <row r="1715" spans="6:7">
      <c r="F1715" s="43"/>
      <c r="G1715" s="61"/>
    </row>
    <row r="1716" spans="6:7">
      <c r="F1716" s="43"/>
      <c r="G1716" s="61"/>
    </row>
    <row r="1717" spans="6:7">
      <c r="F1717" s="43"/>
      <c r="G1717" s="61"/>
    </row>
    <row r="1718" spans="6:7">
      <c r="F1718" s="43"/>
      <c r="G1718" s="61"/>
    </row>
    <row r="1719" spans="6:7">
      <c r="F1719" s="43"/>
      <c r="G1719" s="61"/>
    </row>
    <row r="1720" spans="6:7">
      <c r="F1720" s="43"/>
      <c r="G1720" s="61"/>
    </row>
    <row r="1721" spans="6:7">
      <c r="F1721" s="43"/>
      <c r="G1721" s="61"/>
    </row>
    <row r="1722" spans="6:7">
      <c r="F1722" s="43"/>
      <c r="G1722" s="61"/>
    </row>
    <row r="1723" spans="6:7">
      <c r="F1723" s="43"/>
      <c r="G1723" s="61"/>
    </row>
    <row r="1724" spans="6:7">
      <c r="F1724" s="43"/>
      <c r="G1724" s="61"/>
    </row>
    <row r="1725" spans="6:7">
      <c r="F1725" s="43"/>
      <c r="G1725" s="61"/>
    </row>
    <row r="1726" spans="6:7">
      <c r="F1726" s="43"/>
      <c r="G1726" s="61"/>
    </row>
    <row r="1727" spans="6:7">
      <c r="F1727" s="43"/>
      <c r="G1727" s="61"/>
    </row>
    <row r="1728" spans="6:7">
      <c r="F1728" s="43"/>
      <c r="G1728" s="61"/>
    </row>
    <row r="1729" spans="6:7">
      <c r="F1729" s="43"/>
      <c r="G1729" s="61"/>
    </row>
    <row r="1730" spans="6:7">
      <c r="F1730" s="43"/>
      <c r="G1730" s="61"/>
    </row>
    <row r="1731" spans="6:7">
      <c r="F1731" s="43"/>
      <c r="G1731" s="61"/>
    </row>
    <row r="1732" spans="6:7">
      <c r="F1732" s="43"/>
      <c r="G1732" s="61"/>
    </row>
    <row r="1733" spans="6:7">
      <c r="F1733" s="43"/>
      <c r="G1733" s="61"/>
    </row>
    <row r="1734" spans="6:7">
      <c r="F1734" s="43"/>
      <c r="G1734" s="61"/>
    </row>
    <row r="1735" spans="6:7">
      <c r="F1735" s="43"/>
      <c r="G1735" s="61"/>
    </row>
    <row r="1736" spans="6:7">
      <c r="F1736" s="43"/>
      <c r="G1736" s="61"/>
    </row>
    <row r="1737" spans="6:7">
      <c r="F1737" s="43"/>
      <c r="G1737" s="61"/>
    </row>
    <row r="1738" spans="6:7">
      <c r="F1738" s="43"/>
      <c r="G1738" s="61"/>
    </row>
    <row r="1739" spans="6:7">
      <c r="F1739" s="43"/>
      <c r="G1739" s="61"/>
    </row>
    <row r="1740" spans="6:7">
      <c r="F1740" s="43"/>
      <c r="G1740" s="61"/>
    </row>
    <row r="1741" spans="6:7">
      <c r="F1741" s="43"/>
      <c r="G1741" s="61"/>
    </row>
    <row r="1742" spans="6:7">
      <c r="F1742" s="43"/>
      <c r="G1742" s="61"/>
    </row>
    <row r="1743" spans="6:7">
      <c r="F1743" s="43"/>
      <c r="G1743" s="61"/>
    </row>
    <row r="1744" spans="6:7">
      <c r="F1744" s="43"/>
      <c r="G1744" s="61"/>
    </row>
    <row r="1745" spans="6:7">
      <c r="F1745" s="43"/>
      <c r="G1745" s="61"/>
    </row>
    <row r="1746" spans="6:7">
      <c r="F1746" s="43"/>
      <c r="G1746" s="61"/>
    </row>
    <row r="1747" spans="6:7">
      <c r="F1747" s="43"/>
      <c r="G1747" s="61"/>
    </row>
    <row r="1748" spans="6:7">
      <c r="F1748" s="43"/>
      <c r="G1748" s="61"/>
    </row>
    <row r="1749" spans="6:7">
      <c r="F1749" s="43"/>
      <c r="G1749" s="61"/>
    </row>
    <row r="1750" spans="6:7">
      <c r="F1750" s="43"/>
      <c r="G1750" s="61"/>
    </row>
    <row r="1751" spans="6:7">
      <c r="F1751" s="43"/>
      <c r="G1751" s="61"/>
    </row>
    <row r="1752" spans="6:7">
      <c r="F1752" s="43"/>
      <c r="G1752" s="61"/>
    </row>
    <row r="1753" spans="6:7">
      <c r="F1753" s="43"/>
      <c r="G1753" s="61"/>
    </row>
    <row r="1754" spans="6:7">
      <c r="F1754" s="43"/>
      <c r="G1754" s="61"/>
    </row>
    <row r="1755" spans="6:7">
      <c r="F1755" s="43"/>
      <c r="G1755" s="61"/>
    </row>
    <row r="1756" spans="6:7">
      <c r="F1756" s="43"/>
      <c r="G1756" s="61"/>
    </row>
    <row r="1757" spans="6:7">
      <c r="F1757" s="43"/>
      <c r="G1757" s="61"/>
    </row>
    <row r="1758" spans="6:7">
      <c r="F1758" s="43"/>
      <c r="G1758" s="61"/>
    </row>
    <row r="1759" spans="6:7">
      <c r="F1759" s="43"/>
      <c r="G1759" s="61"/>
    </row>
    <row r="1760" spans="6:7">
      <c r="F1760" s="43"/>
      <c r="G1760" s="61"/>
    </row>
    <row r="1761" spans="6:7">
      <c r="F1761" s="43"/>
      <c r="G1761" s="61"/>
    </row>
    <row r="1762" spans="6:7">
      <c r="F1762" s="43"/>
      <c r="G1762" s="61"/>
    </row>
    <row r="1763" spans="6:7">
      <c r="F1763" s="43"/>
      <c r="G1763" s="61"/>
    </row>
    <row r="1764" spans="6:7">
      <c r="F1764" s="43"/>
      <c r="G1764" s="61"/>
    </row>
    <row r="1765" spans="6:7">
      <c r="F1765" s="43"/>
      <c r="G1765" s="61"/>
    </row>
    <row r="1766" spans="6:7">
      <c r="F1766" s="43"/>
      <c r="G1766" s="61"/>
    </row>
    <row r="1767" spans="6:7">
      <c r="F1767" s="43"/>
      <c r="G1767" s="61"/>
    </row>
    <row r="1768" spans="6:7">
      <c r="F1768" s="43"/>
      <c r="G1768" s="61"/>
    </row>
    <row r="1769" spans="6:7">
      <c r="F1769" s="43"/>
      <c r="G1769" s="61"/>
    </row>
    <row r="1770" spans="6:7">
      <c r="F1770" s="43"/>
      <c r="G1770" s="61"/>
    </row>
    <row r="1771" spans="6:7">
      <c r="F1771" s="43"/>
      <c r="G1771" s="61"/>
    </row>
    <row r="1772" spans="6:7">
      <c r="F1772" s="43"/>
      <c r="G1772" s="61"/>
    </row>
    <row r="1773" spans="6:7">
      <c r="F1773" s="43"/>
      <c r="G1773" s="61"/>
    </row>
    <row r="1774" spans="6:7">
      <c r="F1774" s="43"/>
      <c r="G1774" s="61"/>
    </row>
    <row r="1775" spans="6:7">
      <c r="F1775" s="43"/>
      <c r="G1775" s="61"/>
    </row>
    <row r="1776" spans="6:7">
      <c r="F1776" s="43"/>
      <c r="G1776" s="61"/>
    </row>
    <row r="1777" spans="6:7">
      <c r="F1777" s="43"/>
      <c r="G1777" s="61"/>
    </row>
    <row r="1778" spans="6:7">
      <c r="F1778" s="43"/>
      <c r="G1778" s="61"/>
    </row>
    <row r="1779" spans="6:7">
      <c r="F1779" s="43"/>
      <c r="G1779" s="61"/>
    </row>
    <row r="1780" spans="6:7">
      <c r="F1780" s="43"/>
      <c r="G1780" s="61"/>
    </row>
    <row r="1781" spans="6:7">
      <c r="F1781" s="43"/>
      <c r="G1781" s="61"/>
    </row>
    <row r="1782" spans="6:7">
      <c r="F1782" s="43"/>
      <c r="G1782" s="61"/>
    </row>
    <row r="1783" spans="6:7">
      <c r="F1783" s="43"/>
      <c r="G1783" s="61"/>
    </row>
    <row r="1784" spans="6:7">
      <c r="F1784" s="43"/>
      <c r="G1784" s="61"/>
    </row>
    <row r="1785" spans="6:7">
      <c r="F1785" s="43"/>
      <c r="G1785" s="61"/>
    </row>
    <row r="1786" spans="6:7">
      <c r="F1786" s="43"/>
      <c r="G1786" s="61"/>
    </row>
    <row r="1787" spans="6:7">
      <c r="F1787" s="43"/>
      <c r="G1787" s="61"/>
    </row>
    <row r="1788" spans="6:7">
      <c r="F1788" s="43"/>
      <c r="G1788" s="61"/>
    </row>
    <row r="1789" spans="6:7">
      <c r="F1789" s="43"/>
      <c r="G1789" s="61"/>
    </row>
    <row r="1790" spans="6:7">
      <c r="F1790" s="43"/>
      <c r="G1790" s="61"/>
    </row>
    <row r="1791" spans="6:7">
      <c r="F1791" s="43"/>
      <c r="G1791" s="61"/>
    </row>
    <row r="1792" spans="6:7">
      <c r="F1792" s="43"/>
      <c r="G1792" s="61"/>
    </row>
    <row r="1793" spans="6:7">
      <c r="F1793" s="43"/>
      <c r="G1793" s="61"/>
    </row>
    <row r="1794" spans="6:7">
      <c r="F1794" s="43"/>
      <c r="G1794" s="61"/>
    </row>
    <row r="1795" spans="6:7">
      <c r="F1795" s="43"/>
      <c r="G1795" s="61"/>
    </row>
    <row r="1796" spans="6:7">
      <c r="F1796" s="43"/>
      <c r="G1796" s="61"/>
    </row>
    <row r="1797" spans="6:7">
      <c r="F1797" s="43"/>
      <c r="G1797" s="61"/>
    </row>
    <row r="1798" spans="6:7">
      <c r="F1798" s="43"/>
      <c r="G1798" s="61"/>
    </row>
    <row r="1799" spans="6:7">
      <c r="F1799" s="43"/>
      <c r="G1799" s="61"/>
    </row>
    <row r="1800" spans="6:7">
      <c r="F1800" s="43"/>
      <c r="G1800" s="61"/>
    </row>
    <row r="1801" spans="6:7">
      <c r="F1801" s="43"/>
      <c r="G1801" s="61"/>
    </row>
    <row r="1802" spans="6:7">
      <c r="F1802" s="43"/>
      <c r="G1802" s="61"/>
    </row>
    <row r="1803" spans="6:7">
      <c r="F1803" s="43"/>
      <c r="G1803" s="61"/>
    </row>
    <row r="1804" spans="6:7">
      <c r="F1804" s="43"/>
      <c r="G1804" s="61"/>
    </row>
    <row r="1805" spans="6:7">
      <c r="F1805" s="43"/>
      <c r="G1805" s="61"/>
    </row>
    <row r="1806" spans="6:7">
      <c r="F1806" s="43"/>
      <c r="G1806" s="61"/>
    </row>
    <row r="1807" spans="6:7">
      <c r="F1807" s="43"/>
      <c r="G1807" s="61"/>
    </row>
    <row r="1808" spans="6:7">
      <c r="F1808" s="43"/>
      <c r="G1808" s="61"/>
    </row>
    <row r="1809" spans="6:7">
      <c r="F1809" s="43"/>
      <c r="G1809" s="61"/>
    </row>
    <row r="1810" spans="6:7">
      <c r="F1810" s="43"/>
      <c r="G1810" s="61"/>
    </row>
    <row r="1811" spans="6:7">
      <c r="F1811" s="43"/>
      <c r="G1811" s="61"/>
    </row>
    <row r="1812" spans="6:7">
      <c r="F1812" s="43"/>
      <c r="G1812" s="61"/>
    </row>
    <row r="1813" spans="6:7">
      <c r="F1813" s="43"/>
      <c r="G1813" s="61"/>
    </row>
    <row r="1814" spans="6:7">
      <c r="F1814" s="43"/>
      <c r="G1814" s="61"/>
    </row>
    <row r="1815" spans="6:7">
      <c r="F1815" s="43"/>
      <c r="G1815" s="61"/>
    </row>
    <row r="1816" spans="6:7">
      <c r="F1816" s="43"/>
      <c r="G1816" s="61"/>
    </row>
    <row r="1817" spans="6:7">
      <c r="F1817" s="43"/>
      <c r="G1817" s="61"/>
    </row>
    <row r="1818" spans="6:7">
      <c r="F1818" s="43"/>
      <c r="G1818" s="61"/>
    </row>
    <row r="1819" spans="6:7">
      <c r="F1819" s="43"/>
      <c r="G1819" s="61"/>
    </row>
    <row r="1820" spans="6:7">
      <c r="F1820" s="43"/>
      <c r="G1820" s="61"/>
    </row>
    <row r="1821" spans="6:7">
      <c r="F1821" s="43"/>
      <c r="G1821" s="61"/>
    </row>
    <row r="1822" spans="6:7">
      <c r="F1822" s="43"/>
      <c r="G1822" s="61"/>
    </row>
    <row r="1823" spans="6:7">
      <c r="F1823" s="43"/>
      <c r="G1823" s="61"/>
    </row>
    <row r="1824" spans="6:7">
      <c r="F1824" s="43"/>
      <c r="G1824" s="61"/>
    </row>
    <row r="1825" spans="6:7">
      <c r="F1825" s="43"/>
      <c r="G1825" s="61"/>
    </row>
    <row r="1826" spans="6:7">
      <c r="F1826" s="43"/>
      <c r="G1826" s="61"/>
    </row>
    <row r="1827" spans="6:7">
      <c r="F1827" s="43"/>
      <c r="G1827" s="61"/>
    </row>
    <row r="1828" spans="6:7">
      <c r="F1828" s="43"/>
      <c r="G1828" s="61"/>
    </row>
    <row r="1829" spans="6:7">
      <c r="F1829" s="43"/>
      <c r="G1829" s="61"/>
    </row>
    <row r="1830" spans="6:7">
      <c r="F1830" s="43"/>
      <c r="G1830" s="61"/>
    </row>
    <row r="1831" spans="6:7">
      <c r="F1831" s="43"/>
      <c r="G1831" s="61"/>
    </row>
    <row r="1832" spans="6:7">
      <c r="F1832" s="43"/>
      <c r="G1832" s="61"/>
    </row>
    <row r="1833" spans="6:7">
      <c r="F1833" s="43"/>
      <c r="G1833" s="61"/>
    </row>
    <row r="1834" spans="6:7">
      <c r="F1834" s="43"/>
      <c r="G1834" s="61"/>
    </row>
    <row r="1835" spans="6:7">
      <c r="F1835" s="43"/>
      <c r="G1835" s="61"/>
    </row>
    <row r="1836" spans="6:7">
      <c r="F1836" s="43"/>
      <c r="G1836" s="61"/>
    </row>
    <row r="1837" spans="6:7">
      <c r="F1837" s="43"/>
      <c r="G1837" s="61"/>
    </row>
    <row r="1838" spans="6:7">
      <c r="F1838" s="43"/>
      <c r="G1838" s="61"/>
    </row>
    <row r="1839" spans="6:7">
      <c r="F1839" s="43"/>
      <c r="G1839" s="61"/>
    </row>
    <row r="1840" spans="6:7">
      <c r="F1840" s="43"/>
      <c r="G1840" s="61"/>
    </row>
    <row r="1841" spans="6:7">
      <c r="F1841" s="43"/>
      <c r="G1841" s="61"/>
    </row>
    <row r="1842" spans="6:7">
      <c r="F1842" s="43"/>
      <c r="G1842" s="61"/>
    </row>
    <row r="1843" spans="6:7">
      <c r="F1843" s="43"/>
      <c r="G1843" s="61"/>
    </row>
    <row r="1844" spans="6:7">
      <c r="F1844" s="43"/>
      <c r="G1844" s="61"/>
    </row>
    <row r="1845" spans="6:7">
      <c r="F1845" s="43"/>
      <c r="G1845" s="61"/>
    </row>
    <row r="1846" spans="6:7">
      <c r="F1846" s="43"/>
      <c r="G1846" s="61"/>
    </row>
    <row r="1847" spans="6:7">
      <c r="F1847" s="43"/>
      <c r="G1847" s="61"/>
    </row>
    <row r="1848" spans="6:7">
      <c r="F1848" s="43"/>
      <c r="G1848" s="61"/>
    </row>
    <row r="1849" spans="6:7">
      <c r="F1849" s="43"/>
      <c r="G1849" s="61"/>
    </row>
    <row r="1850" spans="6:7">
      <c r="F1850" s="43"/>
      <c r="G1850" s="61"/>
    </row>
    <row r="1851" spans="6:7">
      <c r="F1851" s="43"/>
      <c r="G1851" s="61"/>
    </row>
    <row r="1852" spans="6:7">
      <c r="F1852" s="43"/>
      <c r="G1852" s="61"/>
    </row>
    <row r="1853" spans="6:7">
      <c r="F1853" s="43"/>
      <c r="G1853" s="61"/>
    </row>
    <row r="1854" spans="6:7">
      <c r="F1854" s="43"/>
      <c r="G1854" s="61"/>
    </row>
    <row r="1855" spans="6:7">
      <c r="F1855" s="43"/>
      <c r="G1855" s="61"/>
    </row>
    <row r="1856" spans="6:7">
      <c r="F1856" s="43"/>
      <c r="G1856" s="61"/>
    </row>
    <row r="1857" spans="6:7">
      <c r="F1857" s="43"/>
      <c r="G1857" s="61"/>
    </row>
    <row r="1858" spans="6:7">
      <c r="F1858" s="43"/>
      <c r="G1858" s="61"/>
    </row>
    <row r="1859" spans="6:7">
      <c r="F1859" s="43"/>
      <c r="G1859" s="61"/>
    </row>
    <row r="1860" spans="6:7">
      <c r="F1860" s="43"/>
      <c r="G1860" s="61"/>
    </row>
    <row r="1861" spans="6:7">
      <c r="F1861" s="43"/>
      <c r="G1861" s="61"/>
    </row>
    <row r="1862" spans="6:7">
      <c r="F1862" s="43"/>
      <c r="G1862" s="61"/>
    </row>
    <row r="1863" spans="6:7">
      <c r="F1863" s="43"/>
      <c r="G1863" s="61"/>
    </row>
    <row r="1864" spans="6:7">
      <c r="F1864" s="43"/>
      <c r="G1864" s="61"/>
    </row>
    <row r="1865" spans="6:7">
      <c r="F1865" s="43"/>
      <c r="G1865" s="61"/>
    </row>
    <row r="1866" spans="6:7">
      <c r="F1866" s="43"/>
      <c r="G1866" s="61"/>
    </row>
    <row r="1867" spans="6:7">
      <c r="F1867" s="43"/>
      <c r="G1867" s="61"/>
    </row>
    <row r="1868" spans="6:7">
      <c r="F1868" s="43"/>
      <c r="G1868" s="61"/>
    </row>
    <row r="1869" spans="6:7">
      <c r="F1869" s="43"/>
      <c r="G1869" s="61"/>
    </row>
    <row r="1870" spans="6:7">
      <c r="F1870" s="43"/>
      <c r="G1870" s="61"/>
    </row>
    <row r="1871" spans="6:7">
      <c r="F1871" s="43"/>
      <c r="G1871" s="61"/>
    </row>
    <row r="1872" spans="6:7">
      <c r="F1872" s="43"/>
      <c r="G1872" s="61"/>
    </row>
    <row r="1873" spans="6:7">
      <c r="F1873" s="43"/>
      <c r="G1873" s="61"/>
    </row>
    <row r="1874" spans="6:7">
      <c r="F1874" s="43"/>
      <c r="G1874" s="61"/>
    </row>
    <row r="1875" spans="6:7">
      <c r="F1875" s="43"/>
      <c r="G1875" s="61"/>
    </row>
    <row r="1876" spans="6:7">
      <c r="F1876" s="43"/>
      <c r="G1876" s="61"/>
    </row>
    <row r="1877" spans="6:7">
      <c r="F1877" s="43"/>
      <c r="G1877" s="61"/>
    </row>
    <row r="1878" spans="6:7">
      <c r="F1878" s="43"/>
      <c r="G1878" s="61"/>
    </row>
    <row r="1879" spans="6:7">
      <c r="F1879" s="43"/>
      <c r="G1879" s="61"/>
    </row>
    <row r="1880" spans="6:7">
      <c r="F1880" s="43"/>
      <c r="G1880" s="61"/>
    </row>
    <row r="1881" spans="6:7">
      <c r="F1881" s="43"/>
      <c r="G1881" s="61"/>
    </row>
    <row r="1882" spans="6:7">
      <c r="F1882" s="43"/>
      <c r="G1882" s="61"/>
    </row>
    <row r="1883" spans="6:7">
      <c r="F1883" s="43"/>
      <c r="G1883" s="61"/>
    </row>
    <row r="1884" spans="6:7">
      <c r="F1884" s="43"/>
      <c r="G1884" s="61"/>
    </row>
    <row r="1885" spans="6:7">
      <c r="F1885" s="43"/>
      <c r="G1885" s="61"/>
    </row>
    <row r="1886" spans="6:7">
      <c r="F1886" s="43"/>
      <c r="G1886" s="61"/>
    </row>
    <row r="1887" spans="6:7">
      <c r="F1887" s="43"/>
      <c r="G1887" s="61"/>
    </row>
    <row r="1888" spans="6:7">
      <c r="F1888" s="43"/>
      <c r="G1888" s="61"/>
    </row>
    <row r="1889" spans="6:7">
      <c r="F1889" s="43"/>
      <c r="G1889" s="61"/>
    </row>
    <row r="1890" spans="6:7">
      <c r="F1890" s="43"/>
      <c r="G1890" s="61"/>
    </row>
    <row r="1891" spans="6:7">
      <c r="F1891" s="43"/>
      <c r="G1891" s="61"/>
    </row>
    <row r="1892" spans="6:7">
      <c r="F1892" s="43"/>
      <c r="G1892" s="61"/>
    </row>
    <row r="1893" spans="6:7">
      <c r="F1893" s="43"/>
      <c r="G1893" s="61"/>
    </row>
    <row r="1894" spans="6:7">
      <c r="F1894" s="43"/>
      <c r="G1894" s="61"/>
    </row>
    <row r="1895" spans="6:7">
      <c r="F1895" s="43"/>
      <c r="G1895" s="61"/>
    </row>
    <row r="1896" spans="6:7">
      <c r="F1896" s="43"/>
      <c r="G1896" s="61"/>
    </row>
    <row r="1897" spans="6:7">
      <c r="F1897" s="43"/>
      <c r="G1897" s="61"/>
    </row>
    <row r="1898" spans="6:7">
      <c r="F1898" s="43"/>
      <c r="G1898" s="61"/>
    </row>
    <row r="1899" spans="6:7">
      <c r="F1899" s="43"/>
      <c r="G1899" s="61"/>
    </row>
    <row r="1900" spans="6:7">
      <c r="F1900" s="43"/>
      <c r="G1900" s="61"/>
    </row>
    <row r="1901" spans="6:7">
      <c r="F1901" s="43"/>
      <c r="G1901" s="61"/>
    </row>
    <row r="1902" spans="6:7">
      <c r="F1902" s="43"/>
      <c r="G1902" s="61"/>
    </row>
    <row r="1903" spans="6:7">
      <c r="F1903" s="43"/>
      <c r="G1903" s="61"/>
    </row>
    <row r="1904" spans="6:7">
      <c r="F1904" s="43"/>
      <c r="G1904" s="61"/>
    </row>
    <row r="1905" spans="6:7">
      <c r="F1905" s="43"/>
      <c r="G1905" s="61"/>
    </row>
    <row r="1906" spans="6:7">
      <c r="F1906" s="43"/>
      <c r="G1906" s="61"/>
    </row>
    <row r="1907" spans="6:7">
      <c r="F1907" s="43"/>
      <c r="G1907" s="61"/>
    </row>
    <row r="1908" spans="6:7">
      <c r="F1908" s="43"/>
      <c r="G1908" s="61"/>
    </row>
    <row r="1909" spans="6:7">
      <c r="F1909" s="43"/>
      <c r="G1909" s="61"/>
    </row>
    <row r="1910" spans="6:7">
      <c r="F1910" s="43"/>
      <c r="G1910" s="61"/>
    </row>
    <row r="1911" spans="6:7">
      <c r="F1911" s="43"/>
      <c r="G1911" s="61"/>
    </row>
    <row r="1912" spans="6:7">
      <c r="F1912" s="43"/>
      <c r="G1912" s="61"/>
    </row>
    <row r="1913" spans="6:7">
      <c r="F1913" s="43"/>
      <c r="G1913" s="61"/>
    </row>
    <row r="1914" spans="6:7">
      <c r="F1914" s="43"/>
      <c r="G1914" s="61"/>
    </row>
    <row r="1915" spans="6:7">
      <c r="F1915" s="43"/>
      <c r="G1915" s="61"/>
    </row>
    <row r="1916" spans="6:7">
      <c r="F1916" s="43"/>
      <c r="G1916" s="61"/>
    </row>
    <row r="1917" spans="6:7">
      <c r="F1917" s="43"/>
      <c r="G1917" s="61"/>
    </row>
    <row r="1918" spans="6:7">
      <c r="F1918" s="43"/>
      <c r="G1918" s="61"/>
    </row>
    <row r="1919" spans="6:7">
      <c r="F1919" s="43"/>
      <c r="G1919" s="61"/>
    </row>
    <row r="1920" spans="6:7">
      <c r="F1920" s="43"/>
      <c r="G1920" s="61"/>
    </row>
    <row r="1921" spans="6:7">
      <c r="F1921" s="43"/>
      <c r="G1921" s="61"/>
    </row>
    <row r="1922" spans="6:7">
      <c r="F1922" s="43"/>
      <c r="G1922" s="61"/>
    </row>
    <row r="1923" spans="6:7">
      <c r="F1923" s="43"/>
      <c r="G1923" s="61"/>
    </row>
    <row r="1924" spans="6:7">
      <c r="F1924" s="43"/>
      <c r="G1924" s="61"/>
    </row>
    <row r="1925" spans="6:7">
      <c r="F1925" s="43"/>
      <c r="G1925" s="61"/>
    </row>
    <row r="1926" spans="6:7">
      <c r="F1926" s="43"/>
      <c r="G1926" s="61"/>
    </row>
    <row r="1927" spans="6:7">
      <c r="F1927" s="43"/>
      <c r="G1927" s="61"/>
    </row>
    <row r="1928" spans="6:7">
      <c r="F1928" s="43"/>
      <c r="G1928" s="61"/>
    </row>
    <row r="1929" spans="6:7">
      <c r="F1929" s="43"/>
      <c r="G1929" s="61"/>
    </row>
    <row r="1930" spans="6:7">
      <c r="F1930" s="43"/>
      <c r="G1930" s="61"/>
    </row>
    <row r="1931" spans="6:7">
      <c r="F1931" s="43"/>
      <c r="G1931" s="61"/>
    </row>
    <row r="1932" spans="6:7">
      <c r="F1932" s="43"/>
      <c r="G1932" s="61"/>
    </row>
    <row r="1933" spans="6:7">
      <c r="F1933" s="43"/>
      <c r="G1933" s="61"/>
    </row>
    <row r="1934" spans="6:7">
      <c r="F1934" s="43"/>
      <c r="G1934" s="61"/>
    </row>
    <row r="1935" spans="6:7">
      <c r="F1935" s="43"/>
      <c r="G1935" s="61"/>
    </row>
    <row r="1936" spans="6:7">
      <c r="F1936" s="43"/>
      <c r="G1936" s="61"/>
    </row>
    <row r="1937" spans="6:7">
      <c r="F1937" s="43"/>
      <c r="G1937" s="61"/>
    </row>
    <row r="1938" spans="6:7">
      <c r="F1938" s="43"/>
      <c r="G1938" s="61"/>
    </row>
    <row r="1939" spans="6:7">
      <c r="F1939" s="43"/>
      <c r="G1939" s="61"/>
    </row>
    <row r="1940" spans="6:7">
      <c r="F1940" s="43"/>
      <c r="G1940" s="61"/>
    </row>
    <row r="1941" spans="6:7">
      <c r="F1941" s="43"/>
      <c r="G1941" s="61"/>
    </row>
    <row r="1942" spans="6:7">
      <c r="F1942" s="43"/>
      <c r="G1942" s="61"/>
    </row>
    <row r="1943" spans="6:7">
      <c r="F1943" s="43"/>
      <c r="G1943" s="61"/>
    </row>
    <row r="1944" spans="6:7">
      <c r="F1944" s="43"/>
      <c r="G1944" s="61"/>
    </row>
    <row r="1945" spans="6:7">
      <c r="F1945" s="43"/>
      <c r="G1945" s="61"/>
    </row>
    <row r="1946" spans="6:7">
      <c r="F1946" s="43"/>
      <c r="G1946" s="61"/>
    </row>
    <row r="1947" spans="6:7">
      <c r="F1947" s="43"/>
      <c r="G1947" s="61"/>
    </row>
    <row r="1948" spans="6:7">
      <c r="F1948" s="43"/>
      <c r="G1948" s="61"/>
    </row>
    <row r="1949" spans="6:7">
      <c r="F1949" s="43"/>
      <c r="G1949" s="61"/>
    </row>
    <row r="1950" spans="6:7">
      <c r="F1950" s="43"/>
      <c r="G1950" s="61"/>
    </row>
    <row r="1951" spans="6:7">
      <c r="F1951" s="43"/>
      <c r="G1951" s="61"/>
    </row>
    <row r="1952" spans="6:7">
      <c r="F1952" s="43"/>
      <c r="G1952" s="61"/>
    </row>
    <row r="1953" spans="6:7">
      <c r="F1953" s="43"/>
      <c r="G1953" s="61"/>
    </row>
    <row r="1954" spans="6:7">
      <c r="F1954" s="43"/>
      <c r="G1954" s="61"/>
    </row>
    <row r="1955" spans="6:7">
      <c r="F1955" s="43"/>
      <c r="G1955" s="61"/>
    </row>
    <row r="1956" spans="6:7">
      <c r="F1956" s="43"/>
      <c r="G1956" s="61"/>
    </row>
    <row r="1957" spans="6:7">
      <c r="F1957" s="43"/>
      <c r="G1957" s="61"/>
    </row>
    <row r="1958" spans="6:7">
      <c r="F1958" s="43"/>
      <c r="G1958" s="61"/>
    </row>
    <row r="1959" spans="6:7">
      <c r="F1959" s="43"/>
      <c r="G1959" s="61"/>
    </row>
    <row r="1960" spans="6:7">
      <c r="F1960" s="43"/>
      <c r="G1960" s="61"/>
    </row>
    <row r="1961" spans="6:7">
      <c r="F1961" s="43"/>
      <c r="G1961" s="61"/>
    </row>
    <row r="1962" spans="6:7">
      <c r="F1962" s="43"/>
      <c r="G1962" s="61"/>
    </row>
    <row r="1963" spans="6:7">
      <c r="F1963" s="43"/>
      <c r="G1963" s="61"/>
    </row>
    <row r="1964" spans="6:7">
      <c r="F1964" s="43"/>
      <c r="G1964" s="61"/>
    </row>
    <row r="1965" spans="6:7">
      <c r="F1965" s="43"/>
      <c r="G1965" s="61"/>
    </row>
    <row r="1966" spans="6:7">
      <c r="F1966" s="43"/>
      <c r="G1966" s="61"/>
    </row>
    <row r="1967" spans="6:7">
      <c r="F1967" s="43"/>
      <c r="G1967" s="61"/>
    </row>
    <row r="1968" spans="6:7">
      <c r="F1968" s="43"/>
      <c r="G1968" s="61"/>
    </row>
    <row r="1969" spans="6:7">
      <c r="F1969" s="43"/>
      <c r="G1969" s="61"/>
    </row>
    <row r="1970" spans="6:7">
      <c r="F1970" s="43"/>
      <c r="G1970" s="61"/>
    </row>
    <row r="1971" spans="6:7">
      <c r="F1971" s="43"/>
      <c r="G1971" s="61"/>
    </row>
    <row r="1972" spans="6:7">
      <c r="F1972" s="43"/>
      <c r="G1972" s="61"/>
    </row>
    <row r="1973" spans="6:7">
      <c r="F1973" s="43"/>
      <c r="G1973" s="61"/>
    </row>
    <row r="1974" spans="6:7">
      <c r="F1974" s="43"/>
      <c r="G1974" s="61"/>
    </row>
    <row r="1975" spans="6:7">
      <c r="F1975" s="43"/>
      <c r="G1975" s="61"/>
    </row>
    <row r="1976" spans="6:7">
      <c r="F1976" s="43"/>
      <c r="G1976" s="61"/>
    </row>
    <row r="1977" spans="6:7">
      <c r="F1977" s="43"/>
      <c r="G1977" s="61"/>
    </row>
    <row r="1978" spans="6:7">
      <c r="F1978" s="43"/>
      <c r="G1978" s="61"/>
    </row>
    <row r="1979" spans="6:7">
      <c r="F1979" s="43"/>
      <c r="G1979" s="61"/>
    </row>
    <row r="1980" spans="6:7">
      <c r="F1980" s="43"/>
      <c r="G1980" s="61"/>
    </row>
    <row r="1981" spans="6:7">
      <c r="F1981" s="43"/>
      <c r="G1981" s="61"/>
    </row>
    <row r="1982" spans="6:7">
      <c r="F1982" s="43"/>
      <c r="G1982" s="61"/>
    </row>
    <row r="1983" spans="6:7">
      <c r="F1983" s="43"/>
      <c r="G1983" s="61"/>
    </row>
    <row r="1984" spans="6:7">
      <c r="F1984" s="43"/>
      <c r="G1984" s="61"/>
    </row>
    <row r="1985" spans="6:7">
      <c r="F1985" s="43"/>
      <c r="G1985" s="61"/>
    </row>
    <row r="1986" spans="6:7">
      <c r="F1986" s="43"/>
      <c r="G1986" s="61"/>
    </row>
    <row r="1987" spans="6:7">
      <c r="F1987" s="43"/>
      <c r="G1987" s="61"/>
    </row>
    <row r="1988" spans="6:7">
      <c r="F1988" s="43"/>
      <c r="G1988" s="61"/>
    </row>
    <row r="1989" spans="6:7">
      <c r="F1989" s="43"/>
      <c r="G1989" s="61"/>
    </row>
    <row r="1990" spans="6:7">
      <c r="F1990" s="43"/>
      <c r="G1990" s="61"/>
    </row>
    <row r="1991" spans="6:7">
      <c r="F1991" s="43"/>
      <c r="G1991" s="61"/>
    </row>
    <row r="1992" spans="6:7">
      <c r="F1992" s="43"/>
      <c r="G1992" s="61"/>
    </row>
    <row r="1993" spans="6:7">
      <c r="F1993" s="43"/>
      <c r="G1993" s="61"/>
    </row>
    <row r="1994" spans="6:7">
      <c r="F1994" s="43"/>
      <c r="G1994" s="61"/>
    </row>
    <row r="1995" spans="6:7">
      <c r="F1995" s="43"/>
      <c r="G1995" s="61"/>
    </row>
    <row r="1996" spans="6:7">
      <c r="F1996" s="43"/>
      <c r="G1996" s="61"/>
    </row>
    <row r="1997" spans="6:7">
      <c r="F1997" s="43"/>
      <c r="G1997" s="61"/>
    </row>
    <row r="1998" spans="6:7">
      <c r="F1998" s="43"/>
      <c r="G1998" s="61"/>
    </row>
    <row r="1999" spans="6:7">
      <c r="F1999" s="43"/>
      <c r="G1999" s="61"/>
    </row>
    <row r="2000" spans="6:7">
      <c r="F2000" s="43"/>
      <c r="G2000" s="61"/>
    </row>
    <row r="2001" spans="6:7">
      <c r="F2001" s="43"/>
      <c r="G2001" s="61"/>
    </row>
    <row r="2002" spans="6:7">
      <c r="F2002" s="43"/>
      <c r="G2002" s="61"/>
    </row>
    <row r="2003" spans="6:7">
      <c r="F2003" s="43"/>
      <c r="G2003" s="61"/>
    </row>
    <row r="2004" spans="6:7">
      <c r="F2004" s="43"/>
      <c r="G2004" s="61"/>
    </row>
    <row r="2005" spans="6:7">
      <c r="F2005" s="43"/>
      <c r="G2005" s="61"/>
    </row>
    <row r="2006" spans="6:7">
      <c r="F2006" s="43"/>
      <c r="G2006" s="61"/>
    </row>
    <row r="2007" spans="6:7">
      <c r="F2007" s="43"/>
      <c r="G2007" s="61"/>
    </row>
    <row r="2008" spans="6:7">
      <c r="F2008" s="43"/>
      <c r="G2008" s="61"/>
    </row>
    <row r="2009" spans="6:7">
      <c r="F2009" s="43"/>
      <c r="G2009" s="61"/>
    </row>
    <row r="2010" spans="6:7">
      <c r="F2010" s="43"/>
      <c r="G2010" s="61"/>
    </row>
    <row r="2011" spans="6:7">
      <c r="F2011" s="43"/>
      <c r="G2011" s="61"/>
    </row>
    <row r="2012" spans="6:7">
      <c r="F2012" s="43"/>
      <c r="G2012" s="61"/>
    </row>
    <row r="2013" spans="6:7">
      <c r="F2013" s="43"/>
      <c r="G2013" s="61"/>
    </row>
    <row r="2014" spans="6:7">
      <c r="F2014" s="43"/>
      <c r="G2014" s="61"/>
    </row>
    <row r="2015" spans="6:7">
      <c r="F2015" s="43"/>
      <c r="G2015" s="61"/>
    </row>
    <row r="2016" spans="6:7">
      <c r="F2016" s="43"/>
      <c r="G2016" s="61"/>
    </row>
    <row r="2017" spans="6:7">
      <c r="F2017" s="43"/>
      <c r="G2017" s="61"/>
    </row>
    <row r="2018" spans="6:7">
      <c r="F2018" s="43"/>
      <c r="G2018" s="61"/>
    </row>
    <row r="2019" spans="6:7">
      <c r="F2019" s="43"/>
      <c r="G2019" s="61"/>
    </row>
    <row r="2020" spans="6:7">
      <c r="F2020" s="43"/>
      <c r="G2020" s="61"/>
    </row>
    <row r="2021" spans="6:7">
      <c r="F2021" s="43"/>
      <c r="G2021" s="61"/>
    </row>
    <row r="2022" spans="6:7">
      <c r="F2022" s="43"/>
      <c r="G2022" s="61"/>
    </row>
    <row r="2023" spans="6:7">
      <c r="F2023" s="43"/>
      <c r="G2023" s="61"/>
    </row>
    <row r="2024" spans="6:7">
      <c r="F2024" s="43"/>
      <c r="G2024" s="61"/>
    </row>
    <row r="2025" spans="6:7">
      <c r="F2025" s="43"/>
      <c r="G2025" s="61"/>
    </row>
    <row r="2026" spans="6:7">
      <c r="F2026" s="43"/>
      <c r="G2026" s="61"/>
    </row>
    <row r="2027" spans="6:7">
      <c r="F2027" s="43"/>
      <c r="G2027" s="61"/>
    </row>
    <row r="2028" spans="6:7">
      <c r="F2028" s="43"/>
      <c r="G2028" s="61"/>
    </row>
    <row r="2029" spans="6:7">
      <c r="F2029" s="43"/>
      <c r="G2029" s="61"/>
    </row>
    <row r="2030" spans="6:7">
      <c r="F2030" s="43"/>
      <c r="G2030" s="61"/>
    </row>
    <row r="2031" spans="6:7">
      <c r="F2031" s="43"/>
      <c r="G2031" s="61"/>
    </row>
    <row r="2032" spans="6:7">
      <c r="F2032" s="43"/>
      <c r="G2032" s="61"/>
    </row>
    <row r="2033" spans="6:7">
      <c r="F2033" s="43"/>
      <c r="G2033" s="61"/>
    </row>
    <row r="2034" spans="6:7">
      <c r="F2034" s="43"/>
      <c r="G2034" s="61"/>
    </row>
    <row r="2035" spans="6:7">
      <c r="F2035" s="43"/>
      <c r="G2035" s="61"/>
    </row>
    <row r="2036" spans="6:7">
      <c r="F2036" s="43"/>
      <c r="G2036" s="61"/>
    </row>
    <row r="2037" spans="6:7">
      <c r="F2037" s="43"/>
      <c r="G2037" s="61"/>
    </row>
    <row r="2038" spans="6:7">
      <c r="F2038" s="43"/>
      <c r="G2038" s="61"/>
    </row>
    <row r="2039" spans="6:7">
      <c r="F2039" s="43"/>
      <c r="G2039" s="61"/>
    </row>
    <row r="2040" spans="6:7">
      <c r="F2040" s="43"/>
      <c r="G2040" s="61"/>
    </row>
    <row r="2041" spans="6:7">
      <c r="F2041" s="43"/>
      <c r="G2041" s="61"/>
    </row>
    <row r="2042" spans="6:7">
      <c r="F2042" s="43"/>
      <c r="G2042" s="61"/>
    </row>
    <row r="2043" spans="6:7">
      <c r="F2043" s="43"/>
      <c r="G2043" s="61"/>
    </row>
    <row r="2044" spans="6:7">
      <c r="F2044" s="43"/>
      <c r="G2044" s="61"/>
    </row>
    <row r="2045" spans="6:7">
      <c r="F2045" s="43"/>
      <c r="G2045" s="61"/>
    </row>
    <row r="2046" spans="6:7">
      <c r="F2046" s="43"/>
      <c r="G2046" s="61"/>
    </row>
    <row r="2047" spans="6:7">
      <c r="F2047" s="43"/>
      <c r="G2047" s="61"/>
    </row>
    <row r="2048" spans="6:7">
      <c r="F2048" s="43"/>
      <c r="G2048" s="61"/>
    </row>
    <row r="2049" spans="6:7">
      <c r="F2049" s="43"/>
      <c r="G2049" s="61"/>
    </row>
    <row r="2050" spans="6:7">
      <c r="F2050" s="43"/>
      <c r="G2050" s="61"/>
    </row>
    <row r="2051" spans="6:7">
      <c r="F2051" s="43"/>
      <c r="G2051" s="61"/>
    </row>
    <row r="2052" spans="6:7">
      <c r="F2052" s="43"/>
      <c r="G2052" s="61"/>
    </row>
    <row r="2053" spans="6:7">
      <c r="F2053" s="43"/>
      <c r="G2053" s="61"/>
    </row>
    <row r="2054" spans="6:7">
      <c r="F2054" s="43"/>
      <c r="G2054" s="61"/>
    </row>
    <row r="2055" spans="6:7">
      <c r="F2055" s="43"/>
      <c r="G2055" s="61"/>
    </row>
    <row r="2056" spans="6:7">
      <c r="F2056" s="43"/>
      <c r="G2056" s="61"/>
    </row>
    <row r="2057" spans="6:7">
      <c r="F2057" s="43"/>
      <c r="G2057" s="61"/>
    </row>
    <row r="2058" spans="6:7">
      <c r="F2058" s="43"/>
      <c r="G2058" s="61"/>
    </row>
    <row r="2059" spans="6:7">
      <c r="F2059" s="43"/>
      <c r="G2059" s="61"/>
    </row>
    <row r="2060" spans="6:7">
      <c r="F2060" s="43"/>
      <c r="G2060" s="61"/>
    </row>
    <row r="2061" spans="6:7">
      <c r="F2061" s="43"/>
      <c r="G2061" s="61"/>
    </row>
    <row r="2062" spans="6:7">
      <c r="F2062" s="43"/>
      <c r="G2062" s="61"/>
    </row>
    <row r="2063" spans="6:7">
      <c r="F2063" s="43"/>
      <c r="G2063" s="61"/>
    </row>
    <row r="2064" spans="6:7">
      <c r="F2064" s="43"/>
      <c r="G2064" s="61"/>
    </row>
    <row r="2065" spans="6:7">
      <c r="F2065" s="43"/>
      <c r="G2065" s="61"/>
    </row>
    <row r="2066" spans="6:7">
      <c r="F2066" s="43"/>
      <c r="G2066" s="61"/>
    </row>
    <row r="2067" spans="6:7">
      <c r="F2067" s="43"/>
      <c r="G2067" s="61"/>
    </row>
    <row r="2068" spans="6:7">
      <c r="F2068" s="43"/>
      <c r="G2068" s="61"/>
    </row>
    <row r="2069" spans="6:7">
      <c r="F2069" s="43"/>
      <c r="G2069" s="61"/>
    </row>
    <row r="2070" spans="6:7">
      <c r="F2070" s="43"/>
      <c r="G2070" s="61"/>
    </row>
    <row r="2071" spans="6:7">
      <c r="F2071" s="43"/>
      <c r="G2071" s="61"/>
    </row>
    <row r="2072" spans="6:7">
      <c r="F2072" s="43"/>
      <c r="G2072" s="61"/>
    </row>
    <row r="2073" spans="6:7">
      <c r="F2073" s="43"/>
      <c r="G2073" s="61"/>
    </row>
    <row r="2074" spans="6:7">
      <c r="F2074" s="43"/>
      <c r="G2074" s="61"/>
    </row>
    <row r="2075" spans="6:7">
      <c r="F2075" s="43"/>
      <c r="G2075" s="61"/>
    </row>
    <row r="2076" spans="6:7">
      <c r="F2076" s="43"/>
      <c r="G2076" s="61"/>
    </row>
    <row r="2077" spans="6:7">
      <c r="F2077" s="43"/>
      <c r="G2077" s="61"/>
    </row>
    <row r="2078" spans="6:7">
      <c r="F2078" s="43"/>
      <c r="G2078" s="61"/>
    </row>
    <row r="2079" spans="6:7">
      <c r="F2079" s="43"/>
      <c r="G2079" s="61"/>
    </row>
    <row r="2080" spans="6:7">
      <c r="F2080" s="43"/>
      <c r="G2080" s="61"/>
    </row>
    <row r="2081" spans="6:7">
      <c r="F2081" s="43"/>
      <c r="G2081" s="61"/>
    </row>
    <row r="2082" spans="6:7">
      <c r="F2082" s="43"/>
      <c r="G2082" s="61"/>
    </row>
    <row r="2083" spans="6:7">
      <c r="F2083" s="43"/>
      <c r="G2083" s="61"/>
    </row>
    <row r="2084" spans="6:7">
      <c r="F2084" s="43"/>
      <c r="G2084" s="61"/>
    </row>
    <row r="2085" spans="6:7">
      <c r="F2085" s="43"/>
      <c r="G2085" s="61"/>
    </row>
    <row r="2086" spans="6:7">
      <c r="F2086" s="43"/>
      <c r="G2086" s="61"/>
    </row>
    <row r="2087" spans="6:7">
      <c r="F2087" s="43"/>
      <c r="G2087" s="61"/>
    </row>
    <row r="2088" spans="6:7">
      <c r="F2088" s="43"/>
      <c r="G2088" s="61"/>
    </row>
    <row r="2089" spans="6:7">
      <c r="F2089" s="43"/>
      <c r="G2089" s="61"/>
    </row>
    <row r="2090" spans="6:7">
      <c r="F2090" s="43"/>
      <c r="G2090" s="61"/>
    </row>
    <row r="2091" spans="6:7">
      <c r="F2091" s="43"/>
      <c r="G2091" s="61"/>
    </row>
    <row r="2092" spans="6:7">
      <c r="F2092" s="43"/>
      <c r="G2092" s="61"/>
    </row>
    <row r="2093" spans="6:7">
      <c r="F2093" s="43"/>
      <c r="G2093" s="61"/>
    </row>
    <row r="2094" spans="6:7">
      <c r="F2094" s="43"/>
      <c r="G2094" s="61"/>
    </row>
    <row r="2095" spans="6:7">
      <c r="F2095" s="43"/>
      <c r="G2095" s="61"/>
    </row>
    <row r="2096" spans="6:7">
      <c r="F2096" s="43"/>
      <c r="G2096" s="61"/>
    </row>
    <row r="2097" spans="6:7">
      <c r="F2097" s="43"/>
      <c r="G2097" s="61"/>
    </row>
    <row r="2098" spans="6:7">
      <c r="F2098" s="43"/>
      <c r="G2098" s="61"/>
    </row>
    <row r="2099" spans="6:7">
      <c r="F2099" s="43"/>
      <c r="G2099" s="61"/>
    </row>
    <row r="2100" spans="6:7">
      <c r="F2100" s="43"/>
      <c r="G2100" s="61"/>
    </row>
    <row r="2101" spans="6:7">
      <c r="F2101" s="43"/>
      <c r="G2101" s="61"/>
    </row>
    <row r="2102" spans="6:7">
      <c r="F2102" s="43"/>
      <c r="G2102" s="61"/>
    </row>
    <row r="2103" spans="6:7">
      <c r="F2103" s="43"/>
      <c r="G2103" s="61"/>
    </row>
    <row r="2104" spans="6:7">
      <c r="F2104" s="43"/>
      <c r="G2104" s="61"/>
    </row>
    <row r="2105" spans="6:7">
      <c r="F2105" s="43"/>
      <c r="G2105" s="61"/>
    </row>
    <row r="2106" spans="6:7">
      <c r="F2106" s="43"/>
      <c r="G2106" s="61"/>
    </row>
    <row r="2107" spans="6:7">
      <c r="F2107" s="43"/>
      <c r="G2107" s="61"/>
    </row>
    <row r="2108" spans="6:7">
      <c r="F2108" s="43"/>
      <c r="G2108" s="61"/>
    </row>
    <row r="2109" spans="6:7">
      <c r="F2109" s="43"/>
      <c r="G2109" s="61"/>
    </row>
    <row r="2110" spans="6:7">
      <c r="F2110" s="43"/>
      <c r="G2110" s="61"/>
    </row>
    <row r="2111" spans="6:7">
      <c r="F2111" s="43"/>
      <c r="G2111" s="61"/>
    </row>
    <row r="2112" spans="6:7">
      <c r="F2112" s="43"/>
      <c r="G2112" s="61"/>
    </row>
    <row r="2113" spans="6:7">
      <c r="F2113" s="43"/>
      <c r="G2113" s="61"/>
    </row>
    <row r="2114" spans="6:7">
      <c r="F2114" s="43"/>
      <c r="G2114" s="61"/>
    </row>
    <row r="2115" spans="6:7">
      <c r="F2115" s="43"/>
      <c r="G2115" s="61"/>
    </row>
    <row r="2116" spans="6:7">
      <c r="F2116" s="43"/>
      <c r="G2116" s="61"/>
    </row>
    <row r="2117" spans="6:7">
      <c r="F2117" s="43"/>
      <c r="G2117" s="61"/>
    </row>
    <row r="2118" spans="6:7">
      <c r="F2118" s="43"/>
      <c r="G2118" s="61"/>
    </row>
    <row r="2119" spans="6:7">
      <c r="F2119" s="43"/>
      <c r="G2119" s="61"/>
    </row>
    <row r="2120" spans="6:7">
      <c r="F2120" s="43"/>
      <c r="G2120" s="61"/>
    </row>
    <row r="2121" spans="6:7">
      <c r="F2121" s="43"/>
      <c r="G2121" s="61"/>
    </row>
    <row r="2122" spans="6:7">
      <c r="F2122" s="43"/>
      <c r="G2122" s="61"/>
    </row>
    <row r="2123" spans="6:7">
      <c r="F2123" s="43"/>
      <c r="G2123" s="61"/>
    </row>
    <row r="2124" spans="6:7">
      <c r="F2124" s="43"/>
      <c r="G2124" s="61"/>
    </row>
    <row r="2125" spans="6:7">
      <c r="F2125" s="43"/>
      <c r="G2125" s="61"/>
    </row>
    <row r="2126" spans="6:7">
      <c r="F2126" s="43"/>
      <c r="G2126" s="61"/>
    </row>
    <row r="2127" spans="6:7">
      <c r="F2127" s="43"/>
      <c r="G2127" s="61"/>
    </row>
    <row r="2128" spans="6:7">
      <c r="F2128" s="43"/>
      <c r="G2128" s="61"/>
    </row>
    <row r="2129" spans="6:7">
      <c r="F2129" s="43"/>
      <c r="G2129" s="61"/>
    </row>
    <row r="2130" spans="6:7">
      <c r="F2130" s="43"/>
      <c r="G2130" s="61"/>
    </row>
    <row r="2131" spans="6:7">
      <c r="F2131" s="43"/>
      <c r="G2131" s="61"/>
    </row>
    <row r="2132" spans="6:7">
      <c r="F2132" s="43"/>
      <c r="G2132" s="61"/>
    </row>
    <row r="2133" spans="6:7">
      <c r="F2133" s="43"/>
      <c r="G2133" s="61"/>
    </row>
    <row r="2134" spans="6:7">
      <c r="F2134" s="43"/>
      <c r="G2134" s="61"/>
    </row>
    <row r="2135" spans="6:7">
      <c r="F2135" s="43"/>
      <c r="G2135" s="61"/>
    </row>
    <row r="2136" spans="6:7">
      <c r="F2136" s="43"/>
      <c r="G2136" s="61"/>
    </row>
    <row r="2137" spans="6:7">
      <c r="F2137" s="43"/>
      <c r="G2137" s="61"/>
    </row>
    <row r="2138" spans="6:7">
      <c r="F2138" s="43"/>
      <c r="G2138" s="61"/>
    </row>
    <row r="2139" spans="6:7">
      <c r="F2139" s="43"/>
      <c r="G2139" s="61"/>
    </row>
    <row r="2140" spans="6:7">
      <c r="F2140" s="43"/>
      <c r="G2140" s="61"/>
    </row>
    <row r="2141" spans="6:7">
      <c r="F2141" s="43"/>
      <c r="G2141" s="61"/>
    </row>
    <row r="2142" spans="6:7">
      <c r="F2142" s="43"/>
      <c r="G2142" s="61"/>
    </row>
    <row r="2143" spans="6:7">
      <c r="F2143" s="43"/>
      <c r="G2143" s="61"/>
    </row>
    <row r="2144" spans="6:7">
      <c r="F2144" s="43"/>
      <c r="G2144" s="61"/>
    </row>
    <row r="2145" spans="6:7">
      <c r="F2145" s="43"/>
      <c r="G2145" s="61"/>
    </row>
    <row r="2146" spans="6:7">
      <c r="F2146" s="43"/>
      <c r="G2146" s="61"/>
    </row>
    <row r="2147" spans="6:7">
      <c r="F2147" s="43"/>
      <c r="G2147" s="61"/>
    </row>
    <row r="2148" spans="6:7">
      <c r="F2148" s="43"/>
      <c r="G2148" s="61"/>
    </row>
    <row r="2149" spans="6:7">
      <c r="F2149" s="43"/>
      <c r="G2149" s="61"/>
    </row>
    <row r="2150" spans="6:7">
      <c r="F2150" s="43"/>
      <c r="G2150" s="61"/>
    </row>
    <row r="2151" spans="6:7">
      <c r="F2151" s="43"/>
      <c r="G2151" s="61"/>
    </row>
    <row r="2152" spans="6:7">
      <c r="F2152" s="43"/>
      <c r="G2152" s="61"/>
    </row>
    <row r="2153" spans="6:7">
      <c r="F2153" s="43"/>
      <c r="G2153" s="61"/>
    </row>
    <row r="2154" spans="6:7">
      <c r="F2154" s="43"/>
      <c r="G2154" s="61"/>
    </row>
    <row r="2155" spans="6:7">
      <c r="F2155" s="43"/>
      <c r="G2155" s="61"/>
    </row>
    <row r="2156" spans="6:7">
      <c r="F2156" s="43"/>
      <c r="G2156" s="61"/>
    </row>
    <row r="2157" spans="6:7">
      <c r="F2157" s="43"/>
      <c r="G2157" s="61"/>
    </row>
    <row r="2158" spans="6:7">
      <c r="F2158" s="43"/>
      <c r="G2158" s="61"/>
    </row>
    <row r="2159" spans="6:7">
      <c r="F2159" s="43"/>
      <c r="G2159" s="61"/>
    </row>
    <row r="2160" spans="6:7">
      <c r="F2160" s="43"/>
      <c r="G2160" s="61"/>
    </row>
    <row r="2161" spans="6:7">
      <c r="F2161" s="43"/>
      <c r="G2161" s="61"/>
    </row>
    <row r="2162" spans="6:7">
      <c r="F2162" s="43"/>
      <c r="G2162" s="61"/>
    </row>
    <row r="2163" spans="6:7">
      <c r="F2163" s="43"/>
      <c r="G2163" s="61"/>
    </row>
    <row r="2164" spans="6:7">
      <c r="F2164" s="43"/>
      <c r="G2164" s="61"/>
    </row>
    <row r="2165" spans="6:7">
      <c r="F2165" s="43"/>
      <c r="G2165" s="61"/>
    </row>
    <row r="2166" spans="6:7">
      <c r="F2166" s="43"/>
      <c r="G2166" s="61"/>
    </row>
    <row r="2167" spans="6:7">
      <c r="F2167" s="43"/>
      <c r="G2167" s="61"/>
    </row>
    <row r="2168" spans="6:7">
      <c r="F2168" s="43"/>
      <c r="G2168" s="61"/>
    </row>
    <row r="2169" spans="6:7">
      <c r="F2169" s="43"/>
      <c r="G2169" s="61"/>
    </row>
    <row r="2170" spans="6:7">
      <c r="F2170" s="43"/>
      <c r="G2170" s="61"/>
    </row>
    <row r="2171" spans="6:7">
      <c r="F2171" s="43"/>
      <c r="G2171" s="61"/>
    </row>
    <row r="2172" spans="6:7">
      <c r="F2172" s="43"/>
      <c r="G2172" s="61"/>
    </row>
    <row r="2173" spans="6:7">
      <c r="F2173" s="43"/>
      <c r="G2173" s="61"/>
    </row>
    <row r="2174" spans="6:7">
      <c r="F2174" s="43"/>
      <c r="G2174" s="61"/>
    </row>
    <row r="2175" spans="6:7">
      <c r="F2175" s="43"/>
      <c r="G2175" s="61"/>
    </row>
    <row r="2176" spans="6:7">
      <c r="F2176" s="43"/>
      <c r="G2176" s="61"/>
    </row>
    <row r="2177" spans="6:7">
      <c r="F2177" s="43"/>
      <c r="G2177" s="61"/>
    </row>
    <row r="2178" spans="6:7">
      <c r="F2178" s="43"/>
      <c r="G2178" s="61"/>
    </row>
    <row r="2179" spans="6:7">
      <c r="F2179" s="43"/>
      <c r="G2179" s="61"/>
    </row>
    <row r="2180" spans="6:7">
      <c r="F2180" s="43"/>
      <c r="G2180" s="61"/>
    </row>
    <row r="2181" spans="6:7">
      <c r="F2181" s="43"/>
      <c r="G2181" s="61"/>
    </row>
    <row r="2182" spans="6:7">
      <c r="F2182" s="43"/>
      <c r="G2182" s="61"/>
    </row>
    <row r="2183" spans="6:7">
      <c r="F2183" s="43"/>
      <c r="G2183" s="61"/>
    </row>
    <row r="2184" spans="6:7">
      <c r="F2184" s="43"/>
      <c r="G2184" s="61"/>
    </row>
    <row r="2185" spans="6:7">
      <c r="F2185" s="43"/>
      <c r="G2185" s="61"/>
    </row>
    <row r="2186" spans="6:7">
      <c r="F2186" s="43"/>
      <c r="G2186" s="61"/>
    </row>
    <row r="2187" spans="6:7">
      <c r="F2187" s="43"/>
      <c r="G2187" s="61"/>
    </row>
    <row r="2188" spans="6:7">
      <c r="F2188" s="43"/>
      <c r="G2188" s="61"/>
    </row>
    <row r="2189" spans="6:7">
      <c r="F2189" s="43"/>
      <c r="G2189" s="61"/>
    </row>
    <row r="2190" spans="6:7">
      <c r="F2190" s="43"/>
      <c r="G2190" s="61"/>
    </row>
    <row r="2191" spans="6:7">
      <c r="F2191" s="43"/>
      <c r="G2191" s="61"/>
    </row>
    <row r="2192" spans="6:7">
      <c r="F2192" s="43"/>
      <c r="G2192" s="61"/>
    </row>
    <row r="2193" spans="6:7">
      <c r="F2193" s="43"/>
      <c r="G2193" s="61"/>
    </row>
    <row r="2194" spans="6:7">
      <c r="F2194" s="43"/>
      <c r="G2194" s="61"/>
    </row>
    <row r="2195" spans="6:7">
      <c r="F2195" s="43"/>
      <c r="G2195" s="61"/>
    </row>
    <row r="2196" spans="6:7">
      <c r="F2196" s="43"/>
      <c r="G2196" s="61"/>
    </row>
    <row r="2197" spans="6:7">
      <c r="F2197" s="43"/>
      <c r="G2197" s="61"/>
    </row>
    <row r="2198" spans="6:7">
      <c r="F2198" s="43"/>
      <c r="G2198" s="61"/>
    </row>
    <row r="2199" spans="6:7">
      <c r="F2199" s="43"/>
      <c r="G2199" s="61"/>
    </row>
    <row r="2200" spans="6:7">
      <c r="F2200" s="43"/>
      <c r="G2200" s="61"/>
    </row>
    <row r="2201" spans="6:7">
      <c r="F2201" s="43"/>
      <c r="G2201" s="61"/>
    </row>
    <row r="2202" spans="6:7">
      <c r="F2202" s="43"/>
      <c r="G2202" s="61"/>
    </row>
    <row r="2203" spans="6:7">
      <c r="F2203" s="43"/>
      <c r="G2203" s="61"/>
    </row>
    <row r="2204" spans="6:7">
      <c r="F2204" s="43"/>
      <c r="G2204" s="61"/>
    </row>
    <row r="2205" spans="6:7">
      <c r="F2205" s="43"/>
      <c r="G2205" s="61"/>
    </row>
    <row r="2206" spans="6:7">
      <c r="F2206" s="43"/>
      <c r="G2206" s="61"/>
    </row>
    <row r="2207" spans="6:7">
      <c r="F2207" s="43"/>
      <c r="G2207" s="61"/>
    </row>
    <row r="2208" spans="6:7">
      <c r="F2208" s="43"/>
      <c r="G2208" s="61"/>
    </row>
    <row r="2209" spans="6:7">
      <c r="F2209" s="43"/>
      <c r="G2209" s="61"/>
    </row>
    <row r="2210" spans="6:7">
      <c r="F2210" s="43"/>
      <c r="G2210" s="61"/>
    </row>
    <row r="2211" spans="6:7">
      <c r="F2211" s="43"/>
      <c r="G2211" s="61"/>
    </row>
    <row r="2212" spans="6:7">
      <c r="F2212" s="43"/>
      <c r="G2212" s="61"/>
    </row>
    <row r="2213" spans="6:7">
      <c r="F2213" s="43"/>
      <c r="G2213" s="61"/>
    </row>
    <row r="2214" spans="6:7">
      <c r="F2214" s="43"/>
      <c r="G2214" s="61"/>
    </row>
    <row r="2215" spans="6:7">
      <c r="F2215" s="43"/>
      <c r="G2215" s="61"/>
    </row>
    <row r="2216" spans="6:7">
      <c r="F2216" s="43"/>
      <c r="G2216" s="61"/>
    </row>
    <row r="2217" spans="6:7">
      <c r="F2217" s="43"/>
      <c r="G2217" s="61"/>
    </row>
    <row r="2218" spans="6:7">
      <c r="F2218" s="43"/>
      <c r="G2218" s="61"/>
    </row>
    <row r="2219" spans="6:7">
      <c r="F2219" s="43"/>
      <c r="G2219" s="61"/>
    </row>
    <row r="2220" spans="6:7">
      <c r="F2220" s="43"/>
      <c r="G2220" s="61"/>
    </row>
    <row r="2221" spans="6:7">
      <c r="F2221" s="43"/>
      <c r="G2221" s="61"/>
    </row>
    <row r="2222" spans="6:7">
      <c r="F2222" s="43"/>
      <c r="G2222" s="61"/>
    </row>
    <row r="2223" spans="6:7">
      <c r="F2223" s="43"/>
      <c r="G2223" s="61"/>
    </row>
    <row r="2224" spans="6:7">
      <c r="F2224" s="43"/>
      <c r="G2224" s="61"/>
    </row>
    <row r="2225" spans="6:7">
      <c r="F2225" s="43"/>
      <c r="G2225" s="61"/>
    </row>
    <row r="2226" spans="6:7">
      <c r="F2226" s="43"/>
      <c r="G2226" s="61"/>
    </row>
    <row r="2227" spans="6:7">
      <c r="F2227" s="43"/>
      <c r="G2227" s="61"/>
    </row>
    <row r="2228" spans="6:7">
      <c r="F2228" s="43"/>
      <c r="G2228" s="61"/>
    </row>
    <row r="2229" spans="6:7">
      <c r="F2229" s="43"/>
      <c r="G2229" s="61"/>
    </row>
    <row r="2230" spans="6:7">
      <c r="F2230" s="43"/>
      <c r="G2230" s="61"/>
    </row>
    <row r="2231" spans="6:7">
      <c r="F2231" s="43"/>
      <c r="G2231" s="61"/>
    </row>
    <row r="2232" spans="6:7">
      <c r="F2232" s="43"/>
      <c r="G2232" s="61"/>
    </row>
    <row r="2233" spans="6:7">
      <c r="F2233" s="43"/>
      <c r="G2233" s="61"/>
    </row>
    <row r="2234" spans="6:7">
      <c r="F2234" s="43"/>
      <c r="G2234" s="61"/>
    </row>
    <row r="2235" spans="6:7">
      <c r="F2235" s="43"/>
      <c r="G2235" s="61"/>
    </row>
    <row r="2236" spans="6:7">
      <c r="F2236" s="43"/>
      <c r="G2236" s="61"/>
    </row>
    <row r="2237" spans="6:7">
      <c r="F2237" s="43"/>
      <c r="G2237" s="61"/>
    </row>
    <row r="2238" spans="6:7">
      <c r="F2238" s="43"/>
      <c r="G2238" s="61"/>
    </row>
    <row r="2239" spans="6:7">
      <c r="F2239" s="43"/>
      <c r="G2239" s="61"/>
    </row>
    <row r="2240" spans="6:7">
      <c r="F2240" s="43"/>
      <c r="G2240" s="61"/>
    </row>
    <row r="2241" spans="6:7">
      <c r="F2241" s="43"/>
      <c r="G2241" s="61"/>
    </row>
    <row r="2242" spans="6:7">
      <c r="F2242" s="43"/>
      <c r="G2242" s="61"/>
    </row>
    <row r="2243" spans="6:7">
      <c r="F2243" s="43"/>
      <c r="G2243" s="61"/>
    </row>
    <row r="2244" spans="6:7">
      <c r="F2244" s="43"/>
      <c r="G2244" s="61"/>
    </row>
    <row r="2245" spans="6:7">
      <c r="F2245" s="43"/>
      <c r="G2245" s="61"/>
    </row>
    <row r="2246" spans="6:7">
      <c r="F2246" s="43"/>
      <c r="G2246" s="61"/>
    </row>
    <row r="2247" spans="6:7">
      <c r="F2247" s="43"/>
      <c r="G2247" s="61"/>
    </row>
    <row r="2248" spans="6:7">
      <c r="F2248" s="43"/>
      <c r="G2248" s="61"/>
    </row>
    <row r="2249" spans="6:7">
      <c r="F2249" s="43"/>
      <c r="G2249" s="61"/>
    </row>
    <row r="2250" spans="6:7">
      <c r="F2250" s="43"/>
      <c r="G2250" s="61"/>
    </row>
    <row r="2251" spans="6:7">
      <c r="F2251" s="43"/>
      <c r="G2251" s="61"/>
    </row>
    <row r="2252" spans="6:7">
      <c r="F2252" s="43"/>
      <c r="G2252" s="61"/>
    </row>
    <row r="2253" spans="6:7">
      <c r="F2253" s="43"/>
      <c r="G2253" s="61"/>
    </row>
    <row r="2254" spans="6:7">
      <c r="F2254" s="43"/>
      <c r="G2254" s="61"/>
    </row>
    <row r="2255" spans="6:7">
      <c r="F2255" s="43"/>
      <c r="G2255" s="61"/>
    </row>
    <row r="2256" spans="6:7">
      <c r="F2256" s="43"/>
      <c r="G2256" s="61"/>
    </row>
    <row r="2257" spans="6:7">
      <c r="F2257" s="43"/>
      <c r="G2257" s="61"/>
    </row>
    <row r="2258" spans="6:7">
      <c r="F2258" s="43"/>
      <c r="G2258" s="61"/>
    </row>
    <row r="2259" spans="6:7">
      <c r="F2259" s="43"/>
      <c r="G2259" s="61"/>
    </row>
    <row r="2260" spans="6:7">
      <c r="F2260" s="43"/>
      <c r="G2260" s="61"/>
    </row>
    <row r="2261" spans="6:7">
      <c r="F2261" s="43"/>
      <c r="G2261" s="61"/>
    </row>
    <row r="2262" spans="6:7">
      <c r="F2262" s="43"/>
      <c r="G2262" s="61"/>
    </row>
    <row r="2263" spans="6:7">
      <c r="F2263" s="43"/>
      <c r="G2263" s="61"/>
    </row>
    <row r="2264" spans="6:7">
      <c r="F2264" s="43"/>
      <c r="G2264" s="61"/>
    </row>
    <row r="2265" spans="6:7">
      <c r="F2265" s="43"/>
      <c r="G2265" s="61"/>
    </row>
    <row r="2266" spans="6:7">
      <c r="F2266" s="43"/>
      <c r="G2266" s="61"/>
    </row>
    <row r="2267" spans="6:7">
      <c r="F2267" s="43"/>
      <c r="G2267" s="61"/>
    </row>
    <row r="2268" spans="6:7">
      <c r="F2268" s="43"/>
      <c r="G2268" s="61"/>
    </row>
    <row r="2269" spans="6:7">
      <c r="F2269" s="43"/>
      <c r="G2269" s="61"/>
    </row>
    <row r="2270" spans="6:7">
      <c r="F2270" s="43"/>
      <c r="G2270" s="61"/>
    </row>
    <row r="2271" spans="6:7">
      <c r="F2271" s="43"/>
      <c r="G2271" s="61"/>
    </row>
    <row r="2272" spans="6:7">
      <c r="F2272" s="43"/>
      <c r="G2272" s="61"/>
    </row>
    <row r="2273" spans="6:7">
      <c r="F2273" s="43"/>
      <c r="G2273" s="61"/>
    </row>
    <row r="2274" spans="6:7">
      <c r="F2274" s="43"/>
      <c r="G2274" s="61"/>
    </row>
    <row r="2275" spans="6:7">
      <c r="F2275" s="43"/>
      <c r="G2275" s="61"/>
    </row>
    <row r="2276" spans="6:7">
      <c r="F2276" s="43"/>
      <c r="G2276" s="61"/>
    </row>
    <row r="2277" spans="6:7">
      <c r="F2277" s="43"/>
      <c r="G2277" s="61"/>
    </row>
    <row r="2278" spans="6:7">
      <c r="F2278" s="43"/>
      <c r="G2278" s="61"/>
    </row>
    <row r="2279" spans="6:7">
      <c r="F2279" s="43"/>
      <c r="G2279" s="61"/>
    </row>
    <row r="2280" spans="6:7">
      <c r="F2280" s="43"/>
      <c r="G2280" s="61"/>
    </row>
    <row r="2281" spans="6:7">
      <c r="F2281" s="43"/>
      <c r="G2281" s="61"/>
    </row>
    <row r="2282" spans="6:7">
      <c r="F2282" s="43"/>
      <c r="G2282" s="61"/>
    </row>
    <row r="2283" spans="6:7">
      <c r="F2283" s="43"/>
      <c r="G2283" s="61"/>
    </row>
    <row r="2284" spans="6:7">
      <c r="F2284" s="43"/>
      <c r="G2284" s="61"/>
    </row>
    <row r="2285" spans="6:7">
      <c r="F2285" s="43"/>
      <c r="G2285" s="61"/>
    </row>
    <row r="2286" spans="6:7">
      <c r="F2286" s="43"/>
      <c r="G2286" s="61"/>
    </row>
    <row r="2287" spans="6:7">
      <c r="F2287" s="43"/>
      <c r="G2287" s="61"/>
    </row>
    <row r="2288" spans="6:7">
      <c r="F2288" s="43"/>
      <c r="G2288" s="61"/>
    </row>
    <row r="2289" spans="6:7">
      <c r="F2289" s="43"/>
      <c r="G2289" s="61"/>
    </row>
    <row r="2290" spans="6:7">
      <c r="F2290" s="43"/>
      <c r="G2290" s="61"/>
    </row>
    <row r="2291" spans="6:7">
      <c r="F2291" s="43"/>
      <c r="G2291" s="61"/>
    </row>
    <row r="2292" spans="6:7">
      <c r="F2292" s="43"/>
      <c r="G2292" s="61"/>
    </row>
    <row r="2293" spans="6:7">
      <c r="F2293" s="43"/>
      <c r="G2293" s="61"/>
    </row>
    <row r="2294" spans="6:7">
      <c r="F2294" s="43"/>
      <c r="G2294" s="61"/>
    </row>
    <row r="2295" spans="6:7">
      <c r="F2295" s="43"/>
      <c r="G2295" s="61"/>
    </row>
    <row r="2296" spans="6:7">
      <c r="F2296" s="43"/>
      <c r="G2296" s="61"/>
    </row>
    <row r="2297" spans="6:7">
      <c r="F2297" s="43"/>
      <c r="G2297" s="61"/>
    </row>
    <row r="2298" spans="6:7">
      <c r="F2298" s="43"/>
      <c r="G2298" s="61"/>
    </row>
    <row r="2299" spans="6:7">
      <c r="F2299" s="43"/>
      <c r="G2299" s="61"/>
    </row>
    <row r="2300" spans="6:7">
      <c r="F2300" s="43"/>
      <c r="G2300" s="61"/>
    </row>
    <row r="2301" spans="6:7">
      <c r="F2301" s="43"/>
      <c r="G2301" s="61"/>
    </row>
    <row r="2302" spans="6:7">
      <c r="F2302" s="43"/>
      <c r="G2302" s="61"/>
    </row>
    <row r="2303" spans="6:7">
      <c r="F2303" s="43"/>
      <c r="G2303" s="61"/>
    </row>
    <row r="2304" spans="6:7">
      <c r="F2304" s="43"/>
      <c r="G2304" s="61"/>
    </row>
    <row r="2305" spans="6:7">
      <c r="F2305" s="43"/>
      <c r="G2305" s="61"/>
    </row>
    <row r="2306" spans="6:7">
      <c r="F2306" s="43"/>
      <c r="G2306" s="61"/>
    </row>
    <row r="2307" spans="6:7">
      <c r="F2307" s="43"/>
      <c r="G2307" s="61"/>
    </row>
    <row r="2308" spans="6:7">
      <c r="F2308" s="43"/>
      <c r="G2308" s="61"/>
    </row>
    <row r="2309" spans="6:7">
      <c r="F2309" s="43"/>
      <c r="G2309" s="61"/>
    </row>
    <row r="2310" spans="6:7">
      <c r="F2310" s="43"/>
      <c r="G2310" s="61"/>
    </row>
    <row r="2311" spans="6:7">
      <c r="F2311" s="43"/>
      <c r="G2311" s="61"/>
    </row>
    <row r="2312" spans="6:7">
      <c r="F2312" s="43"/>
      <c r="G2312" s="61"/>
    </row>
    <row r="2313" spans="6:7">
      <c r="F2313" s="43"/>
      <c r="G2313" s="61"/>
    </row>
    <row r="2314" spans="6:7">
      <c r="F2314" s="43"/>
      <c r="G2314" s="61"/>
    </row>
    <row r="2315" spans="6:7">
      <c r="F2315" s="43"/>
      <c r="G2315" s="61"/>
    </row>
    <row r="2316" spans="6:7">
      <c r="F2316" s="43"/>
      <c r="G2316" s="61"/>
    </row>
    <row r="2317" spans="6:7">
      <c r="F2317" s="43"/>
      <c r="G2317" s="61"/>
    </row>
    <row r="2318" spans="6:7">
      <c r="F2318" s="43"/>
      <c r="G2318" s="61"/>
    </row>
    <row r="2319" spans="6:7">
      <c r="F2319" s="43"/>
      <c r="G2319" s="61"/>
    </row>
    <row r="2320" spans="6:7">
      <c r="F2320" s="43"/>
      <c r="G2320" s="61"/>
    </row>
    <row r="2321" spans="6:7">
      <c r="F2321" s="43"/>
      <c r="G2321" s="61"/>
    </row>
    <row r="2322" spans="6:7">
      <c r="F2322" s="43"/>
      <c r="G2322" s="61"/>
    </row>
    <row r="2323" spans="6:7">
      <c r="F2323" s="43"/>
      <c r="G2323" s="61"/>
    </row>
    <row r="2324" spans="6:7">
      <c r="F2324" s="43"/>
      <c r="G2324" s="61"/>
    </row>
    <row r="2325" spans="6:7">
      <c r="F2325" s="43"/>
      <c r="G2325" s="61"/>
    </row>
    <row r="2326" spans="6:7">
      <c r="F2326" s="43"/>
      <c r="G2326" s="61"/>
    </row>
    <row r="2327" spans="6:7">
      <c r="F2327" s="43"/>
      <c r="G2327" s="61"/>
    </row>
    <row r="2328" spans="6:7">
      <c r="F2328" s="43"/>
      <c r="G2328" s="61"/>
    </row>
    <row r="2329" spans="6:7">
      <c r="F2329" s="43"/>
      <c r="G2329" s="61"/>
    </row>
    <row r="2330" spans="6:7">
      <c r="F2330" s="43"/>
      <c r="G2330" s="61"/>
    </row>
    <row r="2331" spans="6:7">
      <c r="F2331" s="43"/>
      <c r="G2331" s="61"/>
    </row>
    <row r="2332" spans="6:7">
      <c r="F2332" s="43"/>
      <c r="G2332" s="61"/>
    </row>
    <row r="2333" spans="6:7">
      <c r="F2333" s="43"/>
      <c r="G2333" s="61"/>
    </row>
    <row r="2334" spans="6:7">
      <c r="F2334" s="43"/>
      <c r="G2334" s="61"/>
    </row>
    <row r="2335" spans="6:7">
      <c r="F2335" s="43"/>
      <c r="G2335" s="61"/>
    </row>
    <row r="2336" spans="6:7">
      <c r="F2336" s="43"/>
      <c r="G2336" s="61"/>
    </row>
    <row r="2337" spans="6:7">
      <c r="F2337" s="43"/>
      <c r="G2337" s="61"/>
    </row>
    <row r="2338" spans="6:7">
      <c r="F2338" s="43"/>
      <c r="G2338" s="61"/>
    </row>
    <row r="2339" spans="6:7">
      <c r="F2339" s="43"/>
      <c r="G2339" s="61"/>
    </row>
    <row r="2340" spans="6:7">
      <c r="F2340" s="43"/>
      <c r="G2340" s="61"/>
    </row>
    <row r="2341" spans="6:7">
      <c r="F2341" s="43"/>
      <c r="G2341" s="61"/>
    </row>
    <row r="2342" spans="6:7">
      <c r="F2342" s="43"/>
      <c r="G2342" s="61"/>
    </row>
    <row r="2343" spans="6:7">
      <c r="F2343" s="43"/>
      <c r="G2343" s="61"/>
    </row>
    <row r="2344" spans="6:7">
      <c r="F2344" s="43"/>
      <c r="G2344" s="61"/>
    </row>
    <row r="2345" spans="6:7">
      <c r="F2345" s="43"/>
      <c r="G2345" s="61"/>
    </row>
    <row r="2346" spans="6:7">
      <c r="F2346" s="43"/>
      <c r="G2346" s="61"/>
    </row>
    <row r="2347" spans="6:7">
      <c r="F2347" s="43"/>
      <c r="G2347" s="61"/>
    </row>
    <row r="2348" spans="6:7">
      <c r="F2348" s="43"/>
      <c r="G2348" s="61"/>
    </row>
    <row r="2349" spans="6:7">
      <c r="F2349" s="43"/>
      <c r="G2349" s="61"/>
    </row>
    <row r="2350" spans="6:7">
      <c r="F2350" s="43"/>
      <c r="G2350" s="61"/>
    </row>
    <row r="2351" spans="6:7">
      <c r="F2351" s="43"/>
      <c r="G2351" s="61"/>
    </row>
    <row r="2352" spans="6:7">
      <c r="F2352" s="43"/>
      <c r="G2352" s="61"/>
    </row>
    <row r="2353" spans="6:7">
      <c r="F2353" s="43"/>
      <c r="G2353" s="61"/>
    </row>
    <row r="2354" spans="6:7">
      <c r="F2354" s="43"/>
      <c r="G2354" s="61"/>
    </row>
    <row r="2355" spans="6:7">
      <c r="F2355" s="43"/>
      <c r="G2355" s="61"/>
    </row>
    <row r="2356" spans="6:7">
      <c r="F2356" s="43"/>
      <c r="G2356" s="61"/>
    </row>
    <row r="2357" spans="6:7">
      <c r="F2357" s="43"/>
      <c r="G2357" s="61"/>
    </row>
    <row r="2358" spans="6:7">
      <c r="F2358" s="43"/>
      <c r="G2358" s="61"/>
    </row>
    <row r="2359" spans="6:7">
      <c r="F2359" s="43"/>
      <c r="G2359" s="61"/>
    </row>
    <row r="2360" spans="6:7">
      <c r="F2360" s="43"/>
      <c r="G2360" s="61"/>
    </row>
    <row r="2361" spans="6:7">
      <c r="F2361" s="43"/>
      <c r="G2361" s="61"/>
    </row>
    <row r="2362" spans="6:7">
      <c r="F2362" s="43"/>
      <c r="G2362" s="61"/>
    </row>
    <row r="2363" spans="6:7">
      <c r="F2363" s="43"/>
      <c r="G2363" s="61"/>
    </row>
    <row r="2364" spans="6:7">
      <c r="F2364" s="43"/>
      <c r="G2364" s="61"/>
    </row>
    <row r="2365" spans="6:7">
      <c r="F2365" s="43"/>
      <c r="G2365" s="61"/>
    </row>
    <row r="2366" spans="6:7">
      <c r="F2366" s="43"/>
      <c r="G2366" s="61"/>
    </row>
    <row r="2367" spans="6:7">
      <c r="F2367" s="43"/>
      <c r="G2367" s="61"/>
    </row>
    <row r="2368" spans="6:7">
      <c r="F2368" s="43"/>
      <c r="G2368" s="61"/>
    </row>
    <row r="2369" spans="6:7">
      <c r="F2369" s="43"/>
      <c r="G2369" s="61"/>
    </row>
    <row r="2370" spans="6:7">
      <c r="F2370" s="43"/>
      <c r="G2370" s="61"/>
    </row>
    <row r="2371" spans="6:7">
      <c r="F2371" s="43"/>
      <c r="G2371" s="61"/>
    </row>
    <row r="2372" spans="6:7">
      <c r="F2372" s="43"/>
      <c r="G2372" s="61"/>
    </row>
    <row r="2373" spans="6:7">
      <c r="F2373" s="43"/>
      <c r="G2373" s="61"/>
    </row>
    <row r="2374" spans="6:7">
      <c r="F2374" s="43"/>
      <c r="G2374" s="61"/>
    </row>
    <row r="2375" spans="6:7">
      <c r="F2375" s="43"/>
      <c r="G2375" s="61"/>
    </row>
    <row r="2376" spans="6:7">
      <c r="F2376" s="43"/>
      <c r="G2376" s="61"/>
    </row>
    <row r="2377" spans="6:7">
      <c r="F2377" s="43"/>
      <c r="G2377" s="61"/>
    </row>
    <row r="2378" spans="6:7">
      <c r="F2378" s="43"/>
      <c r="G2378" s="61"/>
    </row>
    <row r="2379" spans="6:7">
      <c r="F2379" s="43"/>
      <c r="G2379" s="61"/>
    </row>
    <row r="2380" spans="6:7">
      <c r="F2380" s="43"/>
      <c r="G2380" s="61"/>
    </row>
    <row r="2381" spans="6:7">
      <c r="F2381" s="43"/>
      <c r="G2381" s="61"/>
    </row>
    <row r="2382" spans="6:7">
      <c r="F2382" s="43"/>
      <c r="G2382" s="61"/>
    </row>
    <row r="2383" spans="6:7">
      <c r="F2383" s="43"/>
      <c r="G2383" s="61"/>
    </row>
    <row r="2384" spans="6:7">
      <c r="F2384" s="43"/>
      <c r="G2384" s="61"/>
    </row>
    <row r="2385" spans="6:7">
      <c r="F2385" s="43"/>
      <c r="G2385" s="61"/>
    </row>
    <row r="2386" spans="6:7">
      <c r="F2386" s="43"/>
      <c r="G2386" s="61"/>
    </row>
    <row r="2387" spans="6:7">
      <c r="F2387" s="43"/>
      <c r="G2387" s="61"/>
    </row>
    <row r="2388" spans="6:7">
      <c r="F2388" s="43"/>
      <c r="G2388" s="61"/>
    </row>
    <row r="2389" spans="6:7">
      <c r="F2389" s="43"/>
      <c r="G2389" s="61"/>
    </row>
    <row r="2390" spans="6:7">
      <c r="F2390" s="43"/>
      <c r="G2390" s="61"/>
    </row>
    <row r="2391" spans="6:7">
      <c r="F2391" s="43"/>
      <c r="G2391" s="61"/>
    </row>
    <row r="2392" spans="6:7">
      <c r="F2392" s="43"/>
      <c r="G2392" s="61"/>
    </row>
    <row r="2393" spans="6:7">
      <c r="F2393" s="43"/>
      <c r="G2393" s="61"/>
    </row>
    <row r="2394" spans="6:7">
      <c r="F2394" s="43"/>
      <c r="G2394" s="61"/>
    </row>
    <row r="2395" spans="6:7">
      <c r="F2395" s="43"/>
      <c r="G2395" s="61"/>
    </row>
    <row r="2396" spans="6:7">
      <c r="F2396" s="43"/>
      <c r="G2396" s="61"/>
    </row>
    <row r="2397" spans="6:7">
      <c r="F2397" s="43"/>
      <c r="G2397" s="61"/>
    </row>
    <row r="2398" spans="6:7">
      <c r="F2398" s="43"/>
      <c r="G2398" s="61"/>
    </row>
    <row r="2399" spans="6:7">
      <c r="F2399" s="43"/>
      <c r="G2399" s="61"/>
    </row>
    <row r="2400" spans="6:7">
      <c r="F2400" s="43"/>
      <c r="G2400" s="61"/>
    </row>
    <row r="2401" spans="6:7">
      <c r="F2401" s="43"/>
      <c r="G2401" s="61"/>
    </row>
    <row r="2402" spans="6:7">
      <c r="F2402" s="43"/>
      <c r="G2402" s="61"/>
    </row>
    <row r="2403" spans="6:7">
      <c r="F2403" s="43"/>
      <c r="G2403" s="61"/>
    </row>
    <row r="2404" spans="6:7">
      <c r="F2404" s="43"/>
      <c r="G2404" s="61"/>
    </row>
    <row r="2405" spans="6:7">
      <c r="F2405" s="43"/>
      <c r="G2405" s="61"/>
    </row>
    <row r="2406" spans="6:7">
      <c r="F2406" s="43"/>
      <c r="G2406" s="61"/>
    </row>
    <row r="2407" spans="6:7">
      <c r="F2407" s="43"/>
      <c r="G2407" s="61"/>
    </row>
    <row r="2408" spans="6:7">
      <c r="F2408" s="43"/>
      <c r="G2408" s="61"/>
    </row>
    <row r="2409" spans="6:7">
      <c r="F2409" s="43"/>
      <c r="G2409" s="61"/>
    </row>
    <row r="2410" spans="6:7">
      <c r="F2410" s="43"/>
      <c r="G2410" s="61"/>
    </row>
    <row r="2411" spans="6:7">
      <c r="F2411" s="43"/>
      <c r="G2411" s="61"/>
    </row>
    <row r="2412" spans="6:7">
      <c r="F2412" s="43"/>
      <c r="G2412" s="61"/>
    </row>
    <row r="2413" spans="6:7">
      <c r="F2413" s="43"/>
      <c r="G2413" s="61"/>
    </row>
    <row r="2414" spans="6:7">
      <c r="F2414" s="43"/>
      <c r="G2414" s="61"/>
    </row>
    <row r="2415" spans="6:7">
      <c r="F2415" s="43"/>
      <c r="G2415" s="61"/>
    </row>
    <row r="2416" spans="6:7">
      <c r="F2416" s="43"/>
      <c r="G2416" s="61"/>
    </row>
    <row r="2417" spans="6:7">
      <c r="F2417" s="43"/>
      <c r="G2417" s="61"/>
    </row>
    <row r="2418" spans="6:7">
      <c r="F2418" s="43"/>
      <c r="G2418" s="61"/>
    </row>
    <row r="2419" spans="6:7">
      <c r="F2419" s="43"/>
      <c r="G2419" s="61"/>
    </row>
    <row r="2420" spans="6:7">
      <c r="F2420" s="43"/>
      <c r="G2420" s="61"/>
    </row>
    <row r="2421" spans="6:7">
      <c r="F2421" s="43"/>
      <c r="G2421" s="61"/>
    </row>
    <row r="2422" spans="6:7">
      <c r="F2422" s="43"/>
      <c r="G2422" s="61"/>
    </row>
    <row r="2423" spans="6:7">
      <c r="F2423" s="43"/>
      <c r="G2423" s="61"/>
    </row>
    <row r="2424" spans="6:7">
      <c r="F2424" s="43"/>
      <c r="G2424" s="61"/>
    </row>
    <row r="2425" spans="6:7">
      <c r="F2425" s="43"/>
      <c r="G2425" s="61"/>
    </row>
    <row r="2426" spans="6:7">
      <c r="F2426" s="43"/>
      <c r="G2426" s="61"/>
    </row>
    <row r="2427" spans="6:7">
      <c r="F2427" s="43"/>
      <c r="G2427" s="61"/>
    </row>
    <row r="2428" spans="6:7">
      <c r="F2428" s="43"/>
      <c r="G2428" s="61"/>
    </row>
    <row r="2429" spans="6:7">
      <c r="F2429" s="43"/>
      <c r="G2429" s="61"/>
    </row>
    <row r="2430" spans="6:7">
      <c r="F2430" s="43"/>
      <c r="G2430" s="61"/>
    </row>
    <row r="2431" spans="6:7">
      <c r="F2431" s="43"/>
      <c r="G2431" s="61"/>
    </row>
    <row r="2432" spans="6:7">
      <c r="F2432" s="43"/>
      <c r="G2432" s="61"/>
    </row>
    <row r="2433" spans="6:7">
      <c r="F2433" s="43"/>
      <c r="G2433" s="61"/>
    </row>
    <row r="2434" spans="6:7">
      <c r="F2434" s="43"/>
      <c r="G2434" s="61"/>
    </row>
    <row r="2435" spans="6:7">
      <c r="F2435" s="43"/>
      <c r="G2435" s="61"/>
    </row>
    <row r="2436" spans="6:7">
      <c r="F2436" s="43"/>
      <c r="G2436" s="61"/>
    </row>
    <row r="2437" spans="6:7">
      <c r="F2437" s="43"/>
      <c r="G2437" s="61"/>
    </row>
    <row r="2438" spans="6:7">
      <c r="F2438" s="43"/>
      <c r="G2438" s="61"/>
    </row>
    <row r="2439" spans="6:7">
      <c r="F2439" s="43"/>
      <c r="G2439" s="61"/>
    </row>
    <row r="2440" spans="6:7">
      <c r="F2440" s="43"/>
      <c r="G2440" s="61"/>
    </row>
    <row r="2441" spans="6:7">
      <c r="F2441" s="43"/>
      <c r="G2441" s="61"/>
    </row>
    <row r="2442" spans="6:7">
      <c r="F2442" s="43"/>
      <c r="G2442" s="61"/>
    </row>
    <row r="2443" spans="6:7">
      <c r="F2443" s="43"/>
      <c r="G2443" s="61"/>
    </row>
    <row r="2444" spans="6:7">
      <c r="F2444" s="43"/>
      <c r="G2444" s="61"/>
    </row>
    <row r="2445" spans="6:7">
      <c r="F2445" s="43"/>
      <c r="G2445" s="61"/>
    </row>
    <row r="2446" spans="6:7">
      <c r="F2446" s="43"/>
      <c r="G2446" s="61"/>
    </row>
    <row r="2447" spans="6:7">
      <c r="F2447" s="43"/>
      <c r="G2447" s="61"/>
    </row>
    <row r="2448" spans="6:7">
      <c r="F2448" s="43"/>
      <c r="G2448" s="61"/>
    </row>
    <row r="2449" spans="6:7">
      <c r="F2449" s="43"/>
      <c r="G2449" s="61"/>
    </row>
    <row r="2450" spans="6:7">
      <c r="F2450" s="43"/>
      <c r="G2450" s="61"/>
    </row>
    <row r="2451" spans="6:7">
      <c r="F2451" s="43"/>
      <c r="G2451" s="61"/>
    </row>
    <row r="2452" spans="6:7">
      <c r="F2452" s="43"/>
      <c r="G2452" s="61"/>
    </row>
    <row r="2453" spans="6:7">
      <c r="F2453" s="43"/>
      <c r="G2453" s="61"/>
    </row>
    <row r="2454" spans="6:7">
      <c r="F2454" s="43"/>
      <c r="G2454" s="61"/>
    </row>
    <row r="2455" spans="6:7">
      <c r="F2455" s="43"/>
      <c r="G2455" s="61"/>
    </row>
    <row r="2456" spans="6:7">
      <c r="F2456" s="43"/>
      <c r="G2456" s="61"/>
    </row>
    <row r="2457" spans="6:7">
      <c r="F2457" s="43"/>
      <c r="G2457" s="61"/>
    </row>
    <row r="2458" spans="6:7">
      <c r="F2458" s="43"/>
      <c r="G2458" s="61"/>
    </row>
    <row r="2459" spans="6:7">
      <c r="F2459" s="43"/>
      <c r="G2459" s="61"/>
    </row>
    <row r="2460" spans="6:7">
      <c r="F2460" s="43"/>
      <c r="G2460" s="61"/>
    </row>
    <row r="2461" spans="6:7">
      <c r="F2461" s="43"/>
      <c r="G2461" s="61"/>
    </row>
    <row r="2462" spans="6:7">
      <c r="F2462" s="43"/>
      <c r="G2462" s="61"/>
    </row>
    <row r="2463" spans="6:7">
      <c r="F2463" s="43"/>
      <c r="G2463" s="61"/>
    </row>
    <row r="2464" spans="6:7">
      <c r="F2464" s="43"/>
      <c r="G2464" s="61"/>
    </row>
    <row r="2465" spans="6:7">
      <c r="F2465" s="43"/>
      <c r="G2465" s="61"/>
    </row>
    <row r="2466" spans="6:7">
      <c r="F2466" s="43"/>
      <c r="G2466" s="61"/>
    </row>
    <row r="2467" spans="6:7">
      <c r="F2467" s="43"/>
      <c r="G2467" s="61"/>
    </row>
    <row r="2468" spans="6:7">
      <c r="F2468" s="43"/>
      <c r="G2468" s="61"/>
    </row>
    <row r="2469" spans="6:7">
      <c r="F2469" s="43"/>
      <c r="G2469" s="61"/>
    </row>
    <row r="2470" spans="6:7">
      <c r="F2470" s="43"/>
      <c r="G2470" s="61"/>
    </row>
    <row r="2471" spans="6:7">
      <c r="F2471" s="43"/>
      <c r="G2471" s="61"/>
    </row>
    <row r="2472" spans="6:7">
      <c r="F2472" s="43"/>
      <c r="G2472" s="61"/>
    </row>
    <row r="2473" spans="6:7">
      <c r="F2473" s="43"/>
      <c r="G2473" s="61"/>
    </row>
    <row r="2474" spans="6:7">
      <c r="F2474" s="43"/>
      <c r="G2474" s="61"/>
    </row>
    <row r="2475" spans="6:7">
      <c r="F2475" s="43"/>
      <c r="G2475" s="61"/>
    </row>
    <row r="2476" spans="6:7">
      <c r="F2476" s="43"/>
      <c r="G2476" s="61"/>
    </row>
    <row r="2477" spans="6:7">
      <c r="F2477" s="43"/>
      <c r="G2477" s="61"/>
    </row>
    <row r="2478" spans="6:7">
      <c r="F2478" s="43"/>
      <c r="G2478" s="61"/>
    </row>
    <row r="2479" spans="6:7">
      <c r="F2479" s="43"/>
      <c r="G2479" s="61"/>
    </row>
    <row r="2480" spans="6:7">
      <c r="F2480" s="43"/>
      <c r="G2480" s="61"/>
    </row>
    <row r="2481" spans="6:7">
      <c r="F2481" s="43"/>
      <c r="G2481" s="61"/>
    </row>
    <row r="2482" spans="6:7">
      <c r="F2482" s="43"/>
      <c r="G2482" s="61"/>
    </row>
    <row r="2483" spans="6:7">
      <c r="F2483" s="43"/>
      <c r="G2483" s="61"/>
    </row>
    <row r="2484" spans="6:7">
      <c r="F2484" s="43"/>
      <c r="G2484" s="61"/>
    </row>
    <row r="2485" spans="6:7">
      <c r="F2485" s="43"/>
      <c r="G2485" s="61"/>
    </row>
    <row r="2486" spans="6:7">
      <c r="F2486" s="43"/>
      <c r="G2486" s="61"/>
    </row>
    <row r="2487" spans="6:7">
      <c r="F2487" s="43"/>
      <c r="G2487" s="61"/>
    </row>
    <row r="2488" spans="6:7">
      <c r="F2488" s="43"/>
      <c r="G2488" s="61"/>
    </row>
    <row r="2489" spans="6:7">
      <c r="F2489" s="43"/>
      <c r="G2489" s="61"/>
    </row>
    <row r="2490" spans="6:7">
      <c r="F2490" s="43"/>
      <c r="G2490" s="61"/>
    </row>
    <row r="2491" spans="6:7">
      <c r="F2491" s="43"/>
      <c r="G2491" s="61"/>
    </row>
    <row r="2492" spans="6:7">
      <c r="F2492" s="43"/>
      <c r="G2492" s="61"/>
    </row>
    <row r="2493" spans="6:7">
      <c r="F2493" s="43"/>
      <c r="G2493" s="61"/>
    </row>
    <row r="2494" spans="6:7">
      <c r="F2494" s="43"/>
      <c r="G2494" s="61"/>
    </row>
    <row r="2495" spans="6:7">
      <c r="F2495" s="43"/>
      <c r="G2495" s="61"/>
    </row>
    <row r="2496" spans="6:7">
      <c r="F2496" s="43"/>
      <c r="G2496" s="61"/>
    </row>
    <row r="2497" spans="6:7">
      <c r="F2497" s="43"/>
      <c r="G2497" s="61"/>
    </row>
    <row r="2498" spans="6:7">
      <c r="F2498" s="43"/>
      <c r="G2498" s="61"/>
    </row>
    <row r="2499" spans="6:7">
      <c r="F2499" s="43"/>
      <c r="G2499" s="61"/>
    </row>
    <row r="2500" spans="6:7">
      <c r="F2500" s="43"/>
      <c r="G2500" s="61"/>
    </row>
    <row r="2501" spans="6:7">
      <c r="F2501" s="43"/>
      <c r="G2501" s="61"/>
    </row>
    <row r="2502" spans="6:7">
      <c r="F2502" s="43"/>
      <c r="G2502" s="61"/>
    </row>
    <row r="2503" spans="6:7">
      <c r="F2503" s="43"/>
      <c r="G2503" s="61"/>
    </row>
    <row r="2504" spans="6:7">
      <c r="F2504" s="43"/>
      <c r="G2504" s="61"/>
    </row>
    <row r="2505" spans="6:7">
      <c r="F2505" s="43"/>
      <c r="G2505" s="61"/>
    </row>
    <row r="2506" spans="6:7">
      <c r="F2506" s="43"/>
      <c r="G2506" s="61"/>
    </row>
    <row r="2507" spans="6:7">
      <c r="F2507" s="43"/>
      <c r="G2507" s="61"/>
    </row>
    <row r="2508" spans="6:7">
      <c r="F2508" s="43"/>
      <c r="G2508" s="61"/>
    </row>
    <row r="2509" spans="6:7">
      <c r="F2509" s="43"/>
      <c r="G2509" s="61"/>
    </row>
    <row r="2510" spans="6:7">
      <c r="F2510" s="43"/>
      <c r="G2510" s="61"/>
    </row>
    <row r="2511" spans="6:7">
      <c r="F2511" s="43"/>
      <c r="G2511" s="61"/>
    </row>
    <row r="2512" spans="6:7">
      <c r="F2512" s="43"/>
      <c r="G2512" s="61"/>
    </row>
    <row r="2513" spans="6:7">
      <c r="F2513" s="43"/>
      <c r="G2513" s="61"/>
    </row>
    <row r="2514" spans="6:7">
      <c r="F2514" s="43"/>
      <c r="G2514" s="61"/>
    </row>
    <row r="2515" spans="6:7">
      <c r="F2515" s="43"/>
      <c r="G2515" s="61"/>
    </row>
    <row r="2516" spans="6:7">
      <c r="F2516" s="43"/>
      <c r="G2516" s="61"/>
    </row>
    <row r="2517" spans="6:7">
      <c r="F2517" s="43"/>
      <c r="G2517" s="61"/>
    </row>
    <row r="2518" spans="6:7">
      <c r="F2518" s="43"/>
      <c r="G2518" s="61"/>
    </row>
    <row r="2519" spans="6:7">
      <c r="F2519" s="43"/>
      <c r="G2519" s="61"/>
    </row>
    <row r="2520" spans="6:7">
      <c r="F2520" s="43"/>
      <c r="G2520" s="61"/>
    </row>
    <row r="2521" spans="6:7">
      <c r="F2521" s="43"/>
      <c r="G2521" s="61"/>
    </row>
    <row r="2522" spans="6:7">
      <c r="F2522" s="43"/>
      <c r="G2522" s="61"/>
    </row>
    <row r="2523" spans="6:7">
      <c r="F2523" s="43"/>
      <c r="G2523" s="61"/>
    </row>
    <row r="2524" spans="6:7">
      <c r="F2524" s="43"/>
      <c r="G2524" s="61"/>
    </row>
    <row r="2525" spans="6:7">
      <c r="F2525" s="43"/>
      <c r="G2525" s="61"/>
    </row>
    <row r="2526" spans="6:7">
      <c r="F2526" s="43"/>
      <c r="G2526" s="61"/>
    </row>
    <row r="2527" spans="6:7">
      <c r="F2527" s="43"/>
      <c r="G2527" s="61"/>
    </row>
    <row r="2528" spans="6:7">
      <c r="F2528" s="43"/>
      <c r="G2528" s="61"/>
    </row>
    <row r="2529" spans="6:7">
      <c r="F2529" s="43"/>
      <c r="G2529" s="61"/>
    </row>
    <row r="2530" spans="6:7">
      <c r="F2530" s="43"/>
      <c r="G2530" s="61"/>
    </row>
    <row r="2531" spans="6:7">
      <c r="F2531" s="43"/>
      <c r="G2531" s="61"/>
    </row>
    <row r="2532" spans="6:7">
      <c r="F2532" s="43"/>
      <c r="G2532" s="61"/>
    </row>
    <row r="2533" spans="6:7">
      <c r="F2533" s="43"/>
      <c r="G2533" s="61"/>
    </row>
    <row r="2534" spans="6:7">
      <c r="F2534" s="43"/>
      <c r="G2534" s="61"/>
    </row>
    <row r="2535" spans="6:7">
      <c r="F2535" s="43"/>
      <c r="G2535" s="61"/>
    </row>
    <row r="2536" spans="6:7">
      <c r="F2536" s="43"/>
      <c r="G2536" s="61"/>
    </row>
    <row r="2537" spans="6:7">
      <c r="F2537" s="43"/>
      <c r="G2537" s="61"/>
    </row>
    <row r="2538" spans="6:7">
      <c r="F2538" s="43"/>
      <c r="G2538" s="61"/>
    </row>
    <row r="2539" spans="6:7">
      <c r="F2539" s="43"/>
      <c r="G2539" s="61"/>
    </row>
    <row r="2540" spans="6:7">
      <c r="F2540" s="43"/>
      <c r="G2540" s="61"/>
    </row>
    <row r="2541" spans="6:7">
      <c r="F2541" s="43"/>
      <c r="G2541" s="61"/>
    </row>
    <row r="2542" spans="6:7">
      <c r="F2542" s="43"/>
      <c r="G2542" s="61"/>
    </row>
    <row r="2543" spans="6:7">
      <c r="F2543" s="43"/>
      <c r="G2543" s="61"/>
    </row>
    <row r="2544" spans="6:7">
      <c r="F2544" s="43"/>
      <c r="G2544" s="61"/>
    </row>
    <row r="2545" spans="6:7">
      <c r="F2545" s="43"/>
      <c r="G2545" s="61"/>
    </row>
    <row r="2546" spans="6:7">
      <c r="F2546" s="43"/>
      <c r="G2546" s="61"/>
    </row>
    <row r="2547" spans="6:7">
      <c r="F2547" s="43"/>
      <c r="G2547" s="61"/>
    </row>
    <row r="2548" spans="6:7">
      <c r="F2548" s="43"/>
      <c r="G2548" s="61"/>
    </row>
    <row r="2549" spans="6:7">
      <c r="F2549" s="43"/>
      <c r="G2549" s="61"/>
    </row>
    <row r="2550" spans="6:7">
      <c r="F2550" s="43"/>
      <c r="G2550" s="61"/>
    </row>
    <row r="2551" spans="6:7">
      <c r="F2551" s="43"/>
      <c r="G2551" s="61"/>
    </row>
    <row r="2552" spans="6:7">
      <c r="F2552" s="43"/>
      <c r="G2552" s="61"/>
    </row>
    <row r="2553" spans="6:7">
      <c r="F2553" s="43"/>
      <c r="G2553" s="61"/>
    </row>
    <row r="2554" spans="6:7">
      <c r="F2554" s="43"/>
      <c r="G2554" s="61"/>
    </row>
    <row r="2555" spans="6:7">
      <c r="F2555" s="43"/>
      <c r="G2555" s="61"/>
    </row>
    <row r="2556" spans="6:7">
      <c r="F2556" s="43"/>
      <c r="G2556" s="61"/>
    </row>
    <row r="2557" spans="6:7">
      <c r="F2557" s="43"/>
      <c r="G2557" s="61"/>
    </row>
    <row r="2558" spans="6:7">
      <c r="F2558" s="43"/>
      <c r="G2558" s="61"/>
    </row>
    <row r="2559" spans="6:7">
      <c r="F2559" s="43"/>
      <c r="G2559" s="61"/>
    </row>
    <row r="2560" spans="6:7">
      <c r="F2560" s="43"/>
      <c r="G2560" s="61"/>
    </row>
    <row r="2561" spans="6:7">
      <c r="F2561" s="43"/>
      <c r="G2561" s="61"/>
    </row>
    <row r="2562" spans="6:7">
      <c r="F2562" s="43"/>
      <c r="G2562" s="61"/>
    </row>
    <row r="2563" spans="6:7">
      <c r="F2563" s="43"/>
      <c r="G2563" s="61"/>
    </row>
    <row r="2564" spans="6:7">
      <c r="F2564" s="43"/>
      <c r="G2564" s="61"/>
    </row>
    <row r="2565" spans="6:7">
      <c r="F2565" s="43"/>
      <c r="G2565" s="61"/>
    </row>
    <row r="2566" spans="6:7">
      <c r="F2566" s="43"/>
      <c r="G2566" s="61"/>
    </row>
    <row r="2567" spans="6:7">
      <c r="F2567" s="43"/>
      <c r="G2567" s="61"/>
    </row>
    <row r="2568" spans="6:7">
      <c r="F2568" s="43"/>
      <c r="G2568" s="61"/>
    </row>
    <row r="2569" spans="6:7">
      <c r="F2569" s="43"/>
      <c r="G2569" s="61"/>
    </row>
    <row r="2570" spans="6:7">
      <c r="F2570" s="43"/>
      <c r="G2570" s="61"/>
    </row>
    <row r="2571" spans="6:7">
      <c r="F2571" s="43"/>
      <c r="G2571" s="61"/>
    </row>
    <row r="2572" spans="6:7">
      <c r="F2572" s="43"/>
      <c r="G2572" s="61"/>
    </row>
    <row r="2573" spans="6:7">
      <c r="F2573" s="43"/>
      <c r="G2573" s="61"/>
    </row>
    <row r="2574" spans="6:7">
      <c r="F2574" s="43"/>
      <c r="G2574" s="61"/>
    </row>
    <row r="2575" spans="6:7">
      <c r="F2575" s="43"/>
      <c r="G2575" s="61"/>
    </row>
    <row r="2576" spans="6:7">
      <c r="F2576" s="43"/>
      <c r="G2576" s="61"/>
    </row>
    <row r="2577" spans="6:7">
      <c r="F2577" s="43"/>
      <c r="G2577" s="61"/>
    </row>
    <row r="2578" spans="6:7">
      <c r="F2578" s="43"/>
      <c r="G2578" s="61"/>
    </row>
    <row r="2579" spans="6:7">
      <c r="F2579" s="43"/>
      <c r="G2579" s="61"/>
    </row>
    <row r="2580" spans="6:7">
      <c r="F2580" s="43"/>
      <c r="G2580" s="61"/>
    </row>
    <row r="2581" spans="6:7">
      <c r="F2581" s="43"/>
      <c r="G2581" s="61"/>
    </row>
    <row r="2582" spans="6:7">
      <c r="F2582" s="43"/>
      <c r="G2582" s="61"/>
    </row>
    <row r="2583" spans="6:7">
      <c r="F2583" s="43"/>
      <c r="G2583" s="61"/>
    </row>
    <row r="2584" spans="6:7">
      <c r="F2584" s="43"/>
      <c r="G2584" s="61"/>
    </row>
    <row r="2585" spans="6:7">
      <c r="F2585" s="43"/>
      <c r="G2585" s="61"/>
    </row>
    <row r="2586" spans="6:7">
      <c r="F2586" s="43"/>
      <c r="G2586" s="61"/>
    </row>
    <row r="2587" spans="6:7">
      <c r="F2587" s="43"/>
      <c r="G2587" s="61"/>
    </row>
    <row r="2588" spans="6:7">
      <c r="F2588" s="43"/>
      <c r="G2588" s="61"/>
    </row>
    <row r="2589" spans="6:7">
      <c r="F2589" s="43"/>
      <c r="G2589" s="61"/>
    </row>
    <row r="2590" spans="6:7">
      <c r="F2590" s="43"/>
      <c r="G2590" s="61"/>
    </row>
    <row r="2591" spans="6:7">
      <c r="F2591" s="43"/>
      <c r="G2591" s="61"/>
    </row>
    <row r="2592" spans="6:7">
      <c r="F2592" s="43"/>
      <c r="G2592" s="61"/>
    </row>
    <row r="2593" spans="6:7">
      <c r="F2593" s="43"/>
      <c r="G2593" s="61"/>
    </row>
    <row r="2594" spans="6:7">
      <c r="F2594" s="43"/>
      <c r="G2594" s="61"/>
    </row>
    <row r="2595" spans="6:7">
      <c r="F2595" s="43"/>
      <c r="G2595" s="61"/>
    </row>
    <row r="2596" spans="6:7">
      <c r="F2596" s="43"/>
      <c r="G2596" s="61"/>
    </row>
    <row r="2597" spans="6:7">
      <c r="F2597" s="43"/>
      <c r="G2597" s="61"/>
    </row>
    <row r="2598" spans="6:7">
      <c r="F2598" s="43"/>
      <c r="G2598" s="61"/>
    </row>
    <row r="2599" spans="6:7">
      <c r="F2599" s="43"/>
      <c r="G2599" s="61"/>
    </row>
    <row r="2600" spans="6:7">
      <c r="F2600" s="43"/>
      <c r="G2600" s="61"/>
    </row>
    <row r="2601" spans="6:7">
      <c r="F2601" s="43"/>
      <c r="G2601" s="61"/>
    </row>
    <row r="2602" spans="6:7">
      <c r="F2602" s="43"/>
      <c r="G2602" s="61"/>
    </row>
    <row r="2603" spans="6:7">
      <c r="F2603" s="43"/>
      <c r="G2603" s="61"/>
    </row>
    <row r="2604" spans="6:7">
      <c r="F2604" s="43"/>
      <c r="G2604" s="61"/>
    </row>
    <row r="2605" spans="6:7">
      <c r="F2605" s="43"/>
      <c r="G2605" s="61"/>
    </row>
    <row r="2606" spans="6:7">
      <c r="F2606" s="43"/>
      <c r="G2606" s="61"/>
    </row>
    <row r="2607" spans="6:7">
      <c r="F2607" s="43"/>
      <c r="G2607" s="61"/>
    </row>
    <row r="2608" spans="6:7">
      <c r="F2608" s="43"/>
      <c r="G2608" s="61"/>
    </row>
    <row r="2609" spans="6:7">
      <c r="F2609" s="43"/>
      <c r="G2609" s="61"/>
    </row>
    <row r="2610" spans="6:7">
      <c r="F2610" s="43"/>
      <c r="G2610" s="61"/>
    </row>
    <row r="2611" spans="6:7">
      <c r="F2611" s="43"/>
      <c r="G2611" s="61"/>
    </row>
    <row r="2612" spans="6:7">
      <c r="F2612" s="43"/>
      <c r="G2612" s="61"/>
    </row>
    <row r="2613" spans="6:7">
      <c r="F2613" s="43"/>
      <c r="G2613" s="61"/>
    </row>
    <row r="2614" spans="6:7">
      <c r="F2614" s="43"/>
      <c r="G2614" s="61"/>
    </row>
    <row r="2615" spans="6:7">
      <c r="F2615" s="43"/>
      <c r="G2615" s="61"/>
    </row>
    <row r="2616" spans="6:7">
      <c r="F2616" s="43"/>
      <c r="G2616" s="61"/>
    </row>
    <row r="2617" spans="6:7">
      <c r="F2617" s="43"/>
      <c r="G2617" s="61"/>
    </row>
    <row r="2618" spans="6:7">
      <c r="F2618" s="43"/>
      <c r="G2618" s="61"/>
    </row>
    <row r="2619" spans="6:7">
      <c r="F2619" s="43"/>
      <c r="G2619" s="61"/>
    </row>
    <row r="2620" spans="6:7">
      <c r="F2620" s="43"/>
      <c r="G2620" s="61"/>
    </row>
    <row r="2621" spans="6:7">
      <c r="F2621" s="43"/>
      <c r="G2621" s="61"/>
    </row>
    <row r="2622" spans="6:7">
      <c r="F2622" s="43"/>
      <c r="G2622" s="61"/>
    </row>
    <row r="2623" spans="6:7">
      <c r="F2623" s="43"/>
      <c r="G2623" s="61"/>
    </row>
    <row r="2624" spans="6:7">
      <c r="F2624" s="43"/>
      <c r="G2624" s="61"/>
    </row>
    <row r="2625" spans="6:7">
      <c r="F2625" s="43"/>
      <c r="G2625" s="61"/>
    </row>
    <row r="2626" spans="6:7">
      <c r="F2626" s="43"/>
      <c r="G2626" s="61"/>
    </row>
    <row r="2627" spans="6:7">
      <c r="F2627" s="43"/>
      <c r="G2627" s="61"/>
    </row>
    <row r="2628" spans="6:7">
      <c r="F2628" s="43"/>
      <c r="G2628" s="61"/>
    </row>
    <row r="2629" spans="6:7">
      <c r="F2629" s="43"/>
      <c r="G2629" s="61"/>
    </row>
    <row r="2630" spans="6:7">
      <c r="F2630" s="43"/>
      <c r="G2630" s="61"/>
    </row>
    <row r="2631" spans="6:7">
      <c r="F2631" s="43"/>
      <c r="G2631" s="61"/>
    </row>
    <row r="2632" spans="6:7">
      <c r="F2632" s="43"/>
      <c r="G2632" s="61"/>
    </row>
    <row r="2633" spans="6:7">
      <c r="F2633" s="43"/>
      <c r="G2633" s="61"/>
    </row>
    <row r="2634" spans="6:7">
      <c r="F2634" s="43"/>
      <c r="G2634" s="61"/>
    </row>
    <row r="2635" spans="6:7">
      <c r="F2635" s="43"/>
      <c r="G2635" s="61"/>
    </row>
    <row r="2636" spans="6:7">
      <c r="F2636" s="43"/>
      <c r="G2636" s="61"/>
    </row>
    <row r="2637" spans="6:7">
      <c r="F2637" s="43"/>
      <c r="G2637" s="61"/>
    </row>
    <row r="2638" spans="6:7">
      <c r="F2638" s="43"/>
      <c r="G2638" s="61"/>
    </row>
    <row r="2639" spans="6:7">
      <c r="F2639" s="43"/>
      <c r="G2639" s="61"/>
    </row>
    <row r="2640" spans="6:7">
      <c r="F2640" s="43"/>
      <c r="G2640" s="61"/>
    </row>
    <row r="2641" spans="6:7">
      <c r="F2641" s="43"/>
      <c r="G2641" s="61"/>
    </row>
    <row r="2642" spans="6:7">
      <c r="F2642" s="43"/>
      <c r="G2642" s="61"/>
    </row>
    <row r="2643" spans="6:7">
      <c r="F2643" s="43"/>
      <c r="G2643" s="61"/>
    </row>
    <row r="2644" spans="6:7">
      <c r="F2644" s="43"/>
      <c r="G2644" s="61"/>
    </row>
    <row r="2645" spans="6:7">
      <c r="F2645" s="43"/>
      <c r="G2645" s="61"/>
    </row>
    <row r="2646" spans="6:7">
      <c r="F2646" s="43"/>
      <c r="G2646" s="61"/>
    </row>
    <row r="2647" spans="6:7">
      <c r="F2647" s="43"/>
      <c r="G2647" s="61"/>
    </row>
    <row r="2648" spans="6:7">
      <c r="F2648" s="43"/>
      <c r="G2648" s="61"/>
    </row>
    <row r="2649" spans="6:7">
      <c r="F2649" s="43"/>
      <c r="G2649" s="61"/>
    </row>
    <row r="2650" spans="6:7">
      <c r="F2650" s="43"/>
      <c r="G2650" s="61"/>
    </row>
    <row r="2651" spans="6:7">
      <c r="F2651" s="43"/>
      <c r="G2651" s="61"/>
    </row>
    <row r="2652" spans="6:7">
      <c r="F2652" s="43"/>
      <c r="G2652" s="61"/>
    </row>
    <row r="2653" spans="6:7">
      <c r="F2653" s="43"/>
      <c r="G2653" s="61"/>
    </row>
    <row r="2654" spans="6:7">
      <c r="F2654" s="43"/>
      <c r="G2654" s="61"/>
    </row>
    <row r="2655" spans="6:7">
      <c r="F2655" s="43"/>
      <c r="G2655" s="61"/>
    </row>
    <row r="2656" spans="6:7">
      <c r="F2656" s="43"/>
      <c r="G2656" s="61"/>
    </row>
    <row r="2657" spans="6:7">
      <c r="F2657" s="43"/>
      <c r="G2657" s="61"/>
    </row>
    <row r="2658" spans="6:7">
      <c r="F2658" s="43"/>
      <c r="G2658" s="61"/>
    </row>
    <row r="2659" spans="6:7">
      <c r="F2659" s="43"/>
      <c r="G2659" s="61"/>
    </row>
    <row r="2660" spans="6:7">
      <c r="F2660" s="43"/>
      <c r="G2660" s="61"/>
    </row>
    <row r="2661" spans="6:7">
      <c r="F2661" s="43"/>
      <c r="G2661" s="61"/>
    </row>
    <row r="2662" spans="6:7">
      <c r="F2662" s="43"/>
      <c r="G2662" s="61"/>
    </row>
    <row r="2663" spans="6:7">
      <c r="F2663" s="43"/>
      <c r="G2663" s="61"/>
    </row>
    <row r="2664" spans="6:7">
      <c r="F2664" s="43"/>
      <c r="G2664" s="61"/>
    </row>
    <row r="2665" spans="6:7">
      <c r="F2665" s="43"/>
      <c r="G2665" s="61"/>
    </row>
    <row r="2666" spans="6:7">
      <c r="F2666" s="43"/>
      <c r="G2666" s="61"/>
    </row>
    <row r="2667" spans="6:7">
      <c r="F2667" s="43"/>
      <c r="G2667" s="61"/>
    </row>
    <row r="2668" spans="6:7">
      <c r="F2668" s="43"/>
      <c r="G2668" s="61"/>
    </row>
    <row r="2669" spans="6:7">
      <c r="F2669" s="43"/>
      <c r="G2669" s="61"/>
    </row>
    <row r="2670" spans="6:7">
      <c r="F2670" s="43"/>
      <c r="G2670" s="61"/>
    </row>
    <row r="2671" spans="6:7">
      <c r="F2671" s="43"/>
      <c r="G2671" s="61"/>
    </row>
    <row r="2672" spans="6:7">
      <c r="F2672" s="43"/>
      <c r="G2672" s="61"/>
    </row>
    <row r="2673" spans="6:7">
      <c r="F2673" s="43"/>
      <c r="G2673" s="61"/>
    </row>
    <row r="2674" spans="6:7">
      <c r="F2674" s="43"/>
      <c r="G2674" s="61"/>
    </row>
    <row r="2675" spans="6:7">
      <c r="F2675" s="43"/>
      <c r="G2675" s="61"/>
    </row>
    <row r="2676" spans="6:7">
      <c r="F2676" s="43"/>
      <c r="G2676" s="61"/>
    </row>
    <row r="2677" spans="6:7">
      <c r="F2677" s="43"/>
      <c r="G2677" s="61"/>
    </row>
    <row r="2678" spans="6:7">
      <c r="F2678" s="43"/>
      <c r="G2678" s="61"/>
    </row>
    <row r="2679" spans="6:7">
      <c r="F2679" s="43"/>
      <c r="G2679" s="61"/>
    </row>
    <row r="2680" spans="6:7">
      <c r="F2680" s="43"/>
      <c r="G2680" s="61"/>
    </row>
    <row r="2681" spans="6:7">
      <c r="F2681" s="43"/>
      <c r="G2681" s="61"/>
    </row>
    <row r="2682" spans="6:7">
      <c r="F2682" s="43"/>
      <c r="G2682" s="61"/>
    </row>
    <row r="2683" spans="6:7">
      <c r="F2683" s="43"/>
      <c r="G2683" s="61"/>
    </row>
    <row r="2684" spans="6:7">
      <c r="F2684" s="43"/>
      <c r="G2684" s="61"/>
    </row>
    <row r="2685" spans="6:7">
      <c r="F2685" s="43"/>
      <c r="G2685" s="61"/>
    </row>
    <row r="2686" spans="6:7">
      <c r="F2686" s="43"/>
      <c r="G2686" s="61"/>
    </row>
    <row r="2687" spans="6:7">
      <c r="F2687" s="43"/>
      <c r="G2687" s="61"/>
    </row>
    <row r="2688" spans="6:7">
      <c r="F2688" s="43"/>
      <c r="G2688" s="61"/>
    </row>
    <row r="2689" spans="6:7">
      <c r="F2689" s="43"/>
      <c r="G2689" s="61"/>
    </row>
    <row r="2690" spans="6:7">
      <c r="F2690" s="43"/>
      <c r="G2690" s="61"/>
    </row>
    <row r="2691" spans="6:7">
      <c r="F2691" s="43"/>
      <c r="G2691" s="61"/>
    </row>
    <row r="2692" spans="6:7">
      <c r="F2692" s="43"/>
      <c r="G2692" s="61"/>
    </row>
    <row r="2693" spans="6:7">
      <c r="F2693" s="43"/>
      <c r="G2693" s="61"/>
    </row>
    <row r="2694" spans="6:7">
      <c r="F2694" s="43"/>
      <c r="G2694" s="61"/>
    </row>
    <row r="2695" spans="6:7">
      <c r="F2695" s="43"/>
      <c r="G2695" s="61"/>
    </row>
    <row r="2696" spans="6:7">
      <c r="F2696" s="43"/>
      <c r="G2696" s="61"/>
    </row>
    <row r="2697" spans="6:7">
      <c r="F2697" s="43"/>
      <c r="G2697" s="61"/>
    </row>
    <row r="2698" spans="6:7">
      <c r="F2698" s="43"/>
      <c r="G2698" s="61"/>
    </row>
    <row r="2699" spans="6:7">
      <c r="F2699" s="43"/>
      <c r="G2699" s="61"/>
    </row>
    <row r="2700" spans="6:7">
      <c r="F2700" s="43"/>
      <c r="G2700" s="61"/>
    </row>
    <row r="2701" spans="6:7">
      <c r="F2701" s="43"/>
      <c r="G2701" s="61"/>
    </row>
    <row r="2702" spans="6:7">
      <c r="F2702" s="43"/>
      <c r="G2702" s="61"/>
    </row>
    <row r="2703" spans="6:7">
      <c r="F2703" s="43"/>
      <c r="G2703" s="61"/>
    </row>
    <row r="2704" spans="6:7">
      <c r="F2704" s="43"/>
      <c r="G2704" s="61"/>
    </row>
    <row r="2705" spans="6:7">
      <c r="F2705" s="43"/>
      <c r="G2705" s="61"/>
    </row>
    <row r="2706" spans="6:7">
      <c r="F2706" s="43"/>
      <c r="G2706" s="61"/>
    </row>
    <row r="2707" spans="6:7">
      <c r="F2707" s="43"/>
      <c r="G2707" s="61"/>
    </row>
    <row r="2708" spans="6:7">
      <c r="F2708" s="43"/>
      <c r="G2708" s="61"/>
    </row>
    <row r="2709" spans="6:7">
      <c r="F2709" s="43"/>
      <c r="G2709" s="61"/>
    </row>
    <row r="2710" spans="6:7">
      <c r="F2710" s="43"/>
      <c r="G2710" s="61"/>
    </row>
    <row r="2711" spans="6:7">
      <c r="F2711" s="43"/>
      <c r="G2711" s="61"/>
    </row>
    <row r="2712" spans="6:7">
      <c r="F2712" s="43"/>
      <c r="G2712" s="61"/>
    </row>
    <row r="2713" spans="6:7">
      <c r="F2713" s="43"/>
      <c r="G2713" s="61"/>
    </row>
    <row r="2714" spans="6:7">
      <c r="F2714" s="43"/>
      <c r="G2714" s="61"/>
    </row>
    <row r="2715" spans="6:7">
      <c r="F2715" s="43"/>
      <c r="G2715" s="61"/>
    </row>
    <row r="2716" spans="6:7">
      <c r="F2716" s="43"/>
      <c r="G2716" s="61"/>
    </row>
    <row r="2717" spans="6:7">
      <c r="F2717" s="43"/>
      <c r="G2717" s="61"/>
    </row>
    <row r="2718" spans="6:7">
      <c r="F2718" s="43"/>
      <c r="G2718" s="61"/>
    </row>
    <row r="2719" spans="6:7">
      <c r="F2719" s="43"/>
      <c r="G2719" s="61"/>
    </row>
    <row r="2720" spans="6:7">
      <c r="F2720" s="43"/>
      <c r="G2720" s="61"/>
    </row>
    <row r="2721" spans="6:7">
      <c r="F2721" s="43"/>
      <c r="G2721" s="61"/>
    </row>
    <row r="2722" spans="6:7">
      <c r="F2722" s="43"/>
      <c r="G2722" s="61"/>
    </row>
    <row r="2723" spans="6:7">
      <c r="F2723" s="43"/>
      <c r="G2723" s="61"/>
    </row>
    <row r="2724" spans="6:7">
      <c r="F2724" s="43"/>
      <c r="G2724" s="61"/>
    </row>
    <row r="2725" spans="6:7">
      <c r="F2725" s="43"/>
      <c r="G2725" s="61"/>
    </row>
    <row r="2726" spans="6:7">
      <c r="F2726" s="43"/>
      <c r="G2726" s="61"/>
    </row>
    <row r="2727" spans="6:7">
      <c r="F2727" s="43"/>
      <c r="G2727" s="61"/>
    </row>
    <row r="2728" spans="6:7">
      <c r="F2728" s="43"/>
      <c r="G2728" s="61"/>
    </row>
    <row r="2729" spans="6:7">
      <c r="F2729" s="43"/>
      <c r="G2729" s="61"/>
    </row>
    <row r="2730" spans="6:7">
      <c r="F2730" s="43"/>
      <c r="G2730" s="61"/>
    </row>
    <row r="2731" spans="6:7">
      <c r="F2731" s="43"/>
      <c r="G2731" s="61"/>
    </row>
    <row r="2732" spans="6:7">
      <c r="F2732" s="43"/>
      <c r="G2732" s="61"/>
    </row>
    <row r="2733" spans="6:7">
      <c r="F2733" s="43"/>
      <c r="G2733" s="61"/>
    </row>
    <row r="2734" spans="6:7">
      <c r="F2734" s="43"/>
      <c r="G2734" s="61"/>
    </row>
    <row r="2735" spans="6:7">
      <c r="F2735" s="43"/>
      <c r="G2735" s="61"/>
    </row>
    <row r="2736" spans="6:7">
      <c r="F2736" s="43"/>
      <c r="G2736" s="61"/>
    </row>
    <row r="2737" spans="6:7">
      <c r="F2737" s="43"/>
      <c r="G2737" s="61"/>
    </row>
    <row r="2738" spans="6:7">
      <c r="F2738" s="43"/>
      <c r="G2738" s="61"/>
    </row>
    <row r="2739" spans="6:7">
      <c r="F2739" s="43"/>
      <c r="G2739" s="61"/>
    </row>
    <row r="2740" spans="6:7">
      <c r="F2740" s="43"/>
      <c r="G2740" s="61"/>
    </row>
    <row r="2741" spans="6:7">
      <c r="F2741" s="43"/>
      <c r="G2741" s="61"/>
    </row>
    <row r="2742" spans="6:7">
      <c r="F2742" s="43"/>
      <c r="G2742" s="61"/>
    </row>
    <row r="2743" spans="6:7">
      <c r="F2743" s="43"/>
      <c r="G2743" s="61"/>
    </row>
    <row r="2744" spans="6:7">
      <c r="F2744" s="43"/>
      <c r="G2744" s="61"/>
    </row>
    <row r="2745" spans="6:7">
      <c r="F2745" s="43"/>
      <c r="G2745" s="61"/>
    </row>
    <row r="2746" spans="6:7">
      <c r="F2746" s="43"/>
      <c r="G2746" s="61"/>
    </row>
    <row r="2747" spans="6:7">
      <c r="F2747" s="43"/>
      <c r="G2747" s="61"/>
    </row>
    <row r="2748" spans="6:7">
      <c r="F2748" s="43"/>
      <c r="G2748" s="61"/>
    </row>
    <row r="2749" spans="6:7">
      <c r="F2749" s="43"/>
      <c r="G2749" s="61"/>
    </row>
    <row r="2750" spans="6:7">
      <c r="F2750" s="43"/>
      <c r="G2750" s="61"/>
    </row>
    <row r="2751" spans="6:7">
      <c r="F2751" s="43"/>
      <c r="G2751" s="61"/>
    </row>
    <row r="2752" spans="6:7">
      <c r="F2752" s="43"/>
      <c r="G2752" s="61"/>
    </row>
    <row r="2753" spans="6:7">
      <c r="F2753" s="43"/>
      <c r="G2753" s="61"/>
    </row>
    <row r="2754" spans="6:7">
      <c r="F2754" s="43"/>
      <c r="G2754" s="61"/>
    </row>
    <row r="2755" spans="6:7">
      <c r="F2755" s="43"/>
      <c r="G2755" s="61"/>
    </row>
    <row r="2756" spans="6:7">
      <c r="F2756" s="43"/>
      <c r="G2756" s="61"/>
    </row>
    <row r="2757" spans="6:7">
      <c r="F2757" s="43"/>
      <c r="G2757" s="61"/>
    </row>
    <row r="2758" spans="6:7">
      <c r="F2758" s="43"/>
      <c r="G2758" s="61"/>
    </row>
    <row r="2759" spans="6:7">
      <c r="F2759" s="43"/>
      <c r="G2759" s="61"/>
    </row>
    <row r="2760" spans="6:7">
      <c r="F2760" s="43"/>
      <c r="G2760" s="61"/>
    </row>
    <row r="2761" spans="6:7">
      <c r="F2761" s="43"/>
      <c r="G2761" s="61"/>
    </row>
    <row r="2762" spans="6:7">
      <c r="F2762" s="43"/>
      <c r="G2762" s="61"/>
    </row>
    <row r="2763" spans="6:7">
      <c r="F2763" s="43"/>
      <c r="G2763" s="61"/>
    </row>
    <row r="2764" spans="6:7">
      <c r="F2764" s="43"/>
      <c r="G2764" s="61"/>
    </row>
    <row r="2765" spans="6:7">
      <c r="F2765" s="43"/>
      <c r="G2765" s="61"/>
    </row>
    <row r="2766" spans="6:7">
      <c r="F2766" s="43"/>
      <c r="G2766" s="61"/>
    </row>
    <row r="2767" spans="6:7">
      <c r="F2767" s="43"/>
      <c r="G2767" s="61"/>
    </row>
    <row r="2768" spans="6:7">
      <c r="F2768" s="43"/>
      <c r="G2768" s="61"/>
    </row>
    <row r="2769" spans="6:7">
      <c r="F2769" s="43"/>
      <c r="G2769" s="61"/>
    </row>
    <row r="2770" spans="6:7">
      <c r="F2770" s="43"/>
      <c r="G2770" s="61"/>
    </row>
    <row r="2771" spans="6:7">
      <c r="F2771" s="43"/>
      <c r="G2771" s="61"/>
    </row>
    <row r="2772" spans="6:7">
      <c r="F2772" s="43"/>
      <c r="G2772" s="61"/>
    </row>
    <row r="2773" spans="6:7">
      <c r="F2773" s="43"/>
      <c r="G2773" s="61"/>
    </row>
    <row r="2774" spans="6:7">
      <c r="F2774" s="43"/>
      <c r="G2774" s="61"/>
    </row>
    <row r="2775" spans="6:7">
      <c r="F2775" s="43"/>
      <c r="G2775" s="61"/>
    </row>
    <row r="2776" spans="6:7">
      <c r="F2776" s="43"/>
      <c r="G2776" s="61"/>
    </row>
    <row r="2777" spans="6:7">
      <c r="F2777" s="43"/>
      <c r="G2777" s="61"/>
    </row>
    <row r="2778" spans="6:7">
      <c r="F2778" s="43"/>
      <c r="G2778" s="61"/>
    </row>
    <row r="2779" spans="6:7">
      <c r="F2779" s="43"/>
      <c r="G2779" s="61"/>
    </row>
    <row r="2780" spans="6:7">
      <c r="F2780" s="43"/>
      <c r="G2780" s="61"/>
    </row>
    <row r="2781" spans="6:7">
      <c r="F2781" s="43"/>
      <c r="G2781" s="61"/>
    </row>
    <row r="2782" spans="6:7">
      <c r="F2782" s="43"/>
      <c r="G2782" s="61"/>
    </row>
    <row r="2783" spans="6:7">
      <c r="F2783" s="43"/>
      <c r="G2783" s="61"/>
    </row>
    <row r="2784" spans="6:7">
      <c r="F2784" s="43"/>
      <c r="G2784" s="61"/>
    </row>
    <row r="2785" spans="6:7">
      <c r="F2785" s="43"/>
      <c r="G2785" s="61"/>
    </row>
    <row r="2786" spans="6:7">
      <c r="F2786" s="43"/>
      <c r="G2786" s="61"/>
    </row>
    <row r="2787" spans="6:7">
      <c r="F2787" s="43"/>
      <c r="G2787" s="61"/>
    </row>
    <row r="2788" spans="6:7">
      <c r="F2788" s="43"/>
      <c r="G2788" s="61"/>
    </row>
    <row r="2789" spans="6:7">
      <c r="F2789" s="43"/>
      <c r="G2789" s="61"/>
    </row>
    <row r="2790" spans="6:7">
      <c r="F2790" s="43"/>
      <c r="G2790" s="61"/>
    </row>
    <row r="2791" spans="6:7">
      <c r="F2791" s="43"/>
      <c r="G2791" s="61"/>
    </row>
    <row r="2792" spans="6:7">
      <c r="F2792" s="43"/>
      <c r="G2792" s="61"/>
    </row>
    <row r="2793" spans="6:7">
      <c r="F2793" s="43"/>
      <c r="G2793" s="61"/>
    </row>
    <row r="2794" spans="6:7">
      <c r="F2794" s="43"/>
      <c r="G2794" s="61"/>
    </row>
    <row r="2795" spans="6:7">
      <c r="F2795" s="43"/>
      <c r="G2795" s="61"/>
    </row>
    <row r="2796" spans="6:7">
      <c r="F2796" s="43"/>
      <c r="G2796" s="61"/>
    </row>
    <row r="2797" spans="6:7">
      <c r="F2797" s="43"/>
      <c r="G2797" s="61"/>
    </row>
    <row r="2798" spans="6:7">
      <c r="F2798" s="43"/>
      <c r="G2798" s="61"/>
    </row>
    <row r="2799" spans="6:7">
      <c r="F2799" s="43"/>
      <c r="G2799" s="61"/>
    </row>
    <row r="2800" spans="6:7">
      <c r="F2800" s="43"/>
      <c r="G2800" s="61"/>
    </row>
    <row r="2801" spans="6:7">
      <c r="F2801" s="43"/>
      <c r="G2801" s="61"/>
    </row>
    <row r="2802" spans="6:7">
      <c r="F2802" s="43"/>
      <c r="G2802" s="61"/>
    </row>
    <row r="2803" spans="6:7">
      <c r="F2803" s="43"/>
      <c r="G2803" s="61"/>
    </row>
    <row r="2804" spans="6:7">
      <c r="F2804" s="43"/>
      <c r="G2804" s="61"/>
    </row>
    <row r="2805" spans="6:7">
      <c r="F2805" s="43"/>
      <c r="G2805" s="61"/>
    </row>
    <row r="2806" spans="6:7">
      <c r="F2806" s="43"/>
      <c r="G2806" s="61"/>
    </row>
    <row r="2807" spans="6:7">
      <c r="F2807" s="43"/>
      <c r="G2807" s="61"/>
    </row>
    <row r="2808" spans="6:7">
      <c r="F2808" s="43"/>
      <c r="G2808" s="61"/>
    </row>
    <row r="2809" spans="6:7">
      <c r="F2809" s="43"/>
      <c r="G2809" s="61"/>
    </row>
    <row r="2810" spans="6:7">
      <c r="F2810" s="43"/>
      <c r="G2810" s="61"/>
    </row>
    <row r="2811" spans="6:7">
      <c r="F2811" s="43"/>
      <c r="G2811" s="61"/>
    </row>
    <row r="2812" spans="6:7">
      <c r="F2812" s="43"/>
      <c r="G2812" s="61"/>
    </row>
    <row r="2813" spans="6:7">
      <c r="F2813" s="43"/>
      <c r="G2813" s="61"/>
    </row>
    <row r="2814" spans="6:7">
      <c r="F2814" s="43"/>
      <c r="G2814" s="61"/>
    </row>
    <row r="2815" spans="6:7">
      <c r="F2815" s="43"/>
      <c r="G2815" s="61"/>
    </row>
    <row r="2816" spans="6:7">
      <c r="F2816" s="43"/>
      <c r="G2816" s="61"/>
    </row>
    <row r="2817" spans="6:7">
      <c r="F2817" s="43"/>
      <c r="G2817" s="61"/>
    </row>
    <row r="2818" spans="6:7">
      <c r="F2818" s="43"/>
      <c r="G2818" s="61"/>
    </row>
    <row r="2819" spans="6:7">
      <c r="F2819" s="43"/>
      <c r="G2819" s="61"/>
    </row>
    <row r="2820" spans="6:7">
      <c r="F2820" s="43"/>
      <c r="G2820" s="61"/>
    </row>
    <row r="2821" spans="6:7">
      <c r="F2821" s="43"/>
      <c r="G2821" s="61"/>
    </row>
    <row r="2822" spans="6:7">
      <c r="F2822" s="43"/>
      <c r="G2822" s="61"/>
    </row>
    <row r="2823" spans="6:7">
      <c r="F2823" s="43"/>
      <c r="G2823" s="61"/>
    </row>
    <row r="2824" spans="6:7">
      <c r="F2824" s="43"/>
      <c r="G2824" s="61"/>
    </row>
    <row r="2825" spans="6:7">
      <c r="F2825" s="43"/>
      <c r="G2825" s="61"/>
    </row>
    <row r="2826" spans="6:7">
      <c r="F2826" s="43"/>
      <c r="G2826" s="61"/>
    </row>
    <row r="2827" spans="6:7">
      <c r="F2827" s="43"/>
      <c r="G2827" s="61"/>
    </row>
    <row r="2828" spans="6:7">
      <c r="F2828" s="43"/>
      <c r="G2828" s="61"/>
    </row>
    <row r="2829" spans="6:7">
      <c r="F2829" s="43"/>
      <c r="G2829" s="61"/>
    </row>
    <row r="2830" spans="6:7">
      <c r="F2830" s="43"/>
      <c r="G2830" s="61"/>
    </row>
    <row r="2831" spans="6:7">
      <c r="F2831" s="43"/>
      <c r="G2831" s="61"/>
    </row>
    <row r="2832" spans="6:7">
      <c r="F2832" s="43"/>
      <c r="G2832" s="61"/>
    </row>
    <row r="2833" spans="6:7">
      <c r="F2833" s="43"/>
      <c r="G2833" s="61"/>
    </row>
    <row r="2834" spans="6:7">
      <c r="F2834" s="43"/>
      <c r="G2834" s="61"/>
    </row>
    <row r="2835" spans="6:7">
      <c r="F2835" s="43"/>
      <c r="G2835" s="61"/>
    </row>
    <row r="2836" spans="6:7">
      <c r="F2836" s="43"/>
      <c r="G2836" s="61"/>
    </row>
    <row r="2837" spans="6:7">
      <c r="F2837" s="43"/>
      <c r="G2837" s="61"/>
    </row>
    <row r="2838" spans="6:7">
      <c r="F2838" s="43"/>
      <c r="G2838" s="61"/>
    </row>
    <row r="2839" spans="6:7">
      <c r="F2839" s="43"/>
      <c r="G2839" s="61"/>
    </row>
    <row r="2840" spans="6:7">
      <c r="F2840" s="43"/>
      <c r="G2840" s="61"/>
    </row>
    <row r="2841" spans="6:7">
      <c r="F2841" s="43"/>
      <c r="G2841" s="61"/>
    </row>
    <row r="2842" spans="6:7">
      <c r="F2842" s="43"/>
      <c r="G2842" s="61"/>
    </row>
    <row r="2843" spans="6:7">
      <c r="F2843" s="43"/>
      <c r="G2843" s="61"/>
    </row>
    <row r="2844" spans="6:7">
      <c r="F2844" s="43"/>
      <c r="G2844" s="61"/>
    </row>
    <row r="2845" spans="6:7">
      <c r="F2845" s="43"/>
      <c r="G2845" s="61"/>
    </row>
    <row r="2846" spans="6:7">
      <c r="F2846" s="43"/>
      <c r="G2846" s="61"/>
    </row>
    <row r="2847" spans="6:7">
      <c r="F2847" s="43"/>
      <c r="G2847" s="61"/>
    </row>
    <row r="2848" spans="6:7">
      <c r="F2848" s="43"/>
      <c r="G2848" s="61"/>
    </row>
    <row r="2849" spans="6:7">
      <c r="F2849" s="43"/>
      <c r="G2849" s="61"/>
    </row>
    <row r="2850" spans="6:7">
      <c r="F2850" s="43"/>
      <c r="G2850" s="61"/>
    </row>
    <row r="2851" spans="6:7">
      <c r="F2851" s="43"/>
      <c r="G2851" s="61"/>
    </row>
    <row r="2852" spans="6:7">
      <c r="F2852" s="43"/>
      <c r="G2852" s="61"/>
    </row>
    <row r="2853" spans="6:7">
      <c r="F2853" s="43"/>
      <c r="G2853" s="61"/>
    </row>
    <row r="2854" spans="6:7">
      <c r="F2854" s="43"/>
      <c r="G2854" s="61"/>
    </row>
    <row r="2855" spans="6:7">
      <c r="F2855" s="43"/>
      <c r="G2855" s="61"/>
    </row>
    <row r="2856" spans="6:7">
      <c r="F2856" s="43"/>
      <c r="G2856" s="61"/>
    </row>
    <row r="2857" spans="6:7">
      <c r="F2857" s="43"/>
      <c r="G2857" s="61"/>
    </row>
    <row r="2858" spans="6:7">
      <c r="F2858" s="43"/>
      <c r="G2858" s="61"/>
    </row>
    <row r="2859" spans="6:7">
      <c r="F2859" s="43"/>
      <c r="G2859" s="61"/>
    </row>
    <row r="2860" spans="6:7">
      <c r="F2860" s="43"/>
      <c r="G2860" s="61"/>
    </row>
    <row r="2861" spans="6:7">
      <c r="F2861" s="43"/>
      <c r="G2861" s="61"/>
    </row>
    <row r="2862" spans="6:7">
      <c r="F2862" s="43"/>
      <c r="G2862" s="61"/>
    </row>
    <row r="2863" spans="6:7">
      <c r="F2863" s="43"/>
      <c r="G2863" s="61"/>
    </row>
    <row r="2864" spans="6:7">
      <c r="F2864" s="43"/>
      <c r="G2864" s="61"/>
    </row>
    <row r="2865" spans="6:7">
      <c r="F2865" s="43"/>
      <c r="G2865" s="61"/>
    </row>
    <row r="2866" spans="6:7">
      <c r="F2866" s="43"/>
      <c r="G2866" s="61"/>
    </row>
    <row r="2867" spans="6:7">
      <c r="F2867" s="43"/>
      <c r="G2867" s="61"/>
    </row>
    <row r="2868" spans="6:7">
      <c r="F2868" s="43"/>
      <c r="G2868" s="61"/>
    </row>
    <row r="2869" spans="6:7">
      <c r="F2869" s="43"/>
      <c r="G2869" s="61"/>
    </row>
    <row r="2870" spans="6:7">
      <c r="F2870" s="43"/>
      <c r="G2870" s="61"/>
    </row>
    <row r="2871" spans="6:7">
      <c r="F2871" s="43"/>
      <c r="G2871" s="61"/>
    </row>
    <row r="2872" spans="6:7">
      <c r="F2872" s="43"/>
      <c r="G2872" s="61"/>
    </row>
    <row r="2873" spans="6:7">
      <c r="F2873" s="43"/>
      <c r="G2873" s="61"/>
    </row>
    <row r="2874" spans="6:7">
      <c r="F2874" s="43"/>
      <c r="G2874" s="61"/>
    </row>
    <row r="2875" spans="6:7">
      <c r="F2875" s="43"/>
      <c r="G2875" s="61"/>
    </row>
    <row r="2876" spans="6:7">
      <c r="F2876" s="43"/>
      <c r="G2876" s="61"/>
    </row>
    <row r="2877" spans="6:7">
      <c r="F2877" s="43"/>
      <c r="G2877" s="61"/>
    </row>
    <row r="2878" spans="6:7">
      <c r="F2878" s="43"/>
      <c r="G2878" s="61"/>
    </row>
    <row r="2879" spans="6:7">
      <c r="F2879" s="43"/>
      <c r="G2879" s="61"/>
    </row>
    <row r="2880" spans="6:7">
      <c r="F2880" s="43"/>
      <c r="G2880" s="61"/>
    </row>
    <row r="2881" spans="6:7">
      <c r="F2881" s="43"/>
      <c r="G2881" s="61"/>
    </row>
    <row r="2882" spans="6:7">
      <c r="F2882" s="43"/>
      <c r="G2882" s="61"/>
    </row>
    <row r="2883" spans="6:7">
      <c r="F2883" s="43"/>
      <c r="G2883" s="61"/>
    </row>
    <row r="2884" spans="6:7">
      <c r="F2884" s="43"/>
      <c r="G2884" s="61"/>
    </row>
    <row r="2885" spans="6:7">
      <c r="F2885" s="43"/>
      <c r="G2885" s="61"/>
    </row>
    <row r="2886" spans="6:7">
      <c r="F2886" s="43"/>
      <c r="G2886" s="61"/>
    </row>
    <row r="2887" spans="6:7">
      <c r="F2887" s="43"/>
      <c r="G2887" s="61"/>
    </row>
    <row r="2888" spans="6:7">
      <c r="F2888" s="43"/>
      <c r="G2888" s="61"/>
    </row>
    <row r="2889" spans="6:7">
      <c r="F2889" s="43"/>
      <c r="G2889" s="61"/>
    </row>
    <row r="2890" spans="6:7">
      <c r="F2890" s="43"/>
      <c r="G2890" s="61"/>
    </row>
    <row r="2891" spans="6:7">
      <c r="F2891" s="43"/>
      <c r="G2891" s="61"/>
    </row>
    <row r="2892" spans="6:7">
      <c r="F2892" s="43"/>
      <c r="G2892" s="61"/>
    </row>
    <row r="2893" spans="6:7">
      <c r="F2893" s="43"/>
      <c r="G2893" s="61"/>
    </row>
    <row r="2894" spans="6:7">
      <c r="F2894" s="43"/>
      <c r="G2894" s="61"/>
    </row>
    <row r="2895" spans="6:7">
      <c r="F2895" s="43"/>
      <c r="G2895" s="61"/>
    </row>
    <row r="2896" spans="6:7">
      <c r="F2896" s="43"/>
      <c r="G2896" s="61"/>
    </row>
    <row r="2897" spans="6:7">
      <c r="F2897" s="43"/>
      <c r="G2897" s="61"/>
    </row>
    <row r="2898" spans="6:7">
      <c r="F2898" s="43"/>
      <c r="G2898" s="61"/>
    </row>
    <row r="2899" spans="6:7">
      <c r="F2899" s="43"/>
      <c r="G2899" s="61"/>
    </row>
    <row r="2900" spans="6:7">
      <c r="F2900" s="43"/>
      <c r="G2900" s="61"/>
    </row>
    <row r="2901" spans="6:7">
      <c r="F2901" s="43"/>
      <c r="G2901" s="61"/>
    </row>
    <row r="2902" spans="6:7">
      <c r="F2902" s="43"/>
      <c r="G2902" s="61"/>
    </row>
    <row r="2903" spans="6:7">
      <c r="F2903" s="43"/>
      <c r="G2903" s="61"/>
    </row>
    <row r="2904" spans="6:7">
      <c r="F2904" s="43"/>
      <c r="G2904" s="61"/>
    </row>
    <row r="2905" spans="6:7">
      <c r="F2905" s="43"/>
      <c r="G2905" s="61"/>
    </row>
    <row r="2906" spans="6:7">
      <c r="F2906" s="43"/>
      <c r="G2906" s="61"/>
    </row>
    <row r="2907" spans="6:7">
      <c r="F2907" s="43"/>
      <c r="G2907" s="61"/>
    </row>
    <row r="2908" spans="6:7">
      <c r="F2908" s="43"/>
      <c r="G2908" s="61"/>
    </row>
    <row r="2909" spans="6:7">
      <c r="F2909" s="43"/>
      <c r="G2909" s="61"/>
    </row>
    <row r="2910" spans="6:7">
      <c r="F2910" s="43"/>
      <c r="G2910" s="61"/>
    </row>
    <row r="2911" spans="6:7">
      <c r="F2911" s="43"/>
      <c r="G2911" s="61"/>
    </row>
    <row r="2912" spans="6:7">
      <c r="F2912" s="43"/>
      <c r="G2912" s="61"/>
    </row>
    <row r="2913" spans="6:7">
      <c r="F2913" s="43"/>
      <c r="G2913" s="61"/>
    </row>
    <row r="2914" spans="6:7">
      <c r="F2914" s="43"/>
      <c r="G2914" s="61"/>
    </row>
    <row r="2915" spans="6:7">
      <c r="F2915" s="43"/>
      <c r="G2915" s="61"/>
    </row>
    <row r="2916" spans="6:7">
      <c r="F2916" s="43"/>
      <c r="G2916" s="61"/>
    </row>
    <row r="2917" spans="6:7">
      <c r="F2917" s="43"/>
      <c r="G2917" s="61"/>
    </row>
    <row r="2918" spans="6:7">
      <c r="F2918" s="43"/>
      <c r="G2918" s="61"/>
    </row>
    <row r="2919" spans="6:7">
      <c r="F2919" s="43"/>
      <c r="G2919" s="61"/>
    </row>
    <row r="2920" spans="6:7">
      <c r="F2920" s="43"/>
      <c r="G2920" s="61"/>
    </row>
    <row r="2921" spans="6:7">
      <c r="F2921" s="43"/>
      <c r="G2921" s="61"/>
    </row>
    <row r="2922" spans="6:7">
      <c r="F2922" s="43"/>
      <c r="G2922" s="61"/>
    </row>
    <row r="2923" spans="6:7">
      <c r="F2923" s="43"/>
      <c r="G2923" s="61"/>
    </row>
    <row r="2924" spans="6:7">
      <c r="F2924" s="43"/>
      <c r="G2924" s="61"/>
    </row>
    <row r="2925" spans="6:7">
      <c r="F2925" s="43"/>
      <c r="G2925" s="61"/>
    </row>
    <row r="2926" spans="6:7">
      <c r="F2926" s="43"/>
      <c r="G2926" s="61"/>
    </row>
    <row r="2927" spans="6:7">
      <c r="F2927" s="43"/>
      <c r="G2927" s="61"/>
    </row>
    <row r="2928" spans="6:7">
      <c r="F2928" s="43"/>
      <c r="G2928" s="61"/>
    </row>
    <row r="2929" spans="6:7">
      <c r="F2929" s="43"/>
      <c r="G2929" s="61"/>
    </row>
    <row r="2930" spans="6:7">
      <c r="F2930" s="43"/>
      <c r="G2930" s="61"/>
    </row>
    <row r="2931" spans="6:7">
      <c r="F2931" s="43"/>
      <c r="G2931" s="61"/>
    </row>
    <row r="2932" spans="6:7">
      <c r="F2932" s="43"/>
      <c r="G2932" s="61"/>
    </row>
    <row r="2933" spans="6:7">
      <c r="F2933" s="43"/>
      <c r="G2933" s="61"/>
    </row>
    <row r="2934" spans="6:7">
      <c r="F2934" s="43"/>
      <c r="G2934" s="61"/>
    </row>
    <row r="2935" spans="6:7">
      <c r="F2935" s="43"/>
      <c r="G2935" s="61"/>
    </row>
    <row r="2936" spans="6:7">
      <c r="F2936" s="43"/>
      <c r="G2936" s="61"/>
    </row>
    <row r="2937" spans="6:7">
      <c r="F2937" s="43"/>
      <c r="G2937" s="61"/>
    </row>
    <row r="2938" spans="6:7">
      <c r="F2938" s="43"/>
      <c r="G2938" s="61"/>
    </row>
    <row r="2939" spans="6:7">
      <c r="F2939" s="43"/>
      <c r="G2939" s="61"/>
    </row>
    <row r="2940" spans="6:7">
      <c r="F2940" s="43"/>
      <c r="G2940" s="61"/>
    </row>
    <row r="2941" spans="6:7">
      <c r="F2941" s="43"/>
      <c r="G2941" s="61"/>
    </row>
    <row r="2942" spans="6:7">
      <c r="F2942" s="43"/>
      <c r="G2942" s="61"/>
    </row>
    <row r="2943" spans="6:7">
      <c r="F2943" s="43"/>
      <c r="G2943" s="61"/>
    </row>
    <row r="2944" spans="6:7">
      <c r="F2944" s="43"/>
      <c r="G2944" s="61"/>
    </row>
    <row r="2945" spans="6:7">
      <c r="F2945" s="43"/>
      <c r="G2945" s="61"/>
    </row>
    <row r="2946" spans="6:7">
      <c r="F2946" s="43"/>
      <c r="G2946" s="61"/>
    </row>
    <row r="2947" spans="6:7">
      <c r="F2947" s="43"/>
      <c r="G2947" s="61"/>
    </row>
    <row r="2948" spans="6:7">
      <c r="F2948" s="43"/>
      <c r="G2948" s="61"/>
    </row>
    <row r="2949" spans="6:7">
      <c r="F2949" s="43"/>
      <c r="G2949" s="61"/>
    </row>
    <row r="2950" spans="6:7">
      <c r="F2950" s="43"/>
      <c r="G2950" s="61"/>
    </row>
    <row r="2951" spans="6:7">
      <c r="F2951" s="43"/>
      <c r="G2951" s="61"/>
    </row>
    <row r="2952" spans="6:7">
      <c r="F2952" s="43"/>
      <c r="G2952" s="61"/>
    </row>
    <row r="2953" spans="6:7">
      <c r="F2953" s="43"/>
      <c r="G2953" s="61"/>
    </row>
    <row r="2954" spans="6:7">
      <c r="F2954" s="43"/>
      <c r="G2954" s="61"/>
    </row>
    <row r="2955" spans="6:7">
      <c r="F2955" s="43"/>
      <c r="G2955" s="61"/>
    </row>
    <row r="2956" spans="6:7">
      <c r="F2956" s="43"/>
      <c r="G2956" s="61"/>
    </row>
    <row r="2957" spans="6:7">
      <c r="F2957" s="43"/>
      <c r="G2957" s="61"/>
    </row>
    <row r="2958" spans="6:7">
      <c r="F2958" s="43"/>
      <c r="G2958" s="61"/>
    </row>
    <row r="2959" spans="6:7">
      <c r="F2959" s="43"/>
      <c r="G2959" s="61"/>
    </row>
    <row r="2960" spans="6:7">
      <c r="F2960" s="43"/>
      <c r="G2960" s="61"/>
    </row>
    <row r="2961" spans="6:7">
      <c r="F2961" s="43"/>
      <c r="G2961" s="61"/>
    </row>
    <row r="2962" spans="6:7">
      <c r="F2962" s="43"/>
      <c r="G2962" s="61"/>
    </row>
    <row r="2963" spans="6:7">
      <c r="F2963" s="43"/>
      <c r="G2963" s="61"/>
    </row>
    <row r="2964" spans="6:7">
      <c r="F2964" s="43"/>
      <c r="G2964" s="61"/>
    </row>
    <row r="2965" spans="6:7">
      <c r="F2965" s="43"/>
      <c r="G2965" s="61"/>
    </row>
    <row r="2966" spans="6:7">
      <c r="F2966" s="43"/>
      <c r="G2966" s="61"/>
    </row>
    <row r="2967" spans="6:7">
      <c r="F2967" s="43"/>
      <c r="G2967" s="61"/>
    </row>
    <row r="2968" spans="6:7">
      <c r="F2968" s="43"/>
      <c r="G2968" s="61"/>
    </row>
    <row r="2969" spans="6:7">
      <c r="F2969" s="43"/>
      <c r="G2969" s="61"/>
    </row>
    <row r="2970" spans="6:7">
      <c r="F2970" s="43"/>
      <c r="G2970" s="61"/>
    </row>
    <row r="2971" spans="6:7">
      <c r="F2971" s="43"/>
      <c r="G2971" s="61"/>
    </row>
    <row r="2972" spans="6:7">
      <c r="F2972" s="43"/>
      <c r="G2972" s="61"/>
    </row>
    <row r="2973" spans="6:7">
      <c r="F2973" s="43"/>
      <c r="G2973" s="61"/>
    </row>
    <row r="2974" spans="6:7">
      <c r="F2974" s="43"/>
      <c r="G2974" s="61"/>
    </row>
    <row r="2975" spans="6:7">
      <c r="F2975" s="43"/>
      <c r="G2975" s="61"/>
    </row>
    <row r="2976" spans="6:7">
      <c r="F2976" s="43"/>
      <c r="G2976" s="61"/>
    </row>
    <row r="2977" spans="6:7">
      <c r="F2977" s="43"/>
      <c r="G2977" s="61"/>
    </row>
    <row r="2978" spans="6:7">
      <c r="F2978" s="43"/>
      <c r="G2978" s="61"/>
    </row>
    <row r="2979" spans="6:7">
      <c r="F2979" s="43"/>
      <c r="G2979" s="61"/>
    </row>
    <row r="2980" spans="6:7">
      <c r="F2980" s="43"/>
      <c r="G2980" s="61"/>
    </row>
    <row r="2981" spans="6:7">
      <c r="F2981" s="43"/>
      <c r="G2981" s="61"/>
    </row>
    <row r="2982" spans="6:7">
      <c r="F2982" s="43"/>
      <c r="G2982" s="61"/>
    </row>
    <row r="2983" spans="6:7">
      <c r="F2983" s="43"/>
      <c r="G2983" s="61"/>
    </row>
    <row r="2984" spans="6:7">
      <c r="F2984" s="43"/>
      <c r="G2984" s="61"/>
    </row>
    <row r="2985" spans="6:7">
      <c r="F2985" s="43"/>
      <c r="G2985" s="61"/>
    </row>
    <row r="2986" spans="6:7">
      <c r="F2986" s="43"/>
      <c r="G2986" s="61"/>
    </row>
    <row r="2987" spans="6:7">
      <c r="F2987" s="43"/>
      <c r="G2987" s="61"/>
    </row>
    <row r="2988" spans="6:7">
      <c r="F2988" s="43"/>
      <c r="G2988" s="61"/>
    </row>
    <row r="2989" spans="6:7">
      <c r="F2989" s="43"/>
      <c r="G2989" s="61"/>
    </row>
    <row r="2990" spans="6:7">
      <c r="F2990" s="43"/>
      <c r="G2990" s="61"/>
    </row>
    <row r="2991" spans="6:7">
      <c r="F2991" s="43"/>
      <c r="G2991" s="61"/>
    </row>
    <row r="2992" spans="6:7">
      <c r="F2992" s="43"/>
      <c r="G2992" s="61"/>
    </row>
    <row r="2993" spans="6:7">
      <c r="F2993" s="43"/>
      <c r="G2993" s="61"/>
    </row>
    <row r="2994" spans="6:7">
      <c r="F2994" s="43"/>
      <c r="G2994" s="61"/>
    </row>
    <row r="2995" spans="6:7">
      <c r="F2995" s="43"/>
      <c r="G2995" s="61"/>
    </row>
    <row r="2996" spans="6:7">
      <c r="F2996" s="43"/>
      <c r="G2996" s="61"/>
    </row>
    <row r="2997" spans="6:7">
      <c r="F2997" s="43"/>
      <c r="G2997" s="61"/>
    </row>
    <row r="2998" spans="6:7">
      <c r="F2998" s="43"/>
      <c r="G2998" s="61"/>
    </row>
    <row r="2999" spans="6:7">
      <c r="F2999" s="43"/>
      <c r="G2999" s="61"/>
    </row>
    <row r="3000" spans="6:7">
      <c r="F3000" s="43"/>
      <c r="G3000" s="61"/>
    </row>
    <row r="3001" spans="6:7">
      <c r="F3001" s="43"/>
      <c r="G3001" s="61"/>
    </row>
    <row r="3002" spans="6:7">
      <c r="F3002" s="43"/>
      <c r="G3002" s="61"/>
    </row>
    <row r="3003" spans="6:7">
      <c r="F3003" s="43"/>
      <c r="G3003" s="61"/>
    </row>
    <row r="3004" spans="6:7">
      <c r="F3004" s="43"/>
      <c r="G3004" s="61"/>
    </row>
    <row r="3005" spans="6:7">
      <c r="F3005" s="43"/>
      <c r="G3005" s="61"/>
    </row>
    <row r="3006" spans="6:7">
      <c r="F3006" s="43"/>
      <c r="G3006" s="61"/>
    </row>
    <row r="3007" spans="6:7">
      <c r="F3007" s="43"/>
      <c r="G3007" s="61"/>
    </row>
    <row r="3008" spans="6:7">
      <c r="F3008" s="43"/>
      <c r="G3008" s="61"/>
    </row>
    <row r="3009" spans="6:7">
      <c r="F3009" s="43"/>
      <c r="G3009" s="61"/>
    </row>
    <row r="3010" spans="6:7">
      <c r="F3010" s="43"/>
      <c r="G3010" s="61"/>
    </row>
    <row r="3011" spans="6:7">
      <c r="F3011" s="43"/>
      <c r="G3011" s="61"/>
    </row>
    <row r="3012" spans="6:7">
      <c r="F3012" s="43"/>
      <c r="G3012" s="61"/>
    </row>
    <row r="3013" spans="6:7">
      <c r="F3013" s="43"/>
      <c r="G3013" s="61"/>
    </row>
    <row r="3014" spans="6:7">
      <c r="F3014" s="43"/>
      <c r="G3014" s="61"/>
    </row>
    <row r="3015" spans="6:7">
      <c r="F3015" s="43"/>
      <c r="G3015" s="61"/>
    </row>
    <row r="3016" spans="6:7">
      <c r="F3016" s="43"/>
      <c r="G3016" s="61"/>
    </row>
    <row r="3017" spans="6:7">
      <c r="F3017" s="43"/>
      <c r="G3017" s="61"/>
    </row>
    <row r="3018" spans="6:7">
      <c r="F3018" s="43"/>
      <c r="G3018" s="61"/>
    </row>
    <row r="3019" spans="6:7">
      <c r="F3019" s="43"/>
      <c r="G3019" s="61"/>
    </row>
    <row r="3020" spans="6:7">
      <c r="F3020" s="43"/>
      <c r="G3020" s="61"/>
    </row>
    <row r="3021" spans="6:7">
      <c r="F3021" s="43"/>
      <c r="G3021" s="61"/>
    </row>
    <row r="3022" spans="6:7">
      <c r="F3022" s="43"/>
      <c r="G3022" s="61"/>
    </row>
    <row r="3023" spans="6:7">
      <c r="F3023" s="43"/>
      <c r="G3023" s="61"/>
    </row>
    <row r="3024" spans="6:7">
      <c r="F3024" s="43"/>
      <c r="G3024" s="61"/>
    </row>
    <row r="3025" spans="6:7">
      <c r="F3025" s="43"/>
      <c r="G3025" s="61"/>
    </row>
    <row r="3026" spans="6:7">
      <c r="F3026" s="43"/>
      <c r="G3026" s="61"/>
    </row>
    <row r="3027" spans="6:7">
      <c r="F3027" s="43"/>
      <c r="G3027" s="61"/>
    </row>
    <row r="3028" spans="6:7">
      <c r="F3028" s="43"/>
      <c r="G3028" s="61"/>
    </row>
    <row r="3029" spans="6:7">
      <c r="F3029" s="43"/>
      <c r="G3029" s="61"/>
    </row>
    <row r="3030" spans="6:7">
      <c r="F3030" s="43"/>
      <c r="G3030" s="61"/>
    </row>
    <row r="3031" spans="6:7">
      <c r="F3031" s="43"/>
      <c r="G3031" s="61"/>
    </row>
    <row r="3032" spans="6:7">
      <c r="F3032" s="43"/>
      <c r="G3032" s="61"/>
    </row>
    <row r="3033" spans="6:7">
      <c r="F3033" s="43"/>
      <c r="G3033" s="61"/>
    </row>
    <row r="3034" spans="6:7">
      <c r="F3034" s="43"/>
      <c r="G3034" s="61"/>
    </row>
    <row r="3035" spans="6:7">
      <c r="F3035" s="43"/>
      <c r="G3035" s="61"/>
    </row>
    <row r="3036" spans="6:7">
      <c r="F3036" s="43"/>
      <c r="G3036" s="61"/>
    </row>
    <row r="3037" spans="6:7">
      <c r="F3037" s="43"/>
      <c r="G3037" s="61"/>
    </row>
    <row r="3038" spans="6:7">
      <c r="F3038" s="43"/>
      <c r="G3038" s="61"/>
    </row>
    <row r="3039" spans="6:7">
      <c r="F3039" s="43"/>
      <c r="G3039" s="61"/>
    </row>
    <row r="3040" spans="6:7">
      <c r="F3040" s="43"/>
      <c r="G3040" s="61"/>
    </row>
    <row r="3041" spans="6:7">
      <c r="F3041" s="43"/>
      <c r="G3041" s="61"/>
    </row>
    <row r="3042" spans="6:7">
      <c r="F3042" s="43"/>
      <c r="G3042" s="61"/>
    </row>
    <row r="3043" spans="6:7">
      <c r="F3043" s="43"/>
      <c r="G3043" s="61"/>
    </row>
    <row r="3044" spans="6:7">
      <c r="F3044" s="43"/>
      <c r="G3044" s="61"/>
    </row>
    <row r="3045" spans="6:7">
      <c r="F3045" s="43"/>
      <c r="G3045" s="61"/>
    </row>
    <row r="3046" spans="6:7">
      <c r="F3046" s="43"/>
      <c r="G3046" s="61"/>
    </row>
    <row r="3047" spans="6:7">
      <c r="F3047" s="43"/>
      <c r="G3047" s="61"/>
    </row>
    <row r="3048" spans="6:7">
      <c r="F3048" s="43"/>
      <c r="G3048" s="61"/>
    </row>
    <row r="3049" spans="6:7">
      <c r="F3049" s="43"/>
      <c r="G3049" s="61"/>
    </row>
    <row r="3050" spans="6:7">
      <c r="F3050" s="43"/>
      <c r="G3050" s="61"/>
    </row>
    <row r="3051" spans="6:7">
      <c r="F3051" s="43"/>
      <c r="G3051" s="61"/>
    </row>
    <row r="3052" spans="6:7">
      <c r="F3052" s="43"/>
      <c r="G3052" s="61"/>
    </row>
    <row r="3053" spans="6:7">
      <c r="F3053" s="43"/>
      <c r="G3053" s="61"/>
    </row>
    <row r="3054" spans="6:7">
      <c r="F3054" s="43"/>
      <c r="G3054" s="61"/>
    </row>
    <row r="3055" spans="6:7">
      <c r="F3055" s="43"/>
      <c r="G3055" s="61"/>
    </row>
    <row r="3056" spans="6:7">
      <c r="F3056" s="43"/>
      <c r="G3056" s="61"/>
    </row>
    <row r="3057" spans="6:7">
      <c r="F3057" s="43"/>
      <c r="G3057" s="61"/>
    </row>
    <row r="3058" spans="6:7">
      <c r="F3058" s="43"/>
      <c r="G3058" s="61"/>
    </row>
    <row r="3059" spans="6:7">
      <c r="F3059" s="43"/>
      <c r="G3059" s="61"/>
    </row>
    <row r="3060" spans="6:7">
      <c r="F3060" s="43"/>
      <c r="G3060" s="61"/>
    </row>
    <row r="3061" spans="6:7">
      <c r="F3061" s="43"/>
      <c r="G3061" s="61"/>
    </row>
    <row r="3062" spans="6:7">
      <c r="F3062" s="43"/>
      <c r="G3062" s="61"/>
    </row>
    <row r="3063" spans="6:7">
      <c r="F3063" s="43"/>
      <c r="G3063" s="61"/>
    </row>
    <row r="3064" spans="6:7">
      <c r="F3064" s="43"/>
      <c r="G3064" s="61"/>
    </row>
    <row r="3065" spans="6:7">
      <c r="F3065" s="43"/>
      <c r="G3065" s="61"/>
    </row>
    <row r="3066" spans="6:7">
      <c r="F3066" s="43"/>
      <c r="G3066" s="61"/>
    </row>
    <row r="3067" spans="6:7">
      <c r="F3067" s="43"/>
      <c r="G3067" s="61"/>
    </row>
    <row r="3068" spans="6:7">
      <c r="F3068" s="43"/>
      <c r="G3068" s="61"/>
    </row>
    <row r="3069" spans="6:7">
      <c r="F3069" s="43"/>
      <c r="G3069" s="61"/>
    </row>
    <row r="3070" spans="6:7">
      <c r="F3070" s="43"/>
      <c r="G3070" s="61"/>
    </row>
    <row r="3071" spans="6:7">
      <c r="F3071" s="43"/>
      <c r="G3071" s="61"/>
    </row>
    <row r="3072" spans="6:7">
      <c r="F3072" s="43"/>
      <c r="G3072" s="61"/>
    </row>
    <row r="3073" spans="6:7">
      <c r="F3073" s="43"/>
      <c r="G3073" s="61"/>
    </row>
    <row r="3074" spans="6:7">
      <c r="F3074" s="43"/>
      <c r="G3074" s="61"/>
    </row>
    <row r="3075" spans="6:7">
      <c r="F3075" s="43"/>
      <c r="G3075" s="61"/>
    </row>
    <row r="3076" spans="6:7">
      <c r="F3076" s="43"/>
      <c r="G3076" s="61"/>
    </row>
    <row r="3077" spans="6:7">
      <c r="F3077" s="43"/>
      <c r="G3077" s="61"/>
    </row>
    <row r="3078" spans="6:7">
      <c r="F3078" s="43"/>
      <c r="G3078" s="61"/>
    </row>
    <row r="3079" spans="6:7">
      <c r="F3079" s="43"/>
      <c r="G3079" s="61"/>
    </row>
    <row r="3080" spans="6:7">
      <c r="F3080" s="43"/>
      <c r="G3080" s="61"/>
    </row>
    <row r="3081" spans="6:7">
      <c r="F3081" s="43"/>
      <c r="G3081" s="61"/>
    </row>
    <row r="3082" spans="6:7">
      <c r="F3082" s="43"/>
      <c r="G3082" s="61"/>
    </row>
    <row r="3083" spans="6:7">
      <c r="F3083" s="43"/>
      <c r="G3083" s="61"/>
    </row>
    <row r="3084" spans="6:7">
      <c r="F3084" s="43"/>
      <c r="G3084" s="61"/>
    </row>
    <row r="3085" spans="6:7">
      <c r="F3085" s="43"/>
      <c r="G3085" s="61"/>
    </row>
    <row r="3086" spans="6:7">
      <c r="F3086" s="43"/>
      <c r="G3086" s="61"/>
    </row>
    <row r="3087" spans="6:7">
      <c r="F3087" s="43"/>
      <c r="G3087" s="61"/>
    </row>
    <row r="3088" spans="6:7">
      <c r="F3088" s="43"/>
      <c r="G3088" s="61"/>
    </row>
    <row r="3089" spans="6:7">
      <c r="F3089" s="43"/>
      <c r="G3089" s="61"/>
    </row>
    <row r="3090" spans="6:7">
      <c r="F3090" s="43"/>
      <c r="G3090" s="61"/>
    </row>
    <row r="3091" spans="6:7">
      <c r="F3091" s="43"/>
      <c r="G3091" s="61"/>
    </row>
    <row r="3092" spans="6:7">
      <c r="F3092" s="43"/>
      <c r="G3092" s="61"/>
    </row>
    <row r="3093" spans="6:7">
      <c r="F3093" s="43"/>
      <c r="G3093" s="61"/>
    </row>
    <row r="3094" spans="6:7">
      <c r="F3094" s="43"/>
      <c r="G3094" s="61"/>
    </row>
    <row r="3095" spans="6:7">
      <c r="F3095" s="43"/>
      <c r="G3095" s="61"/>
    </row>
    <row r="3096" spans="6:7">
      <c r="F3096" s="43"/>
      <c r="G3096" s="61"/>
    </row>
    <row r="3097" spans="6:7">
      <c r="F3097" s="43"/>
      <c r="G3097" s="61"/>
    </row>
    <row r="3098" spans="6:7">
      <c r="F3098" s="43"/>
      <c r="G3098" s="61"/>
    </row>
    <row r="3099" spans="6:7">
      <c r="F3099" s="43"/>
      <c r="G3099" s="61"/>
    </row>
    <row r="3100" spans="6:7">
      <c r="F3100" s="43"/>
      <c r="G3100" s="61"/>
    </row>
    <row r="3101" spans="6:7">
      <c r="F3101" s="43"/>
      <c r="G3101" s="61"/>
    </row>
    <row r="3102" spans="6:7">
      <c r="F3102" s="43"/>
      <c r="G3102" s="61"/>
    </row>
    <row r="3103" spans="6:7">
      <c r="F3103" s="43"/>
      <c r="G3103" s="61"/>
    </row>
    <row r="3104" spans="6:7">
      <c r="F3104" s="43"/>
      <c r="G3104" s="61"/>
    </row>
    <row r="3105" spans="6:7">
      <c r="F3105" s="43"/>
      <c r="G3105" s="61"/>
    </row>
    <row r="3106" spans="6:7">
      <c r="F3106" s="43"/>
      <c r="G3106" s="61"/>
    </row>
    <row r="3107" spans="6:7">
      <c r="F3107" s="43"/>
      <c r="G3107" s="61"/>
    </row>
    <row r="3108" spans="6:7">
      <c r="F3108" s="43"/>
      <c r="G3108" s="61"/>
    </row>
    <row r="3109" spans="6:7">
      <c r="F3109" s="43"/>
      <c r="G3109" s="61"/>
    </row>
    <row r="3110" spans="6:7">
      <c r="F3110" s="43"/>
      <c r="G3110" s="61"/>
    </row>
    <row r="3111" spans="6:7">
      <c r="F3111" s="43"/>
      <c r="G3111" s="61"/>
    </row>
    <row r="3112" spans="6:7">
      <c r="F3112" s="43"/>
      <c r="G3112" s="61"/>
    </row>
    <row r="3113" spans="6:7">
      <c r="F3113" s="43"/>
      <c r="G3113" s="61"/>
    </row>
    <row r="3114" spans="6:7">
      <c r="F3114" s="43"/>
      <c r="G3114" s="61"/>
    </row>
    <row r="3115" spans="6:7">
      <c r="F3115" s="43"/>
      <c r="G3115" s="61"/>
    </row>
    <row r="3116" spans="6:7">
      <c r="F3116" s="43"/>
      <c r="G3116" s="61"/>
    </row>
    <row r="3117" spans="6:7">
      <c r="F3117" s="43"/>
      <c r="G3117" s="61"/>
    </row>
    <row r="3118" spans="6:7">
      <c r="F3118" s="43"/>
      <c r="G3118" s="61"/>
    </row>
    <row r="3119" spans="6:7">
      <c r="F3119" s="43"/>
      <c r="G3119" s="61"/>
    </row>
    <row r="3120" spans="6:7">
      <c r="F3120" s="43"/>
      <c r="G3120" s="61"/>
    </row>
    <row r="3121" spans="6:7">
      <c r="F3121" s="43"/>
      <c r="G3121" s="61"/>
    </row>
    <row r="3122" spans="6:7">
      <c r="F3122" s="43"/>
      <c r="G3122" s="61"/>
    </row>
    <row r="3123" spans="6:7">
      <c r="F3123" s="43"/>
      <c r="G3123" s="61"/>
    </row>
    <row r="3124" spans="6:7">
      <c r="F3124" s="43"/>
      <c r="G3124" s="61"/>
    </row>
    <row r="3125" spans="6:7">
      <c r="F3125" s="43"/>
      <c r="G3125" s="61"/>
    </row>
    <row r="3126" spans="6:7">
      <c r="F3126" s="43"/>
      <c r="G3126" s="61"/>
    </row>
    <row r="3127" spans="6:7">
      <c r="F3127" s="43"/>
      <c r="G3127" s="61"/>
    </row>
    <row r="3128" spans="6:7">
      <c r="F3128" s="43"/>
      <c r="G3128" s="61"/>
    </row>
    <row r="3129" spans="6:7">
      <c r="F3129" s="43"/>
      <c r="G3129" s="61"/>
    </row>
    <row r="3130" spans="6:7">
      <c r="F3130" s="43"/>
      <c r="G3130" s="61"/>
    </row>
    <row r="3131" spans="6:7">
      <c r="F3131" s="43"/>
      <c r="G3131" s="61"/>
    </row>
    <row r="3132" spans="6:7">
      <c r="F3132" s="43"/>
      <c r="G3132" s="61"/>
    </row>
    <row r="3133" spans="6:7">
      <c r="F3133" s="43"/>
      <c r="G3133" s="61"/>
    </row>
    <row r="3134" spans="6:7">
      <c r="F3134" s="43"/>
      <c r="G3134" s="61"/>
    </row>
    <row r="3135" spans="6:7">
      <c r="F3135" s="43"/>
      <c r="G3135" s="61"/>
    </row>
    <row r="3136" spans="6:7">
      <c r="F3136" s="43"/>
      <c r="G3136" s="61"/>
    </row>
    <row r="3137" spans="6:7">
      <c r="F3137" s="43"/>
      <c r="G3137" s="61"/>
    </row>
    <row r="3138" spans="6:7">
      <c r="F3138" s="43"/>
      <c r="G3138" s="61"/>
    </row>
    <row r="3139" spans="6:7">
      <c r="F3139" s="43"/>
      <c r="G3139" s="61"/>
    </row>
    <row r="3140" spans="6:7">
      <c r="F3140" s="43"/>
      <c r="G3140" s="61"/>
    </row>
    <row r="3141" spans="6:7">
      <c r="F3141" s="43"/>
      <c r="G3141" s="61"/>
    </row>
    <row r="3142" spans="6:7">
      <c r="F3142" s="43"/>
      <c r="G3142" s="61"/>
    </row>
    <row r="3143" spans="6:7">
      <c r="F3143" s="43"/>
      <c r="G3143" s="61"/>
    </row>
    <row r="3144" spans="6:7">
      <c r="F3144" s="43"/>
      <c r="G3144" s="61"/>
    </row>
    <row r="3145" spans="6:7">
      <c r="F3145" s="43"/>
      <c r="G3145" s="61"/>
    </row>
    <row r="3146" spans="6:7">
      <c r="F3146" s="43"/>
      <c r="G3146" s="61"/>
    </row>
    <row r="3147" spans="6:7">
      <c r="F3147" s="43"/>
      <c r="G3147" s="61"/>
    </row>
    <row r="3148" spans="6:7">
      <c r="F3148" s="43"/>
      <c r="G3148" s="61"/>
    </row>
    <row r="3149" spans="6:7">
      <c r="F3149" s="43"/>
      <c r="G3149" s="61"/>
    </row>
    <row r="3150" spans="6:7">
      <c r="F3150" s="43"/>
      <c r="G3150" s="61"/>
    </row>
    <row r="3151" spans="6:7">
      <c r="F3151" s="43"/>
      <c r="G3151" s="61"/>
    </row>
    <row r="3152" spans="6:7">
      <c r="F3152" s="43"/>
      <c r="G3152" s="61"/>
    </row>
    <row r="3153" spans="6:7">
      <c r="F3153" s="43"/>
      <c r="G3153" s="61"/>
    </row>
    <row r="3154" spans="6:7">
      <c r="F3154" s="43"/>
      <c r="G3154" s="61"/>
    </row>
    <row r="3155" spans="6:7">
      <c r="F3155" s="43"/>
      <c r="G3155" s="61"/>
    </row>
    <row r="3156" spans="6:7">
      <c r="F3156" s="43"/>
      <c r="G3156" s="61"/>
    </row>
    <row r="3157" spans="6:7">
      <c r="F3157" s="43"/>
      <c r="G3157" s="61"/>
    </row>
    <row r="3158" spans="6:7">
      <c r="F3158" s="43"/>
      <c r="G3158" s="61"/>
    </row>
    <row r="3159" spans="6:7">
      <c r="F3159" s="43"/>
      <c r="G3159" s="61"/>
    </row>
    <row r="3160" spans="6:7">
      <c r="F3160" s="43"/>
      <c r="G3160" s="61"/>
    </row>
    <row r="3161" spans="6:7">
      <c r="F3161" s="43"/>
      <c r="G3161" s="61"/>
    </row>
    <row r="3162" spans="6:7">
      <c r="F3162" s="43"/>
      <c r="G3162" s="61"/>
    </row>
    <row r="3163" spans="6:7">
      <c r="F3163" s="43"/>
      <c r="G3163" s="61"/>
    </row>
    <row r="3164" spans="6:7">
      <c r="F3164" s="43"/>
      <c r="G3164" s="61"/>
    </row>
    <row r="3165" spans="6:7">
      <c r="F3165" s="43"/>
      <c r="G3165" s="61"/>
    </row>
    <row r="3166" spans="6:7">
      <c r="F3166" s="43"/>
      <c r="G3166" s="61"/>
    </row>
    <row r="3167" spans="6:7">
      <c r="F3167" s="43"/>
      <c r="G3167" s="61"/>
    </row>
    <row r="3168" spans="6:7">
      <c r="F3168" s="43"/>
      <c r="G3168" s="61"/>
    </row>
    <row r="3169" spans="6:7">
      <c r="F3169" s="43"/>
      <c r="G3169" s="61"/>
    </row>
    <row r="3170" spans="6:7">
      <c r="F3170" s="43"/>
      <c r="G3170" s="61"/>
    </row>
    <row r="3171" spans="6:7">
      <c r="F3171" s="43"/>
      <c r="G3171" s="61"/>
    </row>
    <row r="3172" spans="6:7">
      <c r="F3172" s="43"/>
      <c r="G3172" s="61"/>
    </row>
    <row r="3173" spans="6:7">
      <c r="F3173" s="43"/>
      <c r="G3173" s="61"/>
    </row>
    <row r="3174" spans="6:7">
      <c r="F3174" s="43"/>
      <c r="G3174" s="61"/>
    </row>
    <row r="3175" spans="6:7">
      <c r="F3175" s="43"/>
      <c r="G3175" s="61"/>
    </row>
    <row r="3176" spans="6:7">
      <c r="F3176" s="43"/>
      <c r="G3176" s="61"/>
    </row>
    <row r="3177" spans="6:7">
      <c r="F3177" s="43"/>
      <c r="G3177" s="61"/>
    </row>
    <row r="3178" spans="6:7">
      <c r="F3178" s="43"/>
      <c r="G3178" s="61"/>
    </row>
    <row r="3179" spans="6:7">
      <c r="F3179" s="43"/>
      <c r="G3179" s="61"/>
    </row>
    <row r="3180" spans="6:7">
      <c r="F3180" s="43"/>
      <c r="G3180" s="61"/>
    </row>
    <row r="3181" spans="6:7">
      <c r="F3181" s="43"/>
      <c r="G3181" s="61"/>
    </row>
    <row r="3182" spans="6:7">
      <c r="F3182" s="43"/>
      <c r="G3182" s="61"/>
    </row>
    <row r="3183" spans="6:7">
      <c r="F3183" s="43"/>
      <c r="G3183" s="61"/>
    </row>
    <row r="3184" spans="6:7">
      <c r="F3184" s="43"/>
      <c r="G3184" s="61"/>
    </row>
    <row r="3185" spans="6:7">
      <c r="F3185" s="43"/>
      <c r="G3185" s="61"/>
    </row>
    <row r="3186" spans="6:7">
      <c r="F3186" s="43"/>
      <c r="G3186" s="61"/>
    </row>
    <row r="3187" spans="6:7">
      <c r="F3187" s="43"/>
      <c r="G3187" s="61"/>
    </row>
    <row r="3188" spans="6:7">
      <c r="F3188" s="43"/>
      <c r="G3188" s="61"/>
    </row>
    <row r="3189" spans="6:7">
      <c r="F3189" s="43"/>
      <c r="G3189" s="61"/>
    </row>
    <row r="3190" spans="6:7">
      <c r="F3190" s="43"/>
      <c r="G3190" s="61"/>
    </row>
    <row r="3191" spans="6:7">
      <c r="F3191" s="43"/>
      <c r="G3191" s="61"/>
    </row>
    <row r="3192" spans="6:7">
      <c r="F3192" s="43"/>
      <c r="G3192" s="61"/>
    </row>
    <row r="3193" spans="6:7">
      <c r="F3193" s="43"/>
      <c r="G3193" s="61"/>
    </row>
    <row r="3194" spans="6:7">
      <c r="F3194" s="43"/>
      <c r="G3194" s="61"/>
    </row>
    <row r="3195" spans="6:7">
      <c r="F3195" s="43"/>
      <c r="G3195" s="61"/>
    </row>
    <row r="3196" spans="6:7">
      <c r="F3196" s="43"/>
      <c r="G3196" s="61"/>
    </row>
    <row r="3197" spans="6:7">
      <c r="F3197" s="43"/>
      <c r="G3197" s="61"/>
    </row>
    <row r="3198" spans="6:7">
      <c r="F3198" s="43"/>
      <c r="G3198" s="61"/>
    </row>
    <row r="3199" spans="6:7">
      <c r="F3199" s="43"/>
      <c r="G3199" s="61"/>
    </row>
    <row r="3200" spans="6:7">
      <c r="F3200" s="43"/>
      <c r="G3200" s="61"/>
    </row>
    <row r="3201" spans="6:7">
      <c r="F3201" s="43"/>
      <c r="G3201" s="61"/>
    </row>
    <row r="3202" spans="6:7">
      <c r="F3202" s="43"/>
      <c r="G3202" s="61"/>
    </row>
    <row r="3203" spans="6:7">
      <c r="F3203" s="43"/>
      <c r="G3203" s="61"/>
    </row>
    <row r="3204" spans="6:7">
      <c r="F3204" s="43"/>
      <c r="G3204" s="61"/>
    </row>
    <row r="3205" spans="6:7">
      <c r="F3205" s="43"/>
      <c r="G3205" s="61"/>
    </row>
    <row r="3206" spans="6:7">
      <c r="F3206" s="43"/>
      <c r="G3206" s="61"/>
    </row>
    <row r="3207" spans="6:7">
      <c r="F3207" s="43"/>
      <c r="G3207" s="61"/>
    </row>
    <row r="3208" spans="6:7">
      <c r="F3208" s="43"/>
      <c r="G3208" s="61"/>
    </row>
    <row r="3209" spans="6:7">
      <c r="F3209" s="43"/>
      <c r="G3209" s="61"/>
    </row>
    <row r="3210" spans="6:7">
      <c r="F3210" s="43"/>
      <c r="G3210" s="61"/>
    </row>
    <row r="3211" spans="6:7">
      <c r="F3211" s="43"/>
      <c r="G3211" s="61"/>
    </row>
    <row r="3212" spans="6:7">
      <c r="F3212" s="43"/>
      <c r="G3212" s="61"/>
    </row>
    <row r="3213" spans="6:7">
      <c r="F3213" s="43"/>
      <c r="G3213" s="61"/>
    </row>
    <row r="3214" spans="6:7">
      <c r="F3214" s="43"/>
      <c r="G3214" s="61"/>
    </row>
    <row r="3215" spans="6:7">
      <c r="F3215" s="43"/>
      <c r="G3215" s="61"/>
    </row>
    <row r="3216" spans="6:7">
      <c r="F3216" s="43"/>
      <c r="G3216" s="61"/>
    </row>
    <row r="3217" spans="6:7">
      <c r="F3217" s="43"/>
      <c r="G3217" s="61"/>
    </row>
    <row r="3218" spans="6:7">
      <c r="F3218" s="43"/>
      <c r="G3218" s="61"/>
    </row>
    <row r="3219" spans="6:7">
      <c r="F3219" s="43"/>
      <c r="G3219" s="61"/>
    </row>
    <row r="3220" spans="6:7">
      <c r="F3220" s="43"/>
      <c r="G3220" s="61"/>
    </row>
    <row r="3221" spans="6:7">
      <c r="F3221" s="43"/>
      <c r="G3221" s="61"/>
    </row>
    <row r="3222" spans="6:7">
      <c r="F3222" s="43"/>
      <c r="G3222" s="61"/>
    </row>
    <row r="3223" spans="6:7">
      <c r="F3223" s="43"/>
      <c r="G3223" s="61"/>
    </row>
    <row r="3224" spans="6:7">
      <c r="F3224" s="43"/>
      <c r="G3224" s="61"/>
    </row>
    <row r="3225" spans="6:7">
      <c r="F3225" s="43"/>
      <c r="G3225" s="61"/>
    </row>
    <row r="3226" spans="6:7">
      <c r="F3226" s="43"/>
      <c r="G3226" s="61"/>
    </row>
    <row r="3227" spans="6:7">
      <c r="F3227" s="43"/>
      <c r="G3227" s="61"/>
    </row>
    <row r="3228" spans="6:7">
      <c r="F3228" s="43"/>
      <c r="G3228" s="61"/>
    </row>
    <row r="3229" spans="6:7">
      <c r="F3229" s="43"/>
      <c r="G3229" s="61"/>
    </row>
    <row r="3230" spans="6:7">
      <c r="F3230" s="43"/>
      <c r="G3230" s="61"/>
    </row>
    <row r="3231" spans="6:7">
      <c r="F3231" s="43"/>
      <c r="G3231" s="61"/>
    </row>
    <row r="3232" spans="6:7">
      <c r="F3232" s="43"/>
      <c r="G3232" s="61"/>
    </row>
    <row r="3233" spans="6:7">
      <c r="F3233" s="43"/>
      <c r="G3233" s="61"/>
    </row>
    <row r="3234" spans="6:7">
      <c r="F3234" s="43"/>
      <c r="G3234" s="61"/>
    </row>
    <row r="3235" spans="6:7">
      <c r="F3235" s="43"/>
      <c r="G3235" s="61"/>
    </row>
    <row r="3236" spans="6:7">
      <c r="F3236" s="43"/>
      <c r="G3236" s="61"/>
    </row>
    <row r="3237" spans="6:7">
      <c r="F3237" s="43"/>
      <c r="G3237" s="61"/>
    </row>
    <row r="3238" spans="6:7">
      <c r="F3238" s="43"/>
      <c r="G3238" s="61"/>
    </row>
    <row r="3239" spans="6:7">
      <c r="F3239" s="43"/>
      <c r="G3239" s="61"/>
    </row>
    <row r="3240" spans="6:7">
      <c r="F3240" s="43"/>
      <c r="G3240" s="61"/>
    </row>
    <row r="3241" spans="6:7">
      <c r="F3241" s="43"/>
      <c r="G3241" s="61"/>
    </row>
    <row r="3242" spans="6:7">
      <c r="F3242" s="43"/>
      <c r="G3242" s="61"/>
    </row>
    <row r="3243" spans="6:7">
      <c r="F3243" s="43"/>
      <c r="G3243" s="61"/>
    </row>
    <row r="3244" spans="6:7">
      <c r="F3244" s="43"/>
      <c r="G3244" s="61"/>
    </row>
    <row r="3245" spans="6:7">
      <c r="F3245" s="43"/>
      <c r="G3245" s="61"/>
    </row>
    <row r="3246" spans="6:7">
      <c r="F3246" s="43"/>
      <c r="G3246" s="61"/>
    </row>
    <row r="3247" spans="6:7">
      <c r="F3247" s="43"/>
      <c r="G3247" s="61"/>
    </row>
    <row r="3248" spans="6:7">
      <c r="F3248" s="43"/>
      <c r="G3248" s="61"/>
    </row>
    <row r="3249" spans="6:7">
      <c r="F3249" s="43"/>
      <c r="G3249" s="61"/>
    </row>
    <row r="3250" spans="6:7">
      <c r="F3250" s="43"/>
      <c r="G3250" s="61"/>
    </row>
    <row r="3251" spans="6:7">
      <c r="F3251" s="43"/>
      <c r="G3251" s="61"/>
    </row>
    <row r="3252" spans="6:7">
      <c r="F3252" s="43"/>
      <c r="G3252" s="61"/>
    </row>
    <row r="3253" spans="6:7">
      <c r="F3253" s="43"/>
      <c r="G3253" s="61"/>
    </row>
    <row r="3254" spans="6:7">
      <c r="F3254" s="43"/>
      <c r="G3254" s="61"/>
    </row>
    <row r="3255" spans="6:7">
      <c r="F3255" s="43"/>
      <c r="G3255" s="61"/>
    </row>
    <row r="3256" spans="6:7">
      <c r="F3256" s="43"/>
      <c r="G3256" s="61"/>
    </row>
    <row r="3257" spans="6:7">
      <c r="F3257" s="43"/>
      <c r="G3257" s="61"/>
    </row>
    <row r="3258" spans="6:7">
      <c r="F3258" s="43"/>
      <c r="G3258" s="61"/>
    </row>
    <row r="3259" spans="6:7">
      <c r="F3259" s="43"/>
      <c r="G3259" s="61"/>
    </row>
    <row r="3260" spans="6:7">
      <c r="F3260" s="43"/>
      <c r="G3260" s="61"/>
    </row>
    <row r="3261" spans="6:7">
      <c r="F3261" s="43"/>
      <c r="G3261" s="61"/>
    </row>
    <row r="3262" spans="6:7">
      <c r="F3262" s="43"/>
      <c r="G3262" s="61"/>
    </row>
    <row r="3263" spans="6:7">
      <c r="F3263" s="43"/>
      <c r="G3263" s="61"/>
    </row>
    <row r="3264" spans="6:7">
      <c r="F3264" s="43"/>
      <c r="G3264" s="61"/>
    </row>
    <row r="3265" spans="6:7">
      <c r="F3265" s="43"/>
      <c r="G3265" s="61"/>
    </row>
    <row r="3266" spans="6:7">
      <c r="F3266" s="43"/>
      <c r="G3266" s="61"/>
    </row>
    <row r="3267" spans="6:7">
      <c r="F3267" s="43"/>
      <c r="G3267" s="61"/>
    </row>
    <row r="3268" spans="6:7">
      <c r="F3268" s="43"/>
      <c r="G3268" s="61"/>
    </row>
    <row r="3269" spans="6:7">
      <c r="F3269" s="43"/>
      <c r="G3269" s="61"/>
    </row>
    <row r="3270" spans="6:7">
      <c r="F3270" s="43"/>
      <c r="G3270" s="61"/>
    </row>
    <row r="3271" spans="6:7">
      <c r="F3271" s="43"/>
      <c r="G3271" s="61"/>
    </row>
    <row r="3272" spans="6:7">
      <c r="F3272" s="43"/>
      <c r="G3272" s="61"/>
    </row>
    <row r="3273" spans="6:7">
      <c r="F3273" s="43"/>
      <c r="G3273" s="61"/>
    </row>
    <row r="3274" spans="6:7">
      <c r="F3274" s="43"/>
      <c r="G3274" s="61"/>
    </row>
    <row r="3275" spans="6:7">
      <c r="F3275" s="43"/>
      <c r="G3275" s="61"/>
    </row>
    <row r="3276" spans="6:7">
      <c r="F3276" s="43"/>
      <c r="G3276" s="61"/>
    </row>
    <row r="3277" spans="6:7">
      <c r="F3277" s="43"/>
      <c r="G3277" s="61"/>
    </row>
    <row r="3278" spans="6:7">
      <c r="F3278" s="43"/>
      <c r="G3278" s="61"/>
    </row>
    <row r="3279" spans="6:7">
      <c r="F3279" s="43"/>
      <c r="G3279" s="61"/>
    </row>
    <row r="3280" spans="6:7">
      <c r="F3280" s="43"/>
      <c r="G3280" s="61"/>
    </row>
    <row r="3281" spans="6:7">
      <c r="F3281" s="43"/>
      <c r="G3281" s="61"/>
    </row>
    <row r="3282" spans="6:7">
      <c r="F3282" s="43"/>
      <c r="G3282" s="61"/>
    </row>
    <row r="3283" spans="6:7">
      <c r="F3283" s="43"/>
      <c r="G3283" s="61"/>
    </row>
    <row r="3284" spans="6:7">
      <c r="F3284" s="43"/>
      <c r="G3284" s="61"/>
    </row>
    <row r="3285" spans="6:7">
      <c r="F3285" s="43"/>
      <c r="G3285" s="61"/>
    </row>
    <row r="3286" spans="6:7">
      <c r="F3286" s="43"/>
      <c r="G3286" s="61"/>
    </row>
    <row r="3287" spans="6:7">
      <c r="F3287" s="43"/>
      <c r="G3287" s="61"/>
    </row>
    <row r="3288" spans="6:7">
      <c r="F3288" s="43"/>
      <c r="G3288" s="61"/>
    </row>
    <row r="3289" spans="6:7">
      <c r="F3289" s="43"/>
      <c r="G3289" s="61"/>
    </row>
    <row r="3290" spans="6:7">
      <c r="F3290" s="43"/>
      <c r="G3290" s="61"/>
    </row>
    <row r="3291" spans="6:7">
      <c r="F3291" s="43"/>
      <c r="G3291" s="61"/>
    </row>
    <row r="3292" spans="6:7">
      <c r="F3292" s="43"/>
      <c r="G3292" s="61"/>
    </row>
    <row r="3293" spans="6:7">
      <c r="F3293" s="43"/>
      <c r="G3293" s="61"/>
    </row>
    <row r="3294" spans="6:7">
      <c r="F3294" s="43"/>
      <c r="G3294" s="61"/>
    </row>
    <row r="3295" spans="6:7">
      <c r="F3295" s="43"/>
      <c r="G3295" s="61"/>
    </row>
    <row r="3296" spans="6:7">
      <c r="F3296" s="43"/>
      <c r="G3296" s="61"/>
    </row>
    <row r="3297" spans="6:7">
      <c r="F3297" s="43"/>
      <c r="G3297" s="61"/>
    </row>
    <row r="3298" spans="6:7">
      <c r="F3298" s="43"/>
      <c r="G3298" s="61"/>
    </row>
    <row r="3299" spans="6:7">
      <c r="F3299" s="43"/>
      <c r="G3299" s="61"/>
    </row>
    <row r="3300" spans="6:7">
      <c r="F3300" s="43"/>
      <c r="G3300" s="61"/>
    </row>
    <row r="3301" spans="6:7">
      <c r="F3301" s="43"/>
      <c r="G3301" s="61"/>
    </row>
    <row r="3302" spans="6:7">
      <c r="F3302" s="43"/>
      <c r="G3302" s="61"/>
    </row>
    <row r="3303" spans="6:7">
      <c r="F3303" s="43"/>
      <c r="G3303" s="61"/>
    </row>
    <row r="3304" spans="6:7">
      <c r="F3304" s="43"/>
      <c r="G3304" s="61"/>
    </row>
    <row r="3305" spans="6:7">
      <c r="F3305" s="43"/>
      <c r="G3305" s="61"/>
    </row>
    <row r="3306" spans="6:7">
      <c r="F3306" s="43"/>
      <c r="G3306" s="61"/>
    </row>
    <row r="3307" spans="6:7">
      <c r="F3307" s="43"/>
      <c r="G3307" s="61"/>
    </row>
    <row r="3308" spans="6:7">
      <c r="F3308" s="43"/>
      <c r="G3308" s="61"/>
    </row>
    <row r="3309" spans="6:7">
      <c r="F3309" s="43"/>
      <c r="G3309" s="61"/>
    </row>
    <row r="3310" spans="6:7">
      <c r="F3310" s="43"/>
      <c r="G3310" s="61"/>
    </row>
    <row r="3311" spans="6:7">
      <c r="F3311" s="43"/>
      <c r="G3311" s="61"/>
    </row>
    <row r="3312" spans="6:7">
      <c r="F3312" s="43"/>
      <c r="G3312" s="61"/>
    </row>
    <row r="3313" spans="6:7">
      <c r="F3313" s="43"/>
      <c r="G3313" s="61"/>
    </row>
    <row r="3314" spans="6:7">
      <c r="F3314" s="43"/>
      <c r="G3314" s="61"/>
    </row>
    <row r="3315" spans="6:7">
      <c r="F3315" s="43"/>
      <c r="G3315" s="61"/>
    </row>
    <row r="3316" spans="6:7">
      <c r="F3316" s="43"/>
      <c r="G3316" s="61"/>
    </row>
    <row r="3317" spans="6:7">
      <c r="F3317" s="43"/>
      <c r="G3317" s="61"/>
    </row>
    <row r="3318" spans="6:7">
      <c r="F3318" s="43"/>
      <c r="G3318" s="61"/>
    </row>
    <row r="3319" spans="6:7">
      <c r="F3319" s="43"/>
      <c r="G3319" s="61"/>
    </row>
    <row r="3320" spans="6:7">
      <c r="F3320" s="43"/>
      <c r="G3320" s="61"/>
    </row>
    <row r="3321" spans="6:7">
      <c r="F3321" s="43"/>
      <c r="G3321" s="61"/>
    </row>
    <row r="3322" spans="6:7">
      <c r="F3322" s="43"/>
      <c r="G3322" s="61"/>
    </row>
    <row r="3323" spans="6:7">
      <c r="F3323" s="43"/>
      <c r="G3323" s="61"/>
    </row>
    <row r="3324" spans="6:7">
      <c r="F3324" s="43"/>
      <c r="G3324" s="61"/>
    </row>
    <row r="3325" spans="6:7">
      <c r="F3325" s="43"/>
      <c r="G3325" s="61"/>
    </row>
    <row r="3326" spans="6:7">
      <c r="F3326" s="43"/>
      <c r="G3326" s="61"/>
    </row>
    <row r="3327" spans="6:7">
      <c r="F3327" s="43"/>
      <c r="G3327" s="61"/>
    </row>
    <row r="3328" spans="6:7">
      <c r="F3328" s="43"/>
      <c r="G3328" s="61"/>
    </row>
    <row r="3329" spans="6:7">
      <c r="F3329" s="43"/>
      <c r="G3329" s="61"/>
    </row>
    <row r="3330" spans="6:7">
      <c r="F3330" s="43"/>
      <c r="G3330" s="61"/>
    </row>
    <row r="3331" spans="6:7">
      <c r="F3331" s="43"/>
      <c r="G3331" s="61"/>
    </row>
    <row r="3332" spans="6:7">
      <c r="F3332" s="43"/>
      <c r="G3332" s="61"/>
    </row>
    <row r="3333" spans="6:7">
      <c r="F3333" s="43"/>
      <c r="G3333" s="61"/>
    </row>
    <row r="3334" spans="6:7">
      <c r="F3334" s="43"/>
      <c r="G3334" s="61"/>
    </row>
    <row r="3335" spans="6:7">
      <c r="F3335" s="43"/>
      <c r="G3335" s="61"/>
    </row>
    <row r="3336" spans="6:7">
      <c r="F3336" s="43"/>
      <c r="G3336" s="61"/>
    </row>
    <row r="3337" spans="6:7">
      <c r="F3337" s="43"/>
      <c r="G3337" s="61"/>
    </row>
    <row r="3338" spans="6:7">
      <c r="F3338" s="43"/>
      <c r="G3338" s="61"/>
    </row>
    <row r="3339" spans="6:7">
      <c r="F3339" s="43"/>
      <c r="G3339" s="61"/>
    </row>
    <row r="3340" spans="6:7">
      <c r="F3340" s="43"/>
      <c r="G3340" s="61"/>
    </row>
    <row r="3341" spans="6:7">
      <c r="F3341" s="43"/>
      <c r="G3341" s="61"/>
    </row>
    <row r="3342" spans="6:7">
      <c r="F3342" s="43"/>
      <c r="G3342" s="61"/>
    </row>
    <row r="3343" spans="6:7">
      <c r="F3343" s="43"/>
      <c r="G3343" s="61"/>
    </row>
    <row r="3344" spans="6:7">
      <c r="F3344" s="43"/>
      <c r="G3344" s="61"/>
    </row>
    <row r="3345" spans="6:7">
      <c r="F3345" s="43"/>
      <c r="G3345" s="61"/>
    </row>
    <row r="3346" spans="6:7">
      <c r="F3346" s="43"/>
      <c r="G3346" s="61"/>
    </row>
    <row r="3347" spans="6:7">
      <c r="F3347" s="43"/>
      <c r="G3347" s="61"/>
    </row>
    <row r="3348" spans="6:7">
      <c r="F3348" s="43"/>
      <c r="G3348" s="61"/>
    </row>
    <row r="3349" spans="6:7">
      <c r="F3349" s="43"/>
      <c r="G3349" s="61"/>
    </row>
    <row r="3350" spans="6:7">
      <c r="F3350" s="43"/>
      <c r="G3350" s="61"/>
    </row>
    <row r="3351" spans="6:7">
      <c r="F3351" s="43"/>
      <c r="G3351" s="61"/>
    </row>
    <row r="3352" spans="6:7">
      <c r="F3352" s="43"/>
      <c r="G3352" s="61"/>
    </row>
    <row r="3353" spans="6:7">
      <c r="F3353" s="43"/>
      <c r="G3353" s="61"/>
    </row>
    <row r="3354" spans="6:7">
      <c r="F3354" s="43"/>
      <c r="G3354" s="61"/>
    </row>
    <row r="3355" spans="6:7">
      <c r="F3355" s="43"/>
      <c r="G3355" s="61"/>
    </row>
    <row r="3356" spans="6:7">
      <c r="F3356" s="43"/>
      <c r="G3356" s="61"/>
    </row>
    <row r="3357" spans="6:7">
      <c r="F3357" s="43"/>
      <c r="G3357" s="61"/>
    </row>
    <row r="3358" spans="6:7">
      <c r="F3358" s="43"/>
      <c r="G3358" s="61"/>
    </row>
    <row r="3359" spans="6:7">
      <c r="F3359" s="43"/>
      <c r="G3359" s="61"/>
    </row>
    <row r="3360" spans="6:7">
      <c r="F3360" s="43"/>
      <c r="G3360" s="61"/>
    </row>
    <row r="3361" spans="6:7">
      <c r="F3361" s="43"/>
      <c r="G3361" s="61"/>
    </row>
    <row r="3362" spans="6:7">
      <c r="F3362" s="43"/>
      <c r="G3362" s="61"/>
    </row>
    <row r="3363" spans="6:7">
      <c r="F3363" s="43"/>
      <c r="G3363" s="61"/>
    </row>
    <row r="3364" spans="6:7">
      <c r="F3364" s="43"/>
      <c r="G3364" s="61"/>
    </row>
    <row r="3365" spans="6:7">
      <c r="F3365" s="43"/>
      <c r="G3365" s="61"/>
    </row>
    <row r="3366" spans="6:7">
      <c r="F3366" s="43"/>
      <c r="G3366" s="61"/>
    </row>
    <row r="3367" spans="6:7">
      <c r="F3367" s="43"/>
      <c r="G3367" s="61"/>
    </row>
    <row r="3368" spans="6:7">
      <c r="F3368" s="43"/>
      <c r="G3368" s="61"/>
    </row>
    <row r="3369" spans="6:7">
      <c r="F3369" s="43"/>
      <c r="G3369" s="61"/>
    </row>
    <row r="3370" spans="6:7">
      <c r="F3370" s="43"/>
      <c r="G3370" s="61"/>
    </row>
    <row r="3371" spans="6:7">
      <c r="F3371" s="43"/>
      <c r="G3371" s="61"/>
    </row>
    <row r="3372" spans="6:7">
      <c r="F3372" s="43"/>
      <c r="G3372" s="61"/>
    </row>
    <row r="3373" spans="6:7">
      <c r="F3373" s="43"/>
      <c r="G3373" s="61"/>
    </row>
    <row r="3374" spans="6:7">
      <c r="F3374" s="43"/>
      <c r="G3374" s="61"/>
    </row>
    <row r="3375" spans="6:7">
      <c r="F3375" s="43"/>
      <c r="G3375" s="61"/>
    </row>
    <row r="3376" spans="6:7">
      <c r="F3376" s="43"/>
      <c r="G3376" s="61"/>
    </row>
    <row r="3377" spans="6:7">
      <c r="F3377" s="43"/>
      <c r="G3377" s="61"/>
    </row>
    <row r="3378" spans="6:7">
      <c r="F3378" s="43"/>
      <c r="G3378" s="61"/>
    </row>
    <row r="3379" spans="6:7">
      <c r="F3379" s="43"/>
      <c r="G3379" s="61"/>
    </row>
    <row r="3380" spans="6:7">
      <c r="F3380" s="43"/>
      <c r="G3380" s="61"/>
    </row>
    <row r="3381" spans="6:7">
      <c r="F3381" s="43"/>
      <c r="G3381" s="61"/>
    </row>
    <row r="3382" spans="6:7">
      <c r="F3382" s="43"/>
      <c r="G3382" s="61"/>
    </row>
    <row r="3383" spans="6:7">
      <c r="F3383" s="43"/>
      <c r="G3383" s="61"/>
    </row>
    <row r="3384" spans="6:7">
      <c r="F3384" s="43"/>
      <c r="G3384" s="61"/>
    </row>
    <row r="3385" spans="6:7">
      <c r="F3385" s="43"/>
      <c r="G3385" s="61"/>
    </row>
    <row r="3386" spans="6:7">
      <c r="F3386" s="43"/>
      <c r="G3386" s="61"/>
    </row>
    <row r="3387" spans="6:7">
      <c r="F3387" s="43"/>
      <c r="G3387" s="61"/>
    </row>
    <row r="3388" spans="6:7">
      <c r="F3388" s="43"/>
      <c r="G3388" s="61"/>
    </row>
    <row r="3389" spans="6:7">
      <c r="F3389" s="43"/>
      <c r="G3389" s="61"/>
    </row>
    <row r="3390" spans="6:7">
      <c r="F3390" s="43"/>
      <c r="G3390" s="61"/>
    </row>
    <row r="3391" spans="6:7">
      <c r="F3391" s="43"/>
      <c r="G3391" s="61"/>
    </row>
    <row r="3392" spans="6:7">
      <c r="F3392" s="43"/>
      <c r="G3392" s="61"/>
    </row>
    <row r="3393" spans="6:7">
      <c r="F3393" s="43"/>
      <c r="G3393" s="61"/>
    </row>
    <row r="3394" spans="6:7">
      <c r="F3394" s="43"/>
      <c r="G3394" s="61"/>
    </row>
    <row r="3395" spans="6:7">
      <c r="F3395" s="43"/>
      <c r="G3395" s="61"/>
    </row>
    <row r="3396" spans="6:7">
      <c r="F3396" s="43"/>
      <c r="G3396" s="61"/>
    </row>
    <row r="3397" spans="6:7">
      <c r="F3397" s="43"/>
      <c r="G3397" s="61"/>
    </row>
    <row r="3398" spans="6:7">
      <c r="F3398" s="43"/>
      <c r="G3398" s="61"/>
    </row>
    <row r="3399" spans="6:7">
      <c r="F3399" s="43"/>
      <c r="G3399" s="61"/>
    </row>
    <row r="3400" spans="6:7">
      <c r="F3400" s="43"/>
      <c r="G3400" s="61"/>
    </row>
    <row r="3401" spans="6:7">
      <c r="F3401" s="43"/>
      <c r="G3401" s="61"/>
    </row>
    <row r="3402" spans="6:7">
      <c r="F3402" s="43"/>
      <c r="G3402" s="61"/>
    </row>
    <row r="3403" spans="6:7">
      <c r="F3403" s="43"/>
      <c r="G3403" s="61"/>
    </row>
    <row r="3404" spans="6:7">
      <c r="F3404" s="43"/>
      <c r="G3404" s="61"/>
    </row>
    <row r="3405" spans="6:7">
      <c r="F3405" s="43"/>
      <c r="G3405" s="61"/>
    </row>
    <row r="3406" spans="6:7">
      <c r="F3406" s="43"/>
      <c r="G3406" s="61"/>
    </row>
    <row r="3407" spans="6:7">
      <c r="F3407" s="43"/>
      <c r="G3407" s="61"/>
    </row>
    <row r="3408" spans="6:7">
      <c r="F3408" s="43"/>
      <c r="G3408" s="61"/>
    </row>
    <row r="3409" spans="6:7">
      <c r="F3409" s="43"/>
      <c r="G3409" s="61"/>
    </row>
    <row r="3410" spans="6:7">
      <c r="F3410" s="43"/>
      <c r="G3410" s="61"/>
    </row>
    <row r="3411" spans="6:7">
      <c r="F3411" s="43"/>
      <c r="G3411" s="61"/>
    </row>
    <row r="3412" spans="6:7">
      <c r="F3412" s="43"/>
      <c r="G3412" s="61"/>
    </row>
    <row r="3413" spans="6:7">
      <c r="F3413" s="43"/>
      <c r="G3413" s="61"/>
    </row>
    <row r="3414" spans="6:7">
      <c r="F3414" s="43"/>
      <c r="G3414" s="61"/>
    </row>
    <row r="3415" spans="6:7">
      <c r="F3415" s="43"/>
      <c r="G3415" s="61"/>
    </row>
    <row r="3416" spans="6:7">
      <c r="F3416" s="43"/>
      <c r="G3416" s="61"/>
    </row>
    <row r="3417" spans="6:7">
      <c r="F3417" s="43"/>
      <c r="G3417" s="61"/>
    </row>
    <row r="3418" spans="6:7">
      <c r="F3418" s="43"/>
      <c r="G3418" s="61"/>
    </row>
    <row r="3419" spans="6:7">
      <c r="F3419" s="43"/>
      <c r="G3419" s="61"/>
    </row>
    <row r="3420" spans="6:7">
      <c r="F3420" s="43"/>
      <c r="G3420" s="61"/>
    </row>
    <row r="3421" spans="6:7">
      <c r="F3421" s="43"/>
      <c r="G3421" s="61"/>
    </row>
    <row r="3422" spans="6:7">
      <c r="F3422" s="43"/>
      <c r="G3422" s="61"/>
    </row>
    <row r="3423" spans="6:7">
      <c r="F3423" s="43"/>
      <c r="G3423" s="61"/>
    </row>
    <row r="3424" spans="6:7">
      <c r="F3424" s="43"/>
      <c r="G3424" s="61"/>
    </row>
    <row r="3425" spans="6:7">
      <c r="F3425" s="43"/>
      <c r="G3425" s="61"/>
    </row>
    <row r="3426" spans="6:7">
      <c r="F3426" s="43"/>
      <c r="G3426" s="61"/>
    </row>
    <row r="3427" spans="6:7">
      <c r="F3427" s="43"/>
      <c r="G3427" s="61"/>
    </row>
    <row r="3428" spans="6:7">
      <c r="F3428" s="43"/>
      <c r="G3428" s="61"/>
    </row>
    <row r="3429" spans="6:7">
      <c r="F3429" s="43"/>
      <c r="G3429" s="61"/>
    </row>
    <row r="3430" spans="6:7">
      <c r="F3430" s="43"/>
      <c r="G3430" s="61"/>
    </row>
    <row r="3431" spans="6:7">
      <c r="F3431" s="43"/>
      <c r="G3431" s="61"/>
    </row>
    <row r="3432" spans="6:7">
      <c r="F3432" s="43"/>
      <c r="G3432" s="61"/>
    </row>
    <row r="3433" spans="6:7">
      <c r="F3433" s="43"/>
      <c r="G3433" s="61"/>
    </row>
    <row r="3434" spans="6:7">
      <c r="F3434" s="43"/>
      <c r="G3434" s="61"/>
    </row>
    <row r="3435" spans="6:7">
      <c r="F3435" s="43"/>
      <c r="G3435" s="61"/>
    </row>
    <row r="3436" spans="6:7">
      <c r="F3436" s="43"/>
      <c r="G3436" s="61"/>
    </row>
    <row r="3437" spans="6:7">
      <c r="F3437" s="43"/>
      <c r="G3437" s="61"/>
    </row>
    <row r="3438" spans="6:7">
      <c r="F3438" s="43"/>
      <c r="G3438" s="61"/>
    </row>
    <row r="3439" spans="6:7">
      <c r="F3439" s="43"/>
      <c r="G3439" s="61"/>
    </row>
    <row r="3440" spans="6:7">
      <c r="F3440" s="43"/>
      <c r="G3440" s="61"/>
    </row>
    <row r="3441" spans="6:7">
      <c r="F3441" s="43"/>
      <c r="G3441" s="61"/>
    </row>
    <row r="3442" spans="6:7">
      <c r="F3442" s="43"/>
      <c r="G3442" s="61"/>
    </row>
    <row r="3443" spans="6:7">
      <c r="F3443" s="43"/>
      <c r="G3443" s="61"/>
    </row>
    <row r="3444" spans="6:7">
      <c r="F3444" s="43"/>
      <c r="G3444" s="61"/>
    </row>
    <row r="3445" spans="6:7">
      <c r="F3445" s="43"/>
      <c r="G3445" s="61"/>
    </row>
    <row r="3446" spans="6:7">
      <c r="F3446" s="43"/>
      <c r="G3446" s="61"/>
    </row>
    <row r="3447" spans="6:7">
      <c r="F3447" s="43"/>
      <c r="G3447" s="61"/>
    </row>
    <row r="3448" spans="6:7">
      <c r="F3448" s="43"/>
      <c r="G3448" s="61"/>
    </row>
    <row r="3449" spans="6:7">
      <c r="F3449" s="43"/>
      <c r="G3449" s="61"/>
    </row>
    <row r="3450" spans="6:7">
      <c r="F3450" s="43"/>
      <c r="G3450" s="61"/>
    </row>
    <row r="3451" spans="6:7">
      <c r="F3451" s="43"/>
      <c r="G3451" s="61"/>
    </row>
    <row r="3452" spans="6:7">
      <c r="F3452" s="43"/>
      <c r="G3452" s="61"/>
    </row>
    <row r="3453" spans="6:7">
      <c r="F3453" s="43"/>
      <c r="G3453" s="61"/>
    </row>
    <row r="3454" spans="6:7">
      <c r="F3454" s="43"/>
      <c r="G3454" s="61"/>
    </row>
    <row r="3455" spans="6:7">
      <c r="F3455" s="43"/>
      <c r="G3455" s="61"/>
    </row>
    <row r="3456" spans="6:7">
      <c r="F3456" s="43"/>
      <c r="G3456" s="61"/>
    </row>
    <row r="3457" spans="6:7">
      <c r="F3457" s="43"/>
      <c r="G3457" s="61"/>
    </row>
    <row r="3458" spans="6:7">
      <c r="F3458" s="43"/>
      <c r="G3458" s="61"/>
    </row>
    <row r="3459" spans="6:7">
      <c r="F3459" s="43"/>
      <c r="G3459" s="61"/>
    </row>
    <row r="3460" spans="6:7">
      <c r="F3460" s="43"/>
      <c r="G3460" s="61"/>
    </row>
    <row r="3461" spans="6:7">
      <c r="F3461" s="43"/>
      <c r="G3461" s="61"/>
    </row>
    <row r="3462" spans="6:7">
      <c r="F3462" s="43"/>
      <c r="G3462" s="61"/>
    </row>
    <row r="3463" spans="6:7">
      <c r="F3463" s="43"/>
      <c r="G3463" s="61"/>
    </row>
    <row r="3464" spans="6:7">
      <c r="F3464" s="43"/>
      <c r="G3464" s="61"/>
    </row>
    <row r="3465" spans="6:7">
      <c r="F3465" s="43"/>
      <c r="G3465" s="61"/>
    </row>
    <row r="3466" spans="6:7">
      <c r="F3466" s="43"/>
      <c r="G3466" s="61"/>
    </row>
    <row r="3467" spans="6:7">
      <c r="F3467" s="43"/>
      <c r="G3467" s="61"/>
    </row>
    <row r="3468" spans="6:7">
      <c r="F3468" s="43"/>
      <c r="G3468" s="61"/>
    </row>
    <row r="3469" spans="6:7">
      <c r="F3469" s="43"/>
      <c r="G3469" s="61"/>
    </row>
    <row r="3470" spans="6:7">
      <c r="F3470" s="43"/>
      <c r="G3470" s="61"/>
    </row>
    <row r="3471" spans="6:7">
      <c r="F3471" s="43"/>
      <c r="G3471" s="61"/>
    </row>
    <row r="3472" spans="6:7">
      <c r="F3472" s="43"/>
      <c r="G3472" s="61"/>
    </row>
    <row r="3473" spans="6:7">
      <c r="F3473" s="43"/>
      <c r="G3473" s="61"/>
    </row>
    <row r="3474" spans="6:7">
      <c r="F3474" s="43"/>
      <c r="G3474" s="61"/>
    </row>
    <row r="3475" spans="6:7">
      <c r="F3475" s="43"/>
      <c r="G3475" s="61"/>
    </row>
    <row r="3476" spans="6:7">
      <c r="F3476" s="43"/>
      <c r="G3476" s="61"/>
    </row>
    <row r="3477" spans="6:7">
      <c r="F3477" s="43"/>
      <c r="G3477" s="61"/>
    </row>
    <row r="3478" spans="6:7">
      <c r="F3478" s="43"/>
      <c r="G3478" s="61"/>
    </row>
    <row r="3479" spans="6:7">
      <c r="F3479" s="43"/>
      <c r="G3479" s="61"/>
    </row>
    <row r="3480" spans="6:7">
      <c r="F3480" s="43"/>
      <c r="G3480" s="61"/>
    </row>
    <row r="3481" spans="6:7">
      <c r="F3481" s="43"/>
      <c r="G3481" s="61"/>
    </row>
    <row r="3482" spans="6:7">
      <c r="F3482" s="43"/>
      <c r="G3482" s="61"/>
    </row>
    <row r="3483" spans="6:7">
      <c r="F3483" s="43"/>
      <c r="G3483" s="61"/>
    </row>
    <row r="3484" spans="6:7">
      <c r="F3484" s="43"/>
      <c r="G3484" s="61"/>
    </row>
    <row r="3485" spans="6:7">
      <c r="F3485" s="43"/>
      <c r="G3485" s="61"/>
    </row>
    <row r="3486" spans="6:7">
      <c r="F3486" s="43"/>
      <c r="G3486" s="61"/>
    </row>
    <row r="3487" spans="6:7">
      <c r="F3487" s="43"/>
      <c r="G3487" s="61"/>
    </row>
    <row r="3488" spans="6:7">
      <c r="F3488" s="43"/>
      <c r="G3488" s="61"/>
    </row>
    <row r="3489" spans="6:7">
      <c r="F3489" s="43"/>
      <c r="G3489" s="61"/>
    </row>
    <row r="3490" spans="6:7">
      <c r="F3490" s="43"/>
      <c r="G3490" s="61"/>
    </row>
    <row r="3491" spans="6:7">
      <c r="F3491" s="43"/>
      <c r="G3491" s="61"/>
    </row>
    <row r="3492" spans="6:7">
      <c r="F3492" s="43"/>
      <c r="G3492" s="61"/>
    </row>
    <row r="3493" spans="6:7">
      <c r="F3493" s="43"/>
      <c r="G3493" s="61"/>
    </row>
    <row r="3494" spans="6:7">
      <c r="F3494" s="43"/>
      <c r="G3494" s="61"/>
    </row>
    <row r="3495" spans="6:7">
      <c r="F3495" s="43"/>
      <c r="G3495" s="61"/>
    </row>
    <row r="3496" spans="6:7">
      <c r="F3496" s="43"/>
      <c r="G3496" s="61"/>
    </row>
    <row r="3497" spans="6:7">
      <c r="F3497" s="43"/>
      <c r="G3497" s="61"/>
    </row>
    <row r="3498" spans="6:7">
      <c r="F3498" s="43"/>
      <c r="G3498" s="61"/>
    </row>
    <row r="3499" spans="6:7">
      <c r="F3499" s="43"/>
      <c r="G3499" s="61"/>
    </row>
    <row r="3500" spans="6:7">
      <c r="F3500" s="43"/>
      <c r="G3500" s="61"/>
    </row>
    <row r="3501" spans="6:7">
      <c r="F3501" s="43"/>
      <c r="G3501" s="61"/>
    </row>
    <row r="3502" spans="6:7">
      <c r="F3502" s="43"/>
      <c r="G3502" s="61"/>
    </row>
    <row r="3503" spans="6:7">
      <c r="F3503" s="43"/>
      <c r="G3503" s="61"/>
    </row>
    <row r="3504" spans="6:7">
      <c r="F3504" s="43"/>
      <c r="G3504" s="61"/>
    </row>
    <row r="3505" spans="6:7">
      <c r="F3505" s="43"/>
      <c r="G3505" s="61"/>
    </row>
    <row r="3506" spans="6:7">
      <c r="F3506" s="43"/>
      <c r="G3506" s="61"/>
    </row>
    <row r="3507" spans="6:7">
      <c r="F3507" s="43"/>
      <c r="G3507" s="61"/>
    </row>
    <row r="3508" spans="6:7">
      <c r="F3508" s="43"/>
      <c r="G3508" s="61"/>
    </row>
    <row r="3509" spans="6:7">
      <c r="F3509" s="43"/>
      <c r="G3509" s="61"/>
    </row>
    <row r="3510" spans="6:7">
      <c r="F3510" s="43"/>
      <c r="G3510" s="61"/>
    </row>
    <row r="3511" spans="6:7">
      <c r="F3511" s="43"/>
      <c r="G3511" s="61"/>
    </row>
    <row r="3512" spans="6:7">
      <c r="F3512" s="43"/>
      <c r="G3512" s="61"/>
    </row>
    <row r="3513" spans="6:7">
      <c r="F3513" s="43"/>
      <c r="G3513" s="61"/>
    </row>
    <row r="3514" spans="6:7">
      <c r="F3514" s="43"/>
      <c r="G3514" s="61"/>
    </row>
    <row r="3515" spans="6:7">
      <c r="F3515" s="43"/>
      <c r="G3515" s="61"/>
    </row>
    <row r="3516" spans="6:7">
      <c r="F3516" s="43"/>
      <c r="G3516" s="61"/>
    </row>
    <row r="3517" spans="6:7">
      <c r="F3517" s="43"/>
      <c r="G3517" s="61"/>
    </row>
    <row r="3518" spans="6:7">
      <c r="F3518" s="43"/>
      <c r="G3518" s="61"/>
    </row>
    <row r="3519" spans="6:7">
      <c r="F3519" s="43"/>
      <c r="G3519" s="61"/>
    </row>
    <row r="3520" spans="6:7">
      <c r="F3520" s="43"/>
      <c r="G3520" s="61"/>
    </row>
    <row r="3521" spans="6:7">
      <c r="F3521" s="43"/>
      <c r="G3521" s="61"/>
    </row>
    <row r="3522" spans="6:7">
      <c r="F3522" s="43"/>
      <c r="G3522" s="61"/>
    </row>
    <row r="3523" spans="6:7">
      <c r="F3523" s="43"/>
      <c r="G3523" s="61"/>
    </row>
    <row r="3524" spans="6:7">
      <c r="F3524" s="43"/>
      <c r="G3524" s="61"/>
    </row>
    <row r="3525" spans="6:7">
      <c r="F3525" s="43"/>
      <c r="G3525" s="61"/>
    </row>
    <row r="3526" spans="6:7">
      <c r="F3526" s="43"/>
      <c r="G3526" s="61"/>
    </row>
    <row r="3527" spans="6:7">
      <c r="F3527" s="43"/>
      <c r="G3527" s="61"/>
    </row>
    <row r="3528" spans="6:7">
      <c r="F3528" s="43"/>
      <c r="G3528" s="61"/>
    </row>
    <row r="3529" spans="6:7">
      <c r="F3529" s="43"/>
      <c r="G3529" s="61"/>
    </row>
    <row r="3530" spans="6:7">
      <c r="F3530" s="43"/>
      <c r="G3530" s="61"/>
    </row>
    <row r="3531" spans="6:7">
      <c r="F3531" s="43"/>
      <c r="G3531" s="61"/>
    </row>
    <row r="3532" spans="6:7">
      <c r="F3532" s="43"/>
      <c r="G3532" s="61"/>
    </row>
    <row r="3533" spans="6:7">
      <c r="F3533" s="43"/>
      <c r="G3533" s="61"/>
    </row>
    <row r="3534" spans="6:7">
      <c r="F3534" s="43"/>
      <c r="G3534" s="61"/>
    </row>
    <row r="3535" spans="6:7">
      <c r="F3535" s="43"/>
      <c r="G3535" s="61"/>
    </row>
    <row r="3536" spans="6:7">
      <c r="F3536" s="43"/>
      <c r="G3536" s="61"/>
    </row>
    <row r="3537" spans="6:7">
      <c r="F3537" s="43"/>
      <c r="G3537" s="61"/>
    </row>
    <row r="3538" spans="6:7">
      <c r="F3538" s="43"/>
      <c r="G3538" s="61"/>
    </row>
    <row r="3539" spans="6:7">
      <c r="F3539" s="43"/>
      <c r="G3539" s="61"/>
    </row>
    <row r="3540" spans="6:7">
      <c r="F3540" s="43"/>
      <c r="G3540" s="61"/>
    </row>
    <row r="3541" spans="6:7">
      <c r="F3541" s="43"/>
      <c r="G3541" s="61"/>
    </row>
    <row r="3542" spans="6:7">
      <c r="F3542" s="43"/>
      <c r="G3542" s="61"/>
    </row>
    <row r="3543" spans="6:7">
      <c r="F3543" s="43"/>
      <c r="G3543" s="61"/>
    </row>
    <row r="3544" spans="6:7">
      <c r="F3544" s="43"/>
      <c r="G3544" s="61"/>
    </row>
    <row r="3545" spans="6:7">
      <c r="F3545" s="43"/>
      <c r="G3545" s="61"/>
    </row>
    <row r="3546" spans="6:7">
      <c r="F3546" s="43"/>
      <c r="G3546" s="61"/>
    </row>
    <row r="3547" spans="6:7">
      <c r="F3547" s="43"/>
      <c r="G3547" s="61"/>
    </row>
    <row r="3548" spans="6:7">
      <c r="F3548" s="43"/>
      <c r="G3548" s="61"/>
    </row>
    <row r="3549" spans="6:7">
      <c r="F3549" s="43"/>
      <c r="G3549" s="61"/>
    </row>
    <row r="3550" spans="6:7">
      <c r="F3550" s="43"/>
      <c r="G3550" s="61"/>
    </row>
    <row r="3551" spans="6:7">
      <c r="F3551" s="43"/>
      <c r="G3551" s="61"/>
    </row>
    <row r="3552" spans="6:7">
      <c r="F3552" s="43"/>
      <c r="G3552" s="61"/>
    </row>
    <row r="3553" spans="6:7">
      <c r="F3553" s="43"/>
      <c r="G3553" s="61"/>
    </row>
    <row r="3554" spans="6:7">
      <c r="F3554" s="43"/>
      <c r="G3554" s="61"/>
    </row>
    <row r="3555" spans="6:7">
      <c r="F3555" s="43"/>
      <c r="G3555" s="61"/>
    </row>
    <row r="3556" spans="6:7">
      <c r="F3556" s="43"/>
      <c r="G3556" s="61"/>
    </row>
    <row r="3557" spans="6:7">
      <c r="F3557" s="43"/>
      <c r="G3557" s="61"/>
    </row>
    <row r="3558" spans="6:7">
      <c r="F3558" s="43"/>
      <c r="G3558" s="61"/>
    </row>
    <row r="3559" spans="6:7">
      <c r="F3559" s="43"/>
      <c r="G3559" s="61"/>
    </row>
    <row r="3560" spans="6:7">
      <c r="F3560" s="43"/>
      <c r="G3560" s="61"/>
    </row>
    <row r="3561" spans="6:7">
      <c r="F3561" s="43"/>
      <c r="G3561" s="61"/>
    </row>
    <row r="3562" spans="6:7">
      <c r="F3562" s="43"/>
      <c r="G3562" s="61"/>
    </row>
    <row r="3563" spans="6:7">
      <c r="F3563" s="43"/>
      <c r="G3563" s="61"/>
    </row>
    <row r="3564" spans="6:7">
      <c r="F3564" s="43"/>
      <c r="G3564" s="61"/>
    </row>
    <row r="3565" spans="6:7">
      <c r="F3565" s="43"/>
      <c r="G3565" s="61"/>
    </row>
    <row r="3566" spans="6:7">
      <c r="F3566" s="43"/>
      <c r="G3566" s="61"/>
    </row>
    <row r="3567" spans="6:7">
      <c r="F3567" s="43"/>
      <c r="G3567" s="61"/>
    </row>
    <row r="3568" spans="6:7">
      <c r="F3568" s="43"/>
      <c r="G3568" s="61"/>
    </row>
    <row r="3569" spans="6:7">
      <c r="F3569" s="43"/>
      <c r="G3569" s="61"/>
    </row>
    <row r="3570" spans="6:7">
      <c r="F3570" s="43"/>
      <c r="G3570" s="61"/>
    </row>
    <row r="3571" spans="6:7">
      <c r="F3571" s="43"/>
      <c r="G3571" s="61"/>
    </row>
    <row r="3572" spans="6:7">
      <c r="F3572" s="43"/>
      <c r="G3572" s="61"/>
    </row>
    <row r="3573" spans="6:7">
      <c r="F3573" s="43"/>
      <c r="G3573" s="61"/>
    </row>
    <row r="3574" spans="6:7">
      <c r="F3574" s="43"/>
      <c r="G3574" s="61"/>
    </row>
    <row r="3575" spans="6:7">
      <c r="F3575" s="43"/>
      <c r="G3575" s="61"/>
    </row>
    <row r="3576" spans="6:7">
      <c r="F3576" s="43"/>
      <c r="G3576" s="61"/>
    </row>
    <row r="3577" spans="6:7">
      <c r="F3577" s="43"/>
      <c r="G3577" s="61"/>
    </row>
    <row r="3578" spans="6:7">
      <c r="F3578" s="43"/>
      <c r="G3578" s="61"/>
    </row>
    <row r="3579" spans="6:7">
      <c r="F3579" s="43"/>
      <c r="G3579" s="61"/>
    </row>
    <row r="3580" spans="6:7">
      <c r="F3580" s="43"/>
      <c r="G3580" s="61"/>
    </row>
    <row r="3581" spans="6:7">
      <c r="F3581" s="43"/>
      <c r="G3581" s="61"/>
    </row>
    <row r="3582" spans="6:7">
      <c r="F3582" s="43"/>
      <c r="G3582" s="61"/>
    </row>
    <row r="3583" spans="6:7">
      <c r="F3583" s="43"/>
      <c r="G3583" s="61"/>
    </row>
    <row r="3584" spans="6:7">
      <c r="F3584" s="43"/>
      <c r="G3584" s="61"/>
    </row>
    <row r="3585" spans="6:7">
      <c r="F3585" s="43"/>
      <c r="G3585" s="61"/>
    </row>
    <row r="3586" spans="6:7">
      <c r="F3586" s="43"/>
      <c r="G3586" s="61"/>
    </row>
    <row r="3587" spans="6:7">
      <c r="F3587" s="43"/>
      <c r="G3587" s="61"/>
    </row>
    <row r="3588" spans="6:7">
      <c r="F3588" s="43"/>
      <c r="G3588" s="61"/>
    </row>
    <row r="3589" spans="6:7">
      <c r="F3589" s="43"/>
      <c r="G3589" s="61"/>
    </row>
    <row r="3590" spans="6:7">
      <c r="F3590" s="43"/>
      <c r="G3590" s="61"/>
    </row>
    <row r="3591" spans="6:7">
      <c r="F3591" s="43"/>
      <c r="G3591" s="61"/>
    </row>
    <row r="3592" spans="6:7">
      <c r="F3592" s="43"/>
      <c r="G3592" s="61"/>
    </row>
    <row r="3593" spans="6:7">
      <c r="F3593" s="43"/>
      <c r="G3593" s="61"/>
    </row>
    <row r="3594" spans="6:7">
      <c r="F3594" s="43"/>
      <c r="G3594" s="61"/>
    </row>
    <row r="3595" spans="6:7">
      <c r="F3595" s="43"/>
      <c r="G3595" s="61"/>
    </row>
    <row r="3596" spans="6:7">
      <c r="F3596" s="43"/>
      <c r="G3596" s="61"/>
    </row>
    <row r="3597" spans="6:7">
      <c r="F3597" s="43"/>
      <c r="G3597" s="61"/>
    </row>
    <row r="3598" spans="6:7">
      <c r="F3598" s="43"/>
      <c r="G3598" s="61"/>
    </row>
    <row r="3599" spans="6:7">
      <c r="F3599" s="43"/>
      <c r="G3599" s="61"/>
    </row>
    <row r="3600" spans="6:7">
      <c r="F3600" s="43"/>
      <c r="G3600" s="61"/>
    </row>
    <row r="3601" spans="6:7">
      <c r="F3601" s="43"/>
      <c r="G3601" s="61"/>
    </row>
    <row r="3602" spans="6:7">
      <c r="F3602" s="43"/>
      <c r="G3602" s="61"/>
    </row>
    <row r="3603" spans="6:7">
      <c r="F3603" s="43"/>
      <c r="G3603" s="61"/>
    </row>
    <row r="3604" spans="6:7">
      <c r="F3604" s="43"/>
      <c r="G3604" s="61"/>
    </row>
    <row r="3605" spans="6:7">
      <c r="F3605" s="43"/>
      <c r="G3605" s="61"/>
    </row>
    <row r="3606" spans="6:7">
      <c r="F3606" s="43"/>
      <c r="G3606" s="61"/>
    </row>
    <row r="3607" spans="6:7">
      <c r="F3607" s="43"/>
      <c r="G3607" s="61"/>
    </row>
    <row r="3608" spans="6:7">
      <c r="F3608" s="43"/>
      <c r="G3608" s="61"/>
    </row>
    <row r="3609" spans="6:7">
      <c r="F3609" s="43"/>
      <c r="G3609" s="61"/>
    </row>
    <row r="3610" spans="6:7">
      <c r="F3610" s="43"/>
      <c r="G3610" s="61"/>
    </row>
    <row r="3611" spans="6:7">
      <c r="F3611" s="43"/>
      <c r="G3611" s="61"/>
    </row>
    <row r="3612" spans="6:7">
      <c r="F3612" s="43"/>
      <c r="G3612" s="61"/>
    </row>
    <row r="3613" spans="6:7">
      <c r="F3613" s="43"/>
      <c r="G3613" s="61"/>
    </row>
    <row r="3614" spans="6:7">
      <c r="F3614" s="43"/>
      <c r="G3614" s="61"/>
    </row>
    <row r="3615" spans="6:7">
      <c r="F3615" s="43"/>
      <c r="G3615" s="61"/>
    </row>
    <row r="3616" spans="6:7">
      <c r="F3616" s="43"/>
      <c r="G3616" s="61"/>
    </row>
    <row r="3617" spans="6:7">
      <c r="F3617" s="43"/>
      <c r="G3617" s="61"/>
    </row>
    <row r="3618" spans="6:7">
      <c r="F3618" s="43"/>
      <c r="G3618" s="61"/>
    </row>
    <row r="3619" spans="6:7">
      <c r="F3619" s="43"/>
      <c r="G3619" s="61"/>
    </row>
    <row r="3620" spans="6:7">
      <c r="F3620" s="43"/>
      <c r="G3620" s="61"/>
    </row>
    <row r="3621" spans="6:7">
      <c r="F3621" s="43"/>
      <c r="G3621" s="61"/>
    </row>
    <row r="3622" spans="6:7">
      <c r="F3622" s="43"/>
      <c r="G3622" s="61"/>
    </row>
    <row r="3623" spans="6:7">
      <c r="F3623" s="43"/>
      <c r="G3623" s="61"/>
    </row>
    <row r="3624" spans="6:7">
      <c r="F3624" s="43"/>
      <c r="G3624" s="61"/>
    </row>
    <row r="3625" spans="6:7">
      <c r="F3625" s="43"/>
      <c r="G3625" s="61"/>
    </row>
    <row r="3626" spans="6:7">
      <c r="F3626" s="43"/>
      <c r="G3626" s="61"/>
    </row>
    <row r="3627" spans="6:7">
      <c r="F3627" s="43"/>
      <c r="G3627" s="61"/>
    </row>
    <row r="3628" spans="6:7">
      <c r="F3628" s="43"/>
      <c r="G3628" s="61"/>
    </row>
    <row r="3629" spans="6:7">
      <c r="F3629" s="43"/>
      <c r="G3629" s="61"/>
    </row>
    <row r="3630" spans="6:7">
      <c r="F3630" s="43"/>
      <c r="G3630" s="61"/>
    </row>
    <row r="3631" spans="6:7">
      <c r="F3631" s="43"/>
      <c r="G3631" s="61"/>
    </row>
    <row r="3632" spans="6:7">
      <c r="F3632" s="43"/>
      <c r="G3632" s="61"/>
    </row>
    <row r="3633" spans="6:7">
      <c r="F3633" s="43"/>
      <c r="G3633" s="61"/>
    </row>
    <row r="3634" spans="6:7">
      <c r="F3634" s="43"/>
      <c r="G3634" s="61"/>
    </row>
    <row r="3635" spans="6:7">
      <c r="F3635" s="43"/>
      <c r="G3635" s="61"/>
    </row>
    <row r="3636" spans="6:7">
      <c r="F3636" s="43"/>
      <c r="G3636" s="61"/>
    </row>
    <row r="3637" spans="6:7">
      <c r="F3637" s="43"/>
      <c r="G3637" s="61"/>
    </row>
    <row r="3638" spans="6:7">
      <c r="F3638" s="43"/>
      <c r="G3638" s="61"/>
    </row>
    <row r="3639" spans="6:7">
      <c r="F3639" s="43"/>
      <c r="G3639" s="61"/>
    </row>
    <row r="3640" spans="6:7">
      <c r="F3640" s="43"/>
      <c r="G3640" s="61"/>
    </row>
    <row r="3641" spans="6:7">
      <c r="F3641" s="43"/>
      <c r="G3641" s="61"/>
    </row>
    <row r="3642" spans="6:7">
      <c r="F3642" s="43"/>
      <c r="G3642" s="61"/>
    </row>
    <row r="3643" spans="6:7">
      <c r="F3643" s="43"/>
      <c r="G3643" s="61"/>
    </row>
    <row r="3644" spans="6:7">
      <c r="F3644" s="43"/>
      <c r="G3644" s="61"/>
    </row>
    <row r="3645" spans="6:7">
      <c r="F3645" s="43"/>
      <c r="G3645" s="61"/>
    </row>
    <row r="3646" spans="6:7">
      <c r="F3646" s="43"/>
      <c r="G3646" s="61"/>
    </row>
    <row r="3647" spans="6:7">
      <c r="F3647" s="43"/>
      <c r="G3647" s="61"/>
    </row>
    <row r="3648" spans="6:7">
      <c r="F3648" s="43"/>
      <c r="G3648" s="61"/>
    </row>
    <row r="3649" spans="6:7">
      <c r="F3649" s="43"/>
      <c r="G3649" s="61"/>
    </row>
    <row r="3650" spans="6:7">
      <c r="F3650" s="43"/>
      <c r="G3650" s="61"/>
    </row>
    <row r="3651" spans="6:7">
      <c r="F3651" s="43"/>
      <c r="G3651" s="61"/>
    </row>
    <row r="3652" spans="6:7">
      <c r="F3652" s="43"/>
      <c r="G3652" s="61"/>
    </row>
    <row r="3653" spans="6:7">
      <c r="F3653" s="43"/>
      <c r="G3653" s="61"/>
    </row>
    <row r="3654" spans="6:7">
      <c r="F3654" s="43"/>
      <c r="G3654" s="61"/>
    </row>
    <row r="3655" spans="6:7">
      <c r="F3655" s="43"/>
      <c r="G3655" s="61"/>
    </row>
    <row r="3656" spans="6:7">
      <c r="F3656" s="43"/>
      <c r="G3656" s="61"/>
    </row>
    <row r="3657" spans="6:7">
      <c r="F3657" s="43"/>
      <c r="G3657" s="61"/>
    </row>
    <row r="3658" spans="6:7">
      <c r="F3658" s="43"/>
      <c r="G3658" s="61"/>
    </row>
    <row r="3659" spans="6:7">
      <c r="F3659" s="43"/>
      <c r="G3659" s="61"/>
    </row>
    <row r="3660" spans="6:7">
      <c r="F3660" s="43"/>
      <c r="G3660" s="61"/>
    </row>
    <row r="3661" spans="6:7">
      <c r="F3661" s="43"/>
      <c r="G3661" s="61"/>
    </row>
    <row r="3662" spans="6:7">
      <c r="F3662" s="43"/>
      <c r="G3662" s="61"/>
    </row>
    <row r="3663" spans="6:7">
      <c r="F3663" s="43"/>
      <c r="G3663" s="61"/>
    </row>
    <row r="3664" spans="6:7">
      <c r="F3664" s="43"/>
      <c r="G3664" s="61"/>
    </row>
    <row r="3665" spans="6:7">
      <c r="F3665" s="43"/>
      <c r="G3665" s="61"/>
    </row>
    <row r="3666" spans="6:7">
      <c r="F3666" s="43"/>
      <c r="G3666" s="61"/>
    </row>
    <row r="3667" spans="6:7">
      <c r="F3667" s="43"/>
      <c r="G3667" s="61"/>
    </row>
    <row r="3668" spans="6:7">
      <c r="F3668" s="43"/>
      <c r="G3668" s="61"/>
    </row>
    <row r="3669" spans="6:7">
      <c r="F3669" s="43"/>
      <c r="G3669" s="61"/>
    </row>
    <row r="3670" spans="6:7">
      <c r="F3670" s="43"/>
      <c r="G3670" s="61"/>
    </row>
    <row r="3671" spans="6:7">
      <c r="F3671" s="43"/>
      <c r="G3671" s="61"/>
    </row>
    <row r="3672" spans="6:7">
      <c r="F3672" s="43"/>
      <c r="G3672" s="61"/>
    </row>
    <row r="3673" spans="6:7">
      <c r="F3673" s="43"/>
      <c r="G3673" s="61"/>
    </row>
    <row r="3674" spans="6:7">
      <c r="F3674" s="43"/>
      <c r="G3674" s="61"/>
    </row>
    <row r="3675" spans="6:7">
      <c r="F3675" s="43"/>
      <c r="G3675" s="61"/>
    </row>
    <row r="3676" spans="6:7">
      <c r="F3676" s="43"/>
      <c r="G3676" s="61"/>
    </row>
    <row r="3677" spans="6:7">
      <c r="F3677" s="43"/>
      <c r="G3677" s="61"/>
    </row>
    <row r="3678" spans="6:7">
      <c r="F3678" s="43"/>
      <c r="G3678" s="61"/>
    </row>
    <row r="3679" spans="6:7">
      <c r="F3679" s="43"/>
      <c r="G3679" s="61"/>
    </row>
    <row r="3680" spans="6:7">
      <c r="F3680" s="43"/>
      <c r="G3680" s="61"/>
    </row>
    <row r="3681" spans="6:7">
      <c r="F3681" s="43"/>
      <c r="G3681" s="61"/>
    </row>
    <row r="3682" spans="6:7">
      <c r="F3682" s="43"/>
      <c r="G3682" s="61"/>
    </row>
    <row r="3683" spans="6:7">
      <c r="F3683" s="43"/>
      <c r="G3683" s="61"/>
    </row>
    <row r="3684" spans="6:7">
      <c r="F3684" s="43"/>
      <c r="G3684" s="61"/>
    </row>
    <row r="3685" spans="6:7">
      <c r="F3685" s="43"/>
      <c r="G3685" s="61"/>
    </row>
    <row r="3686" spans="6:7">
      <c r="F3686" s="43"/>
      <c r="G3686" s="61"/>
    </row>
    <row r="3687" spans="6:7">
      <c r="F3687" s="43"/>
      <c r="G3687" s="61"/>
    </row>
    <row r="3688" spans="6:7">
      <c r="F3688" s="43"/>
      <c r="G3688" s="61"/>
    </row>
    <row r="3689" spans="6:7">
      <c r="F3689" s="43"/>
      <c r="G3689" s="61"/>
    </row>
    <row r="3690" spans="6:7">
      <c r="F3690" s="43"/>
      <c r="G3690" s="61"/>
    </row>
    <row r="3691" spans="6:7">
      <c r="F3691" s="43"/>
      <c r="G3691" s="61"/>
    </row>
    <row r="3692" spans="6:7">
      <c r="F3692" s="43"/>
      <c r="G3692" s="61"/>
    </row>
    <row r="3693" spans="6:7">
      <c r="F3693" s="43"/>
      <c r="G3693" s="61"/>
    </row>
    <row r="3694" spans="6:7">
      <c r="F3694" s="43"/>
      <c r="G3694" s="61"/>
    </row>
    <row r="3695" spans="6:7">
      <c r="F3695" s="43"/>
      <c r="G3695" s="61"/>
    </row>
    <row r="3696" spans="6:7">
      <c r="F3696" s="43"/>
      <c r="G3696" s="61"/>
    </row>
    <row r="3697" spans="6:7">
      <c r="F3697" s="43"/>
      <c r="G3697" s="61"/>
    </row>
    <row r="3698" spans="6:7">
      <c r="F3698" s="43"/>
      <c r="G3698" s="61"/>
    </row>
    <row r="3699" spans="6:7">
      <c r="F3699" s="43"/>
      <c r="G3699" s="61"/>
    </row>
    <row r="3700" spans="6:7">
      <c r="F3700" s="43"/>
      <c r="G3700" s="61"/>
    </row>
    <row r="3701" spans="6:7">
      <c r="F3701" s="43"/>
      <c r="G3701" s="61"/>
    </row>
    <row r="3702" spans="6:7">
      <c r="F3702" s="43"/>
      <c r="G3702" s="61"/>
    </row>
    <row r="3703" spans="6:7">
      <c r="F3703" s="43"/>
      <c r="G3703" s="61"/>
    </row>
    <row r="3704" spans="6:7">
      <c r="F3704" s="43"/>
      <c r="G3704" s="61"/>
    </row>
    <row r="3705" spans="6:7">
      <c r="F3705" s="43"/>
      <c r="G3705" s="61"/>
    </row>
    <row r="3706" spans="6:7">
      <c r="F3706" s="43"/>
      <c r="G3706" s="61"/>
    </row>
    <row r="3707" spans="6:7">
      <c r="F3707" s="43"/>
      <c r="G3707" s="61"/>
    </row>
    <row r="3708" spans="6:7">
      <c r="F3708" s="43"/>
      <c r="G3708" s="61"/>
    </row>
    <row r="3709" spans="6:7">
      <c r="F3709" s="43"/>
      <c r="G3709" s="61"/>
    </row>
    <row r="3710" spans="6:7">
      <c r="F3710" s="43"/>
      <c r="G3710" s="61"/>
    </row>
    <row r="3711" spans="6:7">
      <c r="F3711" s="43"/>
      <c r="G3711" s="61"/>
    </row>
    <row r="3712" spans="6:7">
      <c r="F3712" s="43"/>
      <c r="G3712" s="61"/>
    </row>
    <row r="3713" spans="6:7">
      <c r="F3713" s="43"/>
      <c r="G3713" s="61"/>
    </row>
    <row r="3714" spans="6:7">
      <c r="F3714" s="43"/>
      <c r="G3714" s="61"/>
    </row>
    <row r="3715" spans="6:7">
      <c r="F3715" s="43"/>
      <c r="G3715" s="61"/>
    </row>
    <row r="3716" spans="6:7">
      <c r="F3716" s="43"/>
      <c r="G3716" s="61"/>
    </row>
    <row r="3717" spans="6:7">
      <c r="F3717" s="43"/>
      <c r="G3717" s="61"/>
    </row>
    <row r="3718" spans="6:7">
      <c r="F3718" s="43"/>
      <c r="G3718" s="61"/>
    </row>
    <row r="3719" spans="6:7">
      <c r="F3719" s="43"/>
      <c r="G3719" s="61"/>
    </row>
    <row r="3720" spans="6:7">
      <c r="F3720" s="43"/>
      <c r="G3720" s="61"/>
    </row>
    <row r="3721" spans="6:7">
      <c r="F3721" s="43"/>
      <c r="G3721" s="61"/>
    </row>
    <row r="3722" spans="6:7">
      <c r="F3722" s="43"/>
      <c r="G3722" s="61"/>
    </row>
    <row r="3723" spans="6:7">
      <c r="F3723" s="43"/>
      <c r="G3723" s="61"/>
    </row>
    <row r="3724" spans="6:7">
      <c r="F3724" s="43"/>
      <c r="G3724" s="61"/>
    </row>
    <row r="3725" spans="6:7">
      <c r="F3725" s="43"/>
      <c r="G3725" s="61"/>
    </row>
    <row r="3726" spans="6:7">
      <c r="F3726" s="43"/>
      <c r="G3726" s="61"/>
    </row>
    <row r="3727" spans="6:7">
      <c r="F3727" s="43"/>
      <c r="G3727" s="61"/>
    </row>
    <row r="3728" spans="6:7">
      <c r="F3728" s="43"/>
      <c r="G3728" s="61"/>
    </row>
    <row r="3729" spans="6:7">
      <c r="F3729" s="43"/>
      <c r="G3729" s="61"/>
    </row>
    <row r="3730" spans="6:7">
      <c r="F3730" s="43"/>
      <c r="G3730" s="61"/>
    </row>
    <row r="3731" spans="6:7">
      <c r="F3731" s="43"/>
      <c r="G3731" s="61"/>
    </row>
    <row r="3732" spans="6:7">
      <c r="F3732" s="43"/>
      <c r="G3732" s="61"/>
    </row>
    <row r="3733" spans="6:7">
      <c r="F3733" s="43"/>
      <c r="G3733" s="61"/>
    </row>
    <row r="3734" spans="6:7">
      <c r="F3734" s="43"/>
      <c r="G3734" s="61"/>
    </row>
    <row r="3735" spans="6:7">
      <c r="F3735" s="43"/>
      <c r="G3735" s="61"/>
    </row>
    <row r="3736" spans="6:7">
      <c r="F3736" s="43"/>
      <c r="G3736" s="61"/>
    </row>
    <row r="3737" spans="6:7">
      <c r="F3737" s="43"/>
      <c r="G3737" s="61"/>
    </row>
    <row r="3738" spans="6:7">
      <c r="F3738" s="43"/>
      <c r="G3738" s="61"/>
    </row>
    <row r="3739" spans="6:7">
      <c r="F3739" s="43"/>
      <c r="G3739" s="61"/>
    </row>
    <row r="3740" spans="6:7">
      <c r="F3740" s="43"/>
      <c r="G3740" s="61"/>
    </row>
    <row r="3741" spans="6:7">
      <c r="F3741" s="43"/>
      <c r="G3741" s="61"/>
    </row>
    <row r="3742" spans="6:7">
      <c r="F3742" s="43"/>
      <c r="G3742" s="61"/>
    </row>
    <row r="3743" spans="6:7">
      <c r="F3743" s="43"/>
      <c r="G3743" s="61"/>
    </row>
    <row r="3744" spans="6:7">
      <c r="F3744" s="43"/>
      <c r="G3744" s="61"/>
    </row>
    <row r="3745" spans="6:7">
      <c r="F3745" s="43"/>
      <c r="G3745" s="61"/>
    </row>
    <row r="3746" spans="6:7">
      <c r="F3746" s="43"/>
      <c r="G3746" s="61"/>
    </row>
    <row r="3747" spans="6:7">
      <c r="F3747" s="43"/>
      <c r="G3747" s="61"/>
    </row>
    <row r="3748" spans="6:7">
      <c r="F3748" s="43"/>
      <c r="G3748" s="61"/>
    </row>
    <row r="3749" spans="6:7">
      <c r="F3749" s="43"/>
      <c r="G3749" s="61"/>
    </row>
    <row r="3750" spans="6:7">
      <c r="F3750" s="43"/>
      <c r="G3750" s="61"/>
    </row>
    <row r="3751" spans="6:7">
      <c r="F3751" s="43"/>
      <c r="G3751" s="61"/>
    </row>
    <row r="3752" spans="6:7">
      <c r="F3752" s="43"/>
      <c r="G3752" s="61"/>
    </row>
    <row r="3753" spans="6:7">
      <c r="F3753" s="43"/>
      <c r="G3753" s="61"/>
    </row>
    <row r="3754" spans="6:7">
      <c r="F3754" s="43"/>
      <c r="G3754" s="61"/>
    </row>
    <row r="3755" spans="6:7">
      <c r="F3755" s="43"/>
      <c r="G3755" s="61"/>
    </row>
    <row r="3756" spans="6:7">
      <c r="F3756" s="43"/>
      <c r="G3756" s="61"/>
    </row>
    <row r="3757" spans="6:7">
      <c r="F3757" s="43"/>
      <c r="G3757" s="61"/>
    </row>
    <row r="3758" spans="6:7">
      <c r="F3758" s="43"/>
      <c r="G3758" s="61"/>
    </row>
    <row r="3759" spans="6:7">
      <c r="F3759" s="43"/>
      <c r="G3759" s="61"/>
    </row>
    <row r="3760" spans="6:7">
      <c r="F3760" s="43"/>
      <c r="G3760" s="61"/>
    </row>
    <row r="3761" spans="6:7">
      <c r="F3761" s="43"/>
      <c r="G3761" s="61"/>
    </row>
    <row r="3762" spans="6:7">
      <c r="F3762" s="43"/>
      <c r="G3762" s="61"/>
    </row>
    <row r="3763" spans="6:7">
      <c r="F3763" s="43"/>
      <c r="G3763" s="61"/>
    </row>
    <row r="3764" spans="6:7">
      <c r="F3764" s="43"/>
      <c r="G3764" s="61"/>
    </row>
    <row r="3765" spans="6:7">
      <c r="F3765" s="43"/>
      <c r="G3765" s="61"/>
    </row>
    <row r="3766" spans="6:7">
      <c r="F3766" s="43"/>
      <c r="G3766" s="61"/>
    </row>
    <row r="3767" spans="6:7">
      <c r="F3767" s="43"/>
      <c r="G3767" s="61"/>
    </row>
    <row r="3768" spans="6:7">
      <c r="F3768" s="43"/>
      <c r="G3768" s="61"/>
    </row>
    <row r="3769" spans="6:7">
      <c r="F3769" s="43"/>
      <c r="G3769" s="61"/>
    </row>
    <row r="3770" spans="6:7">
      <c r="F3770" s="43"/>
      <c r="G3770" s="61"/>
    </row>
    <row r="3771" spans="6:7">
      <c r="F3771" s="43"/>
      <c r="G3771" s="61"/>
    </row>
    <row r="3772" spans="6:7">
      <c r="F3772" s="43"/>
      <c r="G3772" s="61"/>
    </row>
    <row r="3773" spans="6:7">
      <c r="F3773" s="43"/>
      <c r="G3773" s="61"/>
    </row>
    <row r="3774" spans="6:7">
      <c r="F3774" s="43"/>
      <c r="G3774" s="61"/>
    </row>
    <row r="3775" spans="6:7">
      <c r="F3775" s="43"/>
      <c r="G3775" s="61"/>
    </row>
    <row r="3776" spans="6:7">
      <c r="F3776" s="43"/>
      <c r="G3776" s="61"/>
    </row>
    <row r="3777" spans="6:7">
      <c r="F3777" s="43"/>
      <c r="G3777" s="61"/>
    </row>
    <row r="3778" spans="6:7">
      <c r="F3778" s="43"/>
      <c r="G3778" s="61"/>
    </row>
    <row r="3779" spans="6:7">
      <c r="F3779" s="43"/>
      <c r="G3779" s="61"/>
    </row>
    <row r="3780" spans="6:7">
      <c r="F3780" s="43"/>
      <c r="G3780" s="61"/>
    </row>
    <row r="3781" spans="6:7">
      <c r="F3781" s="43"/>
      <c r="G3781" s="61"/>
    </row>
    <row r="3782" spans="6:7">
      <c r="F3782" s="43"/>
      <c r="G3782" s="61"/>
    </row>
    <row r="3783" spans="6:7">
      <c r="F3783" s="43"/>
      <c r="G3783" s="61"/>
    </row>
    <row r="3784" spans="6:7">
      <c r="F3784" s="43"/>
      <c r="G3784" s="61"/>
    </row>
    <row r="3785" spans="6:7">
      <c r="F3785" s="43"/>
      <c r="G3785" s="61"/>
    </row>
    <row r="3786" spans="6:7">
      <c r="F3786" s="43"/>
      <c r="G3786" s="61"/>
    </row>
    <row r="3787" spans="6:7">
      <c r="F3787" s="43"/>
      <c r="G3787" s="61"/>
    </row>
    <row r="3788" spans="6:7">
      <c r="F3788" s="43"/>
      <c r="G3788" s="61"/>
    </row>
    <row r="3789" spans="6:7">
      <c r="F3789" s="43"/>
      <c r="G3789" s="61"/>
    </row>
    <row r="3790" spans="6:7">
      <c r="F3790" s="43"/>
      <c r="G3790" s="61"/>
    </row>
    <row r="3791" spans="6:7">
      <c r="F3791" s="43"/>
      <c r="G3791" s="61"/>
    </row>
    <row r="3792" spans="6:7">
      <c r="F3792" s="43"/>
      <c r="G3792" s="61"/>
    </row>
    <row r="3793" spans="6:7">
      <c r="F3793" s="43"/>
      <c r="G3793" s="61"/>
    </row>
    <row r="3794" spans="6:7">
      <c r="F3794" s="43"/>
      <c r="G3794" s="61"/>
    </row>
    <row r="3795" spans="6:7">
      <c r="F3795" s="43"/>
      <c r="G3795" s="61"/>
    </row>
    <row r="3796" spans="6:7">
      <c r="F3796" s="43"/>
      <c r="G3796" s="61"/>
    </row>
    <row r="3797" spans="6:7">
      <c r="F3797" s="43"/>
      <c r="G3797" s="61"/>
    </row>
    <row r="3798" spans="6:7">
      <c r="F3798" s="43"/>
      <c r="G3798" s="61"/>
    </row>
    <row r="3799" spans="6:7">
      <c r="F3799" s="43"/>
      <c r="G3799" s="61"/>
    </row>
    <row r="3800" spans="6:7">
      <c r="F3800" s="43"/>
      <c r="G3800" s="61"/>
    </row>
    <row r="3801" spans="6:7">
      <c r="F3801" s="43"/>
      <c r="G3801" s="61"/>
    </row>
    <row r="3802" spans="6:7">
      <c r="F3802" s="43"/>
      <c r="G3802" s="61"/>
    </row>
    <row r="3803" spans="6:7">
      <c r="F3803" s="43"/>
      <c r="G3803" s="61"/>
    </row>
    <row r="3804" spans="6:7">
      <c r="F3804" s="43"/>
      <c r="G3804" s="61"/>
    </row>
    <row r="3805" spans="6:7">
      <c r="F3805" s="43"/>
      <c r="G3805" s="61"/>
    </row>
    <row r="3806" spans="6:7">
      <c r="F3806" s="43"/>
      <c r="G3806" s="61"/>
    </row>
    <row r="3807" spans="6:7">
      <c r="F3807" s="43"/>
      <c r="G3807" s="61"/>
    </row>
    <row r="3808" spans="6:7">
      <c r="F3808" s="43"/>
      <c r="G3808" s="61"/>
    </row>
    <row r="3809" spans="6:7">
      <c r="F3809" s="43"/>
      <c r="G3809" s="61"/>
    </row>
    <row r="3810" spans="6:7">
      <c r="F3810" s="43"/>
      <c r="G3810" s="61"/>
    </row>
    <row r="3811" spans="6:7">
      <c r="F3811" s="43"/>
      <c r="G3811" s="61"/>
    </row>
    <row r="3812" spans="6:7">
      <c r="F3812" s="43"/>
      <c r="G3812" s="61"/>
    </row>
    <row r="3813" spans="6:7">
      <c r="F3813" s="43"/>
      <c r="G3813" s="61"/>
    </row>
    <row r="3814" spans="6:7">
      <c r="F3814" s="43"/>
      <c r="G3814" s="61"/>
    </row>
    <row r="3815" spans="6:7">
      <c r="F3815" s="43"/>
      <c r="G3815" s="61"/>
    </row>
    <row r="3816" spans="6:7">
      <c r="F3816" s="43"/>
      <c r="G3816" s="61"/>
    </row>
    <row r="3817" spans="6:7">
      <c r="F3817" s="43"/>
      <c r="G3817" s="61"/>
    </row>
    <row r="3818" spans="6:7">
      <c r="F3818" s="43"/>
      <c r="G3818" s="61"/>
    </row>
    <row r="3819" spans="6:7">
      <c r="F3819" s="43"/>
      <c r="G3819" s="61"/>
    </row>
    <row r="3820" spans="6:7">
      <c r="F3820" s="43"/>
      <c r="G3820" s="61"/>
    </row>
    <row r="3821" spans="6:7">
      <c r="F3821" s="43"/>
      <c r="G3821" s="61"/>
    </row>
    <row r="3822" spans="6:7">
      <c r="F3822" s="43"/>
      <c r="G3822" s="61"/>
    </row>
    <row r="3823" spans="6:7">
      <c r="F3823" s="43"/>
      <c r="G3823" s="61"/>
    </row>
    <row r="3824" spans="6:7">
      <c r="F3824" s="43"/>
      <c r="G3824" s="61"/>
    </row>
    <row r="3825" spans="6:7">
      <c r="F3825" s="43"/>
      <c r="G3825" s="61"/>
    </row>
    <row r="3826" spans="6:7">
      <c r="F3826" s="43"/>
      <c r="G3826" s="61"/>
    </row>
    <row r="3827" spans="6:7">
      <c r="F3827" s="43"/>
      <c r="G3827" s="61"/>
    </row>
    <row r="3828" spans="6:7">
      <c r="F3828" s="43"/>
      <c r="G3828" s="61"/>
    </row>
    <row r="3829" spans="6:7">
      <c r="F3829" s="43"/>
      <c r="G3829" s="61"/>
    </row>
    <row r="3830" spans="6:7">
      <c r="F3830" s="43"/>
      <c r="G3830" s="61"/>
    </row>
    <row r="3831" spans="6:7">
      <c r="F3831" s="43"/>
      <c r="G3831" s="61"/>
    </row>
    <row r="3832" spans="6:7">
      <c r="F3832" s="43"/>
      <c r="G3832" s="61"/>
    </row>
    <row r="3833" spans="6:7">
      <c r="F3833" s="43"/>
      <c r="G3833" s="61"/>
    </row>
    <row r="3834" spans="6:7">
      <c r="F3834" s="43"/>
      <c r="G3834" s="61"/>
    </row>
    <row r="3835" spans="6:7">
      <c r="F3835" s="43"/>
      <c r="G3835" s="61"/>
    </row>
    <row r="3836" spans="6:7">
      <c r="F3836" s="43"/>
      <c r="G3836" s="61"/>
    </row>
    <row r="3837" spans="6:7">
      <c r="F3837" s="43"/>
      <c r="G3837" s="61"/>
    </row>
    <row r="3838" spans="6:7">
      <c r="F3838" s="43"/>
      <c r="G3838" s="61"/>
    </row>
    <row r="3839" spans="6:7">
      <c r="F3839" s="43"/>
      <c r="G3839" s="61"/>
    </row>
    <row r="3840" spans="6:7">
      <c r="F3840" s="43"/>
      <c r="G3840" s="61"/>
    </row>
    <row r="3841" spans="6:7">
      <c r="F3841" s="43"/>
      <c r="G3841" s="61"/>
    </row>
    <row r="3842" spans="6:7">
      <c r="F3842" s="43"/>
      <c r="G3842" s="61"/>
    </row>
    <row r="3843" spans="6:7">
      <c r="F3843" s="43"/>
      <c r="G3843" s="61"/>
    </row>
    <row r="3844" spans="6:7">
      <c r="F3844" s="43"/>
      <c r="G3844" s="61"/>
    </row>
    <row r="3845" spans="6:7">
      <c r="F3845" s="43"/>
      <c r="G3845" s="61"/>
    </row>
    <row r="3846" spans="6:7">
      <c r="F3846" s="43"/>
      <c r="G3846" s="61"/>
    </row>
    <row r="3847" spans="6:7">
      <c r="F3847" s="43"/>
      <c r="G3847" s="61"/>
    </row>
    <row r="3848" spans="6:7">
      <c r="F3848" s="43"/>
      <c r="G3848" s="61"/>
    </row>
    <row r="3849" spans="6:7">
      <c r="F3849" s="43"/>
      <c r="G3849" s="61"/>
    </row>
    <row r="3850" spans="6:7">
      <c r="F3850" s="43"/>
      <c r="G3850" s="61"/>
    </row>
    <row r="3851" spans="6:7">
      <c r="F3851" s="43"/>
      <c r="G3851" s="61"/>
    </row>
    <row r="3852" spans="6:7">
      <c r="F3852" s="43"/>
      <c r="G3852" s="61"/>
    </row>
    <row r="3853" spans="6:7">
      <c r="F3853" s="43"/>
      <c r="G3853" s="61"/>
    </row>
    <row r="3854" spans="6:7">
      <c r="F3854" s="43"/>
      <c r="G3854" s="61"/>
    </row>
    <row r="3855" spans="6:7">
      <c r="F3855" s="43"/>
      <c r="G3855" s="61"/>
    </row>
    <row r="3856" spans="6:7">
      <c r="F3856" s="43"/>
      <c r="G3856" s="61"/>
    </row>
    <row r="3857" spans="6:7">
      <c r="F3857" s="43"/>
      <c r="G3857" s="61"/>
    </row>
    <row r="3858" spans="6:7">
      <c r="F3858" s="43"/>
      <c r="G3858" s="61"/>
    </row>
    <row r="3859" spans="6:7">
      <c r="F3859" s="43"/>
      <c r="G3859" s="61"/>
    </row>
    <row r="3860" spans="6:7">
      <c r="F3860" s="43"/>
      <c r="G3860" s="61"/>
    </row>
    <row r="3861" spans="6:7">
      <c r="F3861" s="43"/>
      <c r="G3861" s="61"/>
    </row>
    <row r="3862" spans="6:7">
      <c r="F3862" s="43"/>
      <c r="G3862" s="61"/>
    </row>
    <row r="3863" spans="6:7">
      <c r="F3863" s="43"/>
      <c r="G3863" s="61"/>
    </row>
    <row r="3864" spans="6:7">
      <c r="F3864" s="43"/>
      <c r="G3864" s="61"/>
    </row>
    <row r="3865" spans="6:7">
      <c r="F3865" s="43"/>
      <c r="G3865" s="61"/>
    </row>
    <row r="3866" spans="6:7">
      <c r="F3866" s="43"/>
      <c r="G3866" s="61"/>
    </row>
    <row r="3867" spans="6:7">
      <c r="F3867" s="43"/>
      <c r="G3867" s="61"/>
    </row>
    <row r="3868" spans="6:7">
      <c r="F3868" s="43"/>
      <c r="G3868" s="61"/>
    </row>
    <row r="3869" spans="6:7">
      <c r="F3869" s="43"/>
      <c r="G3869" s="61"/>
    </row>
    <row r="3870" spans="6:7">
      <c r="F3870" s="43"/>
      <c r="G3870" s="61"/>
    </row>
    <row r="3871" spans="6:7">
      <c r="F3871" s="43"/>
      <c r="G3871" s="61"/>
    </row>
    <row r="3872" spans="6:7">
      <c r="F3872" s="43"/>
      <c r="G3872" s="61"/>
    </row>
    <row r="3873" spans="6:7">
      <c r="F3873" s="43"/>
      <c r="G3873" s="61"/>
    </row>
    <row r="3874" spans="6:7">
      <c r="F3874" s="43"/>
      <c r="G3874" s="61"/>
    </row>
    <row r="3875" spans="6:7">
      <c r="F3875" s="43"/>
      <c r="G3875" s="61"/>
    </row>
    <row r="3876" spans="6:7">
      <c r="F3876" s="43"/>
      <c r="G3876" s="61"/>
    </row>
    <row r="3877" spans="6:7">
      <c r="F3877" s="43"/>
      <c r="G3877" s="61"/>
    </row>
    <row r="3878" spans="6:7">
      <c r="F3878" s="43"/>
      <c r="G3878" s="61"/>
    </row>
    <row r="3879" spans="6:7">
      <c r="F3879" s="43"/>
      <c r="G3879" s="61"/>
    </row>
    <row r="3880" spans="6:7">
      <c r="F3880" s="43"/>
      <c r="G3880" s="61"/>
    </row>
    <row r="3881" spans="6:7">
      <c r="F3881" s="43"/>
      <c r="G3881" s="61"/>
    </row>
    <row r="3882" spans="6:7">
      <c r="F3882" s="43"/>
      <c r="G3882" s="61"/>
    </row>
    <row r="3883" spans="6:7">
      <c r="F3883" s="43"/>
      <c r="G3883" s="61"/>
    </row>
    <row r="3884" spans="6:7">
      <c r="F3884" s="43"/>
      <c r="G3884" s="61"/>
    </row>
    <row r="3885" spans="6:7">
      <c r="F3885" s="43"/>
      <c r="G3885" s="61"/>
    </row>
    <row r="3886" spans="6:7">
      <c r="F3886" s="43"/>
      <c r="G3886" s="61"/>
    </row>
    <row r="3887" spans="6:7">
      <c r="F3887" s="43"/>
      <c r="G3887" s="61"/>
    </row>
    <row r="3888" spans="6:7">
      <c r="F3888" s="43"/>
      <c r="G3888" s="61"/>
    </row>
    <row r="3889" spans="6:7">
      <c r="F3889" s="43"/>
      <c r="G3889" s="61"/>
    </row>
    <row r="3890" spans="6:7">
      <c r="F3890" s="43"/>
      <c r="G3890" s="61"/>
    </row>
    <row r="3891" spans="6:7">
      <c r="F3891" s="43"/>
      <c r="G3891" s="61"/>
    </row>
    <row r="3892" spans="6:7">
      <c r="F3892" s="43"/>
      <c r="G3892" s="61"/>
    </row>
    <row r="3893" spans="6:7">
      <c r="F3893" s="43"/>
      <c r="G3893" s="61"/>
    </row>
    <row r="3894" spans="6:7">
      <c r="F3894" s="43"/>
      <c r="G3894" s="61"/>
    </row>
    <row r="3895" spans="6:7">
      <c r="F3895" s="43"/>
      <c r="G3895" s="61"/>
    </row>
    <row r="3896" spans="6:7">
      <c r="F3896" s="43"/>
      <c r="G3896" s="61"/>
    </row>
    <row r="3897" spans="6:7">
      <c r="F3897" s="43"/>
      <c r="G3897" s="61"/>
    </row>
    <row r="3898" spans="6:7">
      <c r="F3898" s="43"/>
      <c r="G3898" s="61"/>
    </row>
    <row r="3899" spans="6:7">
      <c r="F3899" s="43"/>
      <c r="G3899" s="61"/>
    </row>
    <row r="3900" spans="6:7">
      <c r="F3900" s="43"/>
      <c r="G3900" s="61"/>
    </row>
    <row r="3901" spans="6:7">
      <c r="F3901" s="43"/>
      <c r="G3901" s="61"/>
    </row>
    <row r="3902" spans="6:7">
      <c r="F3902" s="43"/>
      <c r="G3902" s="61"/>
    </row>
    <row r="3903" spans="6:7">
      <c r="F3903" s="43"/>
      <c r="G3903" s="61"/>
    </row>
    <row r="3904" spans="6:7">
      <c r="F3904" s="43"/>
      <c r="G3904" s="61"/>
    </row>
    <row r="3905" spans="6:7">
      <c r="F3905" s="43"/>
      <c r="G3905" s="61"/>
    </row>
    <row r="3906" spans="6:7">
      <c r="F3906" s="43"/>
      <c r="G3906" s="61"/>
    </row>
    <row r="3907" spans="6:7">
      <c r="F3907" s="43"/>
      <c r="G3907" s="61"/>
    </row>
    <row r="3908" spans="6:7">
      <c r="F3908" s="43"/>
      <c r="G3908" s="61"/>
    </row>
    <row r="3909" spans="6:7">
      <c r="F3909" s="43"/>
      <c r="G3909" s="61"/>
    </row>
    <row r="3910" spans="6:7">
      <c r="F3910" s="43"/>
      <c r="G3910" s="61"/>
    </row>
    <row r="3911" spans="6:7">
      <c r="F3911" s="43"/>
      <c r="G3911" s="61"/>
    </row>
    <row r="3912" spans="6:7">
      <c r="F3912" s="43"/>
      <c r="G3912" s="61"/>
    </row>
    <row r="3913" spans="6:7">
      <c r="F3913" s="43"/>
      <c r="G3913" s="61"/>
    </row>
    <row r="3914" spans="6:7">
      <c r="F3914" s="43"/>
      <c r="G3914" s="61"/>
    </row>
    <row r="3915" spans="6:7">
      <c r="F3915" s="43"/>
      <c r="G3915" s="61"/>
    </row>
    <row r="3916" spans="6:7">
      <c r="F3916" s="43"/>
      <c r="G3916" s="61"/>
    </row>
    <row r="3917" spans="6:7">
      <c r="F3917" s="43"/>
      <c r="G3917" s="61"/>
    </row>
    <row r="3918" spans="6:7">
      <c r="F3918" s="43"/>
      <c r="G3918" s="61"/>
    </row>
    <row r="3919" spans="6:7">
      <c r="F3919" s="43"/>
      <c r="G3919" s="61"/>
    </row>
    <row r="3920" spans="6:7">
      <c r="F3920" s="43"/>
      <c r="G3920" s="61"/>
    </row>
    <row r="3921" spans="6:7">
      <c r="F3921" s="43"/>
      <c r="G3921" s="61"/>
    </row>
    <row r="3922" spans="6:7">
      <c r="F3922" s="43"/>
      <c r="G3922" s="61"/>
    </row>
    <row r="3923" spans="6:7">
      <c r="F3923" s="43"/>
      <c r="G3923" s="61"/>
    </row>
    <row r="3924" spans="6:7">
      <c r="F3924" s="43"/>
      <c r="G3924" s="61"/>
    </row>
    <row r="3925" spans="6:7">
      <c r="F3925" s="43"/>
      <c r="G3925" s="61"/>
    </row>
    <row r="3926" spans="6:7">
      <c r="F3926" s="43"/>
      <c r="G3926" s="61"/>
    </row>
    <row r="3927" spans="6:7">
      <c r="F3927" s="43"/>
      <c r="G3927" s="61"/>
    </row>
    <row r="3928" spans="6:7">
      <c r="F3928" s="43"/>
      <c r="G3928" s="61"/>
    </row>
    <row r="3929" spans="6:7">
      <c r="F3929" s="43"/>
      <c r="G3929" s="61"/>
    </row>
    <row r="3930" spans="6:7">
      <c r="F3930" s="43"/>
      <c r="G3930" s="61"/>
    </row>
    <row r="3931" spans="6:7">
      <c r="F3931" s="43"/>
      <c r="G3931" s="61"/>
    </row>
    <row r="3932" spans="6:7">
      <c r="F3932" s="43"/>
      <c r="G3932" s="61"/>
    </row>
    <row r="3933" spans="6:7">
      <c r="F3933" s="43"/>
      <c r="G3933" s="61"/>
    </row>
    <row r="3934" spans="6:7">
      <c r="F3934" s="43"/>
      <c r="G3934" s="61"/>
    </row>
    <row r="3935" spans="6:7">
      <c r="F3935" s="43"/>
      <c r="G3935" s="61"/>
    </row>
    <row r="3936" spans="6:7">
      <c r="F3936" s="43"/>
      <c r="G3936" s="61"/>
    </row>
    <row r="3937" spans="6:7">
      <c r="F3937" s="43"/>
      <c r="G3937" s="61"/>
    </row>
    <row r="3938" spans="6:7">
      <c r="F3938" s="43"/>
      <c r="G3938" s="61"/>
    </row>
    <row r="3939" spans="6:7">
      <c r="F3939" s="43"/>
      <c r="G3939" s="61"/>
    </row>
    <row r="3940" spans="6:7">
      <c r="F3940" s="43"/>
      <c r="G3940" s="61"/>
    </row>
    <row r="3941" spans="6:7">
      <c r="F3941" s="43"/>
      <c r="G3941" s="61"/>
    </row>
    <row r="3942" spans="6:7">
      <c r="F3942" s="43"/>
      <c r="G3942" s="61"/>
    </row>
    <row r="3943" spans="6:7">
      <c r="F3943" s="43"/>
      <c r="G3943" s="61"/>
    </row>
    <row r="3944" spans="6:7">
      <c r="F3944" s="43"/>
      <c r="G3944" s="61"/>
    </row>
    <row r="3945" spans="6:7">
      <c r="F3945" s="43"/>
      <c r="G3945" s="61"/>
    </row>
    <row r="3946" spans="6:7">
      <c r="F3946" s="43"/>
      <c r="G3946" s="61"/>
    </row>
    <row r="3947" spans="6:7">
      <c r="F3947" s="43"/>
      <c r="G3947" s="61"/>
    </row>
    <row r="3948" spans="6:7">
      <c r="F3948" s="43"/>
      <c r="G3948" s="61"/>
    </row>
    <row r="3949" spans="6:7">
      <c r="F3949" s="43"/>
      <c r="G3949" s="61"/>
    </row>
    <row r="3950" spans="6:7">
      <c r="F3950" s="43"/>
      <c r="G3950" s="61"/>
    </row>
    <row r="3951" spans="6:7">
      <c r="F3951" s="43"/>
      <c r="G3951" s="61"/>
    </row>
    <row r="3952" spans="6:7">
      <c r="F3952" s="43"/>
      <c r="G3952" s="61"/>
    </row>
    <row r="3953" spans="6:7">
      <c r="F3953" s="43"/>
      <c r="G3953" s="61"/>
    </row>
    <row r="3954" spans="6:7">
      <c r="F3954" s="43"/>
      <c r="G3954" s="61"/>
    </row>
    <row r="3955" spans="6:7">
      <c r="F3955" s="43"/>
      <c r="G3955" s="61"/>
    </row>
    <row r="3956" spans="6:7">
      <c r="F3956" s="43"/>
      <c r="G3956" s="61"/>
    </row>
    <row r="3957" spans="6:7">
      <c r="F3957" s="43"/>
      <c r="G3957" s="61"/>
    </row>
    <row r="3958" spans="6:7">
      <c r="F3958" s="43"/>
      <c r="G3958" s="61"/>
    </row>
    <row r="3959" spans="6:7">
      <c r="F3959" s="43"/>
      <c r="G3959" s="61"/>
    </row>
    <row r="3960" spans="6:7">
      <c r="F3960" s="43"/>
      <c r="G3960" s="61"/>
    </row>
    <row r="3961" spans="6:7">
      <c r="F3961" s="43"/>
      <c r="G3961" s="61"/>
    </row>
    <row r="3962" spans="6:7">
      <c r="F3962" s="43"/>
      <c r="G3962" s="61"/>
    </row>
    <row r="3963" spans="6:7">
      <c r="F3963" s="43"/>
      <c r="G3963" s="61"/>
    </row>
    <row r="3964" spans="6:7">
      <c r="F3964" s="43"/>
      <c r="G3964" s="61"/>
    </row>
    <row r="3965" spans="6:7">
      <c r="F3965" s="43"/>
      <c r="G3965" s="61"/>
    </row>
    <row r="3966" spans="6:7">
      <c r="F3966" s="43"/>
      <c r="G3966" s="61"/>
    </row>
    <row r="3967" spans="6:7">
      <c r="F3967" s="43"/>
      <c r="G3967" s="61"/>
    </row>
    <row r="3968" spans="6:7">
      <c r="F3968" s="43"/>
      <c r="G3968" s="61"/>
    </row>
    <row r="3969" spans="6:7">
      <c r="F3969" s="43"/>
      <c r="G3969" s="61"/>
    </row>
    <row r="3970" spans="6:7">
      <c r="F3970" s="43"/>
      <c r="G3970" s="61"/>
    </row>
    <row r="3971" spans="6:7">
      <c r="F3971" s="43"/>
      <c r="G3971" s="61"/>
    </row>
    <row r="3972" spans="6:7">
      <c r="F3972" s="43"/>
      <c r="G3972" s="61"/>
    </row>
    <row r="3973" spans="6:7">
      <c r="F3973" s="43"/>
      <c r="G3973" s="61"/>
    </row>
    <row r="3974" spans="6:7">
      <c r="F3974" s="43"/>
      <c r="G3974" s="61"/>
    </row>
    <row r="3975" spans="6:7">
      <c r="F3975" s="43"/>
      <c r="G3975" s="61"/>
    </row>
    <row r="3976" spans="6:7">
      <c r="F3976" s="43"/>
      <c r="G3976" s="61"/>
    </row>
    <row r="3977" spans="6:7">
      <c r="F3977" s="43"/>
      <c r="G3977" s="61"/>
    </row>
    <row r="3978" spans="6:7">
      <c r="F3978" s="43"/>
      <c r="G3978" s="61"/>
    </row>
    <row r="3979" spans="6:7">
      <c r="F3979" s="43"/>
      <c r="G3979" s="61"/>
    </row>
    <row r="3980" spans="6:7">
      <c r="F3980" s="43"/>
      <c r="G3980" s="61"/>
    </row>
    <row r="3981" spans="6:7">
      <c r="F3981" s="43"/>
      <c r="G3981" s="61"/>
    </row>
    <row r="3982" spans="6:7">
      <c r="F3982" s="43"/>
      <c r="G3982" s="61"/>
    </row>
    <row r="3983" spans="6:7">
      <c r="F3983" s="43"/>
      <c r="G3983" s="61"/>
    </row>
    <row r="3984" spans="6:7">
      <c r="F3984" s="43"/>
      <c r="G3984" s="61"/>
    </row>
    <row r="3985" spans="6:7">
      <c r="F3985" s="43"/>
      <c r="G3985" s="61"/>
    </row>
    <row r="3986" spans="6:7">
      <c r="F3986" s="43"/>
      <c r="G3986" s="61"/>
    </row>
    <row r="3987" spans="6:7">
      <c r="F3987" s="43"/>
      <c r="G3987" s="61"/>
    </row>
    <row r="3988" spans="6:7">
      <c r="F3988" s="43"/>
      <c r="G3988" s="61"/>
    </row>
    <row r="3989" spans="6:7">
      <c r="F3989" s="43"/>
      <c r="G3989" s="61"/>
    </row>
    <row r="3990" spans="6:7">
      <c r="F3990" s="43"/>
      <c r="G3990" s="61"/>
    </row>
    <row r="3991" spans="6:7">
      <c r="F3991" s="43"/>
      <c r="G3991" s="61"/>
    </row>
    <row r="3992" spans="6:7">
      <c r="F3992" s="43"/>
      <c r="G3992" s="61"/>
    </row>
    <row r="3993" spans="6:7">
      <c r="F3993" s="43"/>
      <c r="G3993" s="61"/>
    </row>
    <row r="3994" spans="6:7">
      <c r="F3994" s="43"/>
      <c r="G3994" s="61"/>
    </row>
    <row r="3995" spans="6:7">
      <c r="F3995" s="43"/>
      <c r="G3995" s="61"/>
    </row>
    <row r="3996" spans="6:7">
      <c r="F3996" s="43"/>
      <c r="G3996" s="61"/>
    </row>
    <row r="3997" spans="6:7">
      <c r="F3997" s="43"/>
      <c r="G3997" s="61"/>
    </row>
    <row r="3998" spans="6:7">
      <c r="F3998" s="43"/>
      <c r="G3998" s="61"/>
    </row>
    <row r="3999" spans="6:7">
      <c r="F3999" s="43"/>
      <c r="G3999" s="61"/>
    </row>
    <row r="4000" spans="6:7">
      <c r="F4000" s="43"/>
      <c r="G4000" s="61"/>
    </row>
    <row r="4001" spans="6:7">
      <c r="F4001" s="43"/>
      <c r="G4001" s="61"/>
    </row>
    <row r="4002" spans="6:7">
      <c r="F4002" s="43"/>
      <c r="G4002" s="61"/>
    </row>
    <row r="4003" spans="6:7">
      <c r="F4003" s="43"/>
      <c r="G4003" s="61"/>
    </row>
    <row r="4004" spans="6:7">
      <c r="F4004" s="43"/>
      <c r="G4004" s="61"/>
    </row>
    <row r="4005" spans="6:7">
      <c r="F4005" s="43"/>
      <c r="G4005" s="61"/>
    </row>
    <row r="4006" spans="6:7">
      <c r="F4006" s="43"/>
      <c r="G4006" s="61"/>
    </row>
    <row r="4007" spans="6:7">
      <c r="F4007" s="43"/>
      <c r="G4007" s="61"/>
    </row>
    <row r="4008" spans="6:7">
      <c r="F4008" s="43"/>
      <c r="G4008" s="61"/>
    </row>
    <row r="4009" spans="6:7">
      <c r="F4009" s="43"/>
      <c r="G4009" s="61"/>
    </row>
    <row r="4010" spans="6:7">
      <c r="F4010" s="43"/>
      <c r="G4010" s="61"/>
    </row>
    <row r="4011" spans="6:7">
      <c r="F4011" s="43"/>
      <c r="G4011" s="61"/>
    </row>
    <row r="4012" spans="6:7">
      <c r="F4012" s="43"/>
      <c r="G4012" s="61"/>
    </row>
    <row r="4013" spans="6:7">
      <c r="F4013" s="43"/>
      <c r="G4013" s="61"/>
    </row>
    <row r="4014" spans="6:7">
      <c r="F4014" s="43"/>
      <c r="G4014" s="61"/>
    </row>
    <row r="4015" spans="6:7">
      <c r="F4015" s="43"/>
      <c r="G4015" s="61"/>
    </row>
    <row r="4016" spans="6:7">
      <c r="F4016" s="43"/>
      <c r="G4016" s="61"/>
    </row>
    <row r="4017" spans="6:7">
      <c r="F4017" s="43"/>
      <c r="G4017" s="61"/>
    </row>
    <row r="4018" spans="6:7">
      <c r="F4018" s="43"/>
      <c r="G4018" s="61"/>
    </row>
    <row r="4019" spans="6:7">
      <c r="F4019" s="43"/>
      <c r="G4019" s="61"/>
    </row>
    <row r="4020" spans="6:7">
      <c r="F4020" s="43"/>
      <c r="G4020" s="61"/>
    </row>
    <row r="4021" spans="6:7">
      <c r="F4021" s="43"/>
      <c r="G4021" s="61"/>
    </row>
    <row r="4022" spans="6:7">
      <c r="F4022" s="43"/>
      <c r="G4022" s="61"/>
    </row>
    <row r="4023" spans="6:7">
      <c r="F4023" s="43"/>
      <c r="G4023" s="61"/>
    </row>
    <row r="4024" spans="6:7">
      <c r="F4024" s="43"/>
      <c r="G4024" s="61"/>
    </row>
    <row r="4025" spans="6:7">
      <c r="F4025" s="43"/>
      <c r="G4025" s="61"/>
    </row>
    <row r="4026" spans="6:7">
      <c r="F4026" s="43"/>
      <c r="G4026" s="61"/>
    </row>
    <row r="4027" spans="6:7">
      <c r="F4027" s="43"/>
      <c r="G4027" s="61"/>
    </row>
    <row r="4028" spans="6:7">
      <c r="F4028" s="43"/>
      <c r="G4028" s="61"/>
    </row>
    <row r="4029" spans="6:7">
      <c r="F4029" s="43"/>
      <c r="G4029" s="61"/>
    </row>
    <row r="4030" spans="6:7">
      <c r="F4030" s="43"/>
      <c r="G4030" s="61"/>
    </row>
    <row r="4031" spans="6:7">
      <c r="F4031" s="43"/>
      <c r="G4031" s="61"/>
    </row>
    <row r="4032" spans="6:7">
      <c r="F4032" s="43"/>
      <c r="G4032" s="61"/>
    </row>
    <row r="4033" spans="6:7">
      <c r="F4033" s="43"/>
      <c r="G4033" s="61"/>
    </row>
    <row r="4034" spans="6:7">
      <c r="F4034" s="43"/>
      <c r="G4034" s="61"/>
    </row>
    <row r="4035" spans="6:7">
      <c r="F4035" s="43"/>
      <c r="G4035" s="61"/>
    </row>
    <row r="4036" spans="6:7">
      <c r="F4036" s="43"/>
      <c r="G4036" s="61"/>
    </row>
    <row r="4037" spans="6:7">
      <c r="F4037" s="43"/>
      <c r="G4037" s="61"/>
    </row>
    <row r="4038" spans="6:7">
      <c r="F4038" s="43"/>
      <c r="G4038" s="61"/>
    </row>
    <row r="4039" spans="6:7">
      <c r="F4039" s="43"/>
      <c r="G4039" s="61"/>
    </row>
    <row r="4040" spans="6:7">
      <c r="F4040" s="43"/>
      <c r="G4040" s="61"/>
    </row>
    <row r="4041" spans="6:7">
      <c r="F4041" s="43"/>
      <c r="G4041" s="61"/>
    </row>
    <row r="4042" spans="6:7">
      <c r="F4042" s="43"/>
      <c r="G4042" s="61"/>
    </row>
    <row r="4043" spans="6:7">
      <c r="F4043" s="43"/>
      <c r="G4043" s="61"/>
    </row>
    <row r="4044" spans="6:7">
      <c r="F4044" s="43"/>
      <c r="G4044" s="61"/>
    </row>
    <row r="4045" spans="6:7">
      <c r="F4045" s="43"/>
      <c r="G4045" s="61"/>
    </row>
    <row r="4046" spans="6:7">
      <c r="F4046" s="43"/>
      <c r="G4046" s="61"/>
    </row>
    <row r="4047" spans="6:7">
      <c r="F4047" s="43"/>
      <c r="G4047" s="61"/>
    </row>
    <row r="4048" spans="6:7">
      <c r="F4048" s="43"/>
      <c r="G4048" s="61"/>
    </row>
    <row r="4049" spans="6:7">
      <c r="F4049" s="43"/>
      <c r="G4049" s="61"/>
    </row>
    <row r="4050" spans="6:7">
      <c r="F4050" s="43"/>
      <c r="G4050" s="61"/>
    </row>
    <row r="4051" spans="6:7">
      <c r="F4051" s="43"/>
      <c r="G4051" s="61"/>
    </row>
    <row r="4052" spans="6:7">
      <c r="F4052" s="43"/>
      <c r="G4052" s="61"/>
    </row>
    <row r="4053" spans="6:7">
      <c r="F4053" s="43"/>
      <c r="G4053" s="61"/>
    </row>
    <row r="4054" spans="6:7">
      <c r="F4054" s="43"/>
      <c r="G4054" s="61"/>
    </row>
    <row r="4055" spans="6:7">
      <c r="F4055" s="43"/>
      <c r="G4055" s="61"/>
    </row>
    <row r="4056" spans="6:7">
      <c r="F4056" s="43"/>
      <c r="G4056" s="61"/>
    </row>
    <row r="4057" spans="6:7">
      <c r="F4057" s="43"/>
      <c r="G4057" s="61"/>
    </row>
    <row r="4058" spans="6:7">
      <c r="F4058" s="43"/>
      <c r="G4058" s="61"/>
    </row>
    <row r="4059" spans="6:7">
      <c r="F4059" s="43"/>
      <c r="G4059" s="61"/>
    </row>
    <row r="4060" spans="6:7">
      <c r="F4060" s="43"/>
      <c r="G4060" s="61"/>
    </row>
    <row r="4061" spans="6:7">
      <c r="F4061" s="43"/>
      <c r="G4061" s="61"/>
    </row>
    <row r="4062" spans="6:7">
      <c r="F4062" s="43"/>
      <c r="G4062" s="61"/>
    </row>
    <row r="4063" spans="6:7">
      <c r="F4063" s="43"/>
      <c r="G4063" s="61"/>
    </row>
    <row r="4064" spans="6:7">
      <c r="F4064" s="43"/>
      <c r="G4064" s="61"/>
    </row>
    <row r="4065" spans="6:7">
      <c r="F4065" s="43"/>
      <c r="G4065" s="61"/>
    </row>
    <row r="4066" spans="6:7">
      <c r="F4066" s="43"/>
      <c r="G4066" s="61"/>
    </row>
    <row r="4067" spans="6:7">
      <c r="F4067" s="43"/>
      <c r="G4067" s="61"/>
    </row>
    <row r="4068" spans="6:7">
      <c r="F4068" s="43"/>
      <c r="G4068" s="61"/>
    </row>
    <row r="4069" spans="6:7">
      <c r="F4069" s="43"/>
      <c r="G4069" s="61"/>
    </row>
    <row r="4070" spans="6:7">
      <c r="F4070" s="43"/>
      <c r="G4070" s="61"/>
    </row>
    <row r="4071" spans="6:7">
      <c r="F4071" s="43"/>
      <c r="G4071" s="61"/>
    </row>
    <row r="4072" spans="6:7">
      <c r="F4072" s="43"/>
      <c r="G4072" s="61"/>
    </row>
    <row r="4073" spans="6:7">
      <c r="F4073" s="43"/>
      <c r="G4073" s="61"/>
    </row>
    <row r="4074" spans="6:7">
      <c r="F4074" s="43"/>
      <c r="G4074" s="61"/>
    </row>
    <row r="4075" spans="6:7">
      <c r="F4075" s="43"/>
      <c r="G4075" s="61"/>
    </row>
    <row r="4076" spans="6:7">
      <c r="F4076" s="43"/>
      <c r="G4076" s="61"/>
    </row>
    <row r="4077" spans="6:7">
      <c r="F4077" s="43"/>
      <c r="G4077" s="61"/>
    </row>
    <row r="4078" spans="6:7">
      <c r="F4078" s="43"/>
      <c r="G4078" s="61"/>
    </row>
    <row r="4079" spans="6:7">
      <c r="F4079" s="43"/>
      <c r="G4079" s="61"/>
    </row>
    <row r="4080" spans="6:7">
      <c r="F4080" s="43"/>
      <c r="G4080" s="61"/>
    </row>
    <row r="4081" spans="6:7">
      <c r="F4081" s="43"/>
      <c r="G4081" s="61"/>
    </row>
    <row r="4082" spans="6:7">
      <c r="F4082" s="43"/>
      <c r="G4082" s="61"/>
    </row>
    <row r="4083" spans="6:7">
      <c r="F4083" s="43"/>
      <c r="G4083" s="61"/>
    </row>
    <row r="4084" spans="6:7">
      <c r="F4084" s="43"/>
      <c r="G4084" s="61"/>
    </row>
    <row r="4085" spans="6:7">
      <c r="F4085" s="43"/>
      <c r="G4085" s="61"/>
    </row>
    <row r="4086" spans="6:7">
      <c r="F4086" s="43"/>
      <c r="G4086" s="61"/>
    </row>
    <row r="4087" spans="6:7">
      <c r="F4087" s="43"/>
      <c r="G4087" s="61"/>
    </row>
    <row r="4088" spans="6:7">
      <c r="F4088" s="43"/>
      <c r="G4088" s="61"/>
    </row>
    <row r="4089" spans="6:7">
      <c r="F4089" s="43"/>
      <c r="G4089" s="61"/>
    </row>
    <row r="4090" spans="6:7">
      <c r="F4090" s="43"/>
      <c r="G4090" s="61"/>
    </row>
    <row r="4091" spans="6:7">
      <c r="F4091" s="43"/>
      <c r="G4091" s="61"/>
    </row>
    <row r="4092" spans="6:7">
      <c r="F4092" s="43"/>
      <c r="G4092" s="61"/>
    </row>
    <row r="4093" spans="6:7">
      <c r="F4093" s="43"/>
      <c r="G4093" s="61"/>
    </row>
    <row r="4094" spans="6:7">
      <c r="F4094" s="43"/>
      <c r="G4094" s="61"/>
    </row>
    <row r="4095" spans="6:7">
      <c r="F4095" s="43"/>
      <c r="G4095" s="61"/>
    </row>
    <row r="4096" spans="6:7">
      <c r="F4096" s="43"/>
      <c r="G4096" s="61"/>
    </row>
    <row r="4097" spans="6:7">
      <c r="F4097" s="43"/>
      <c r="G4097" s="61"/>
    </row>
    <row r="4098" spans="6:7">
      <c r="F4098" s="43"/>
      <c r="G4098" s="61"/>
    </row>
    <row r="4099" spans="6:7">
      <c r="F4099" s="43"/>
      <c r="G4099" s="61"/>
    </row>
    <row r="4100" spans="6:7">
      <c r="F4100" s="43"/>
      <c r="G4100" s="61"/>
    </row>
    <row r="4101" spans="6:7">
      <c r="F4101" s="43"/>
      <c r="G4101" s="61"/>
    </row>
    <row r="4102" spans="6:7">
      <c r="F4102" s="43"/>
      <c r="G4102" s="61"/>
    </row>
    <row r="4103" spans="6:7">
      <c r="F4103" s="43"/>
      <c r="G4103" s="61"/>
    </row>
    <row r="4104" spans="6:7">
      <c r="F4104" s="43"/>
      <c r="G4104" s="61"/>
    </row>
    <row r="4105" spans="6:7">
      <c r="F4105" s="43"/>
      <c r="G4105" s="61"/>
    </row>
    <row r="4106" spans="6:7">
      <c r="F4106" s="43"/>
      <c r="G4106" s="61"/>
    </row>
    <row r="4107" spans="6:7">
      <c r="F4107" s="43"/>
      <c r="G4107" s="61"/>
    </row>
    <row r="4108" spans="6:7">
      <c r="F4108" s="43"/>
      <c r="G4108" s="61"/>
    </row>
    <row r="4109" spans="6:7">
      <c r="F4109" s="43"/>
      <c r="G4109" s="61"/>
    </row>
    <row r="4110" spans="6:7">
      <c r="F4110" s="43"/>
      <c r="G4110" s="61"/>
    </row>
    <row r="4111" spans="6:7">
      <c r="F4111" s="43"/>
      <c r="G4111" s="61"/>
    </row>
    <row r="4112" spans="6:7">
      <c r="F4112" s="43"/>
      <c r="G4112" s="61"/>
    </row>
    <row r="4113" spans="6:7">
      <c r="F4113" s="43"/>
      <c r="G4113" s="61"/>
    </row>
    <row r="4114" spans="6:7">
      <c r="F4114" s="43"/>
      <c r="G4114" s="61"/>
    </row>
    <row r="4115" spans="6:7">
      <c r="F4115" s="43"/>
      <c r="G4115" s="61"/>
    </row>
    <row r="4116" spans="6:7">
      <c r="F4116" s="43"/>
      <c r="G4116" s="61"/>
    </row>
    <row r="4117" spans="6:7">
      <c r="F4117" s="43"/>
      <c r="G4117" s="61"/>
    </row>
    <row r="4118" spans="6:7">
      <c r="F4118" s="43"/>
      <c r="G4118" s="61"/>
    </row>
    <row r="4119" spans="6:7">
      <c r="F4119" s="43"/>
      <c r="G4119" s="61"/>
    </row>
    <row r="4120" spans="6:7">
      <c r="F4120" s="43"/>
      <c r="G4120" s="61"/>
    </row>
    <row r="4121" spans="6:7">
      <c r="F4121" s="43"/>
      <c r="G4121" s="61"/>
    </row>
    <row r="4122" spans="6:7">
      <c r="F4122" s="43"/>
      <c r="G4122" s="61"/>
    </row>
    <row r="4123" spans="6:7">
      <c r="F4123" s="43"/>
      <c r="G4123" s="61"/>
    </row>
    <row r="4124" spans="6:7">
      <c r="F4124" s="43"/>
      <c r="G4124" s="61"/>
    </row>
    <row r="4125" spans="6:7">
      <c r="F4125" s="43"/>
      <c r="G4125" s="61"/>
    </row>
    <row r="4126" spans="6:7">
      <c r="F4126" s="43"/>
      <c r="G4126" s="61"/>
    </row>
    <row r="4127" spans="6:7">
      <c r="F4127" s="43"/>
      <c r="G4127" s="61"/>
    </row>
    <row r="4128" spans="6:7">
      <c r="F4128" s="43"/>
      <c r="G4128" s="61"/>
    </row>
    <row r="4129" spans="6:7">
      <c r="F4129" s="43"/>
      <c r="G4129" s="61"/>
    </row>
    <row r="4130" spans="6:7">
      <c r="F4130" s="43"/>
      <c r="G4130" s="61"/>
    </row>
    <row r="4131" spans="6:7">
      <c r="F4131" s="43"/>
      <c r="G4131" s="61"/>
    </row>
    <row r="4132" spans="6:7">
      <c r="F4132" s="43"/>
      <c r="G4132" s="61"/>
    </row>
    <row r="4133" spans="6:7">
      <c r="F4133" s="43"/>
      <c r="G4133" s="61"/>
    </row>
    <row r="4134" spans="6:7">
      <c r="F4134" s="43"/>
      <c r="G4134" s="61"/>
    </row>
    <row r="4135" spans="6:7">
      <c r="F4135" s="43"/>
      <c r="G4135" s="61"/>
    </row>
    <row r="4136" spans="6:7">
      <c r="F4136" s="43"/>
      <c r="G4136" s="61"/>
    </row>
    <row r="4137" spans="6:7">
      <c r="F4137" s="43"/>
      <c r="G4137" s="61"/>
    </row>
    <row r="4138" spans="6:7">
      <c r="F4138" s="43"/>
      <c r="G4138" s="61"/>
    </row>
    <row r="4139" spans="6:7">
      <c r="F4139" s="43"/>
      <c r="G4139" s="61"/>
    </row>
    <row r="4140" spans="6:7">
      <c r="F4140" s="43"/>
      <c r="G4140" s="61"/>
    </row>
    <row r="4141" spans="6:7">
      <c r="F4141" s="43"/>
      <c r="G4141" s="61"/>
    </row>
    <row r="4142" spans="6:7">
      <c r="F4142" s="43"/>
      <c r="G4142" s="61"/>
    </row>
    <row r="4143" spans="6:7">
      <c r="F4143" s="43"/>
      <c r="G4143" s="61"/>
    </row>
    <row r="4144" spans="6:7">
      <c r="F4144" s="43"/>
      <c r="G4144" s="61"/>
    </row>
    <row r="4145" spans="6:7">
      <c r="F4145" s="43"/>
      <c r="G4145" s="61"/>
    </row>
    <row r="4146" spans="6:7">
      <c r="F4146" s="43"/>
      <c r="G4146" s="61"/>
    </row>
    <row r="4147" spans="6:7">
      <c r="F4147" s="43"/>
      <c r="G4147" s="61"/>
    </row>
    <row r="4148" spans="6:7">
      <c r="F4148" s="43"/>
      <c r="G4148" s="61"/>
    </row>
    <row r="4149" spans="6:7">
      <c r="F4149" s="43"/>
      <c r="G4149" s="61"/>
    </row>
    <row r="4150" spans="6:7">
      <c r="F4150" s="43"/>
      <c r="G4150" s="61"/>
    </row>
    <row r="4151" spans="6:7">
      <c r="F4151" s="43"/>
      <c r="G4151" s="61"/>
    </row>
    <row r="4152" spans="6:7">
      <c r="F4152" s="43"/>
      <c r="G4152" s="61"/>
    </row>
    <row r="4153" spans="6:7">
      <c r="F4153" s="43"/>
      <c r="G4153" s="61"/>
    </row>
    <row r="4154" spans="6:7">
      <c r="F4154" s="43"/>
      <c r="G4154" s="61"/>
    </row>
    <row r="4155" spans="6:7">
      <c r="F4155" s="43"/>
      <c r="G4155" s="61"/>
    </row>
    <row r="4156" spans="6:7">
      <c r="F4156" s="43"/>
      <c r="G4156" s="61"/>
    </row>
    <row r="4157" spans="6:7">
      <c r="F4157" s="43"/>
      <c r="G4157" s="61"/>
    </row>
    <row r="4158" spans="6:7">
      <c r="F4158" s="43"/>
      <c r="G4158" s="61"/>
    </row>
    <row r="4159" spans="6:7">
      <c r="F4159" s="43"/>
      <c r="G4159" s="61"/>
    </row>
    <row r="4160" spans="6:7">
      <c r="F4160" s="43"/>
      <c r="G4160" s="61"/>
    </row>
    <row r="4161" spans="6:7">
      <c r="F4161" s="43"/>
      <c r="G4161" s="61"/>
    </row>
    <row r="4162" spans="6:7">
      <c r="F4162" s="43"/>
      <c r="G4162" s="61"/>
    </row>
    <row r="4163" spans="6:7">
      <c r="F4163" s="43"/>
      <c r="G4163" s="61"/>
    </row>
    <row r="4164" spans="6:7">
      <c r="F4164" s="43"/>
      <c r="G4164" s="61"/>
    </row>
    <row r="4165" spans="6:7">
      <c r="F4165" s="43"/>
      <c r="G4165" s="61"/>
    </row>
    <row r="4166" spans="6:7">
      <c r="F4166" s="43"/>
      <c r="G4166" s="61"/>
    </row>
    <row r="4167" spans="6:7">
      <c r="F4167" s="43"/>
      <c r="G4167" s="61"/>
    </row>
    <row r="4168" spans="6:7">
      <c r="F4168" s="43"/>
      <c r="G4168" s="61"/>
    </row>
    <row r="4169" spans="6:7">
      <c r="F4169" s="43"/>
      <c r="G4169" s="61"/>
    </row>
    <row r="4170" spans="6:7">
      <c r="F4170" s="43"/>
      <c r="G4170" s="61"/>
    </row>
    <row r="4171" spans="6:7">
      <c r="F4171" s="43"/>
      <c r="G4171" s="61"/>
    </row>
    <row r="4172" spans="6:7">
      <c r="F4172" s="43"/>
      <c r="G4172" s="61"/>
    </row>
    <row r="4173" spans="6:7">
      <c r="F4173" s="43"/>
      <c r="G4173" s="61"/>
    </row>
    <row r="4174" spans="6:7">
      <c r="F4174" s="43"/>
      <c r="G4174" s="61"/>
    </row>
    <row r="4175" spans="6:7">
      <c r="F4175" s="43"/>
      <c r="G4175" s="61"/>
    </row>
    <row r="4176" spans="6:7">
      <c r="F4176" s="43"/>
      <c r="G4176" s="61"/>
    </row>
    <row r="4177" spans="6:7">
      <c r="F4177" s="43"/>
      <c r="G4177" s="61"/>
    </row>
    <row r="4178" spans="6:7">
      <c r="F4178" s="43"/>
      <c r="G4178" s="61"/>
    </row>
    <row r="4179" spans="6:7">
      <c r="F4179" s="43"/>
      <c r="G4179" s="61"/>
    </row>
    <row r="4180" spans="6:7">
      <c r="F4180" s="43"/>
      <c r="G4180" s="61"/>
    </row>
    <row r="4181" spans="6:7">
      <c r="F4181" s="43"/>
      <c r="G4181" s="61"/>
    </row>
    <row r="4182" spans="6:7">
      <c r="F4182" s="43"/>
      <c r="G4182" s="61"/>
    </row>
    <row r="4183" spans="6:7">
      <c r="F4183" s="43"/>
      <c r="G4183" s="61"/>
    </row>
    <row r="4184" spans="6:7">
      <c r="F4184" s="43"/>
      <c r="G4184" s="61"/>
    </row>
    <row r="4185" spans="6:7">
      <c r="F4185" s="43"/>
      <c r="G4185" s="61"/>
    </row>
    <row r="4186" spans="6:7">
      <c r="F4186" s="43"/>
      <c r="G4186" s="61"/>
    </row>
    <row r="4187" spans="6:7">
      <c r="F4187" s="43"/>
      <c r="G4187" s="61"/>
    </row>
    <row r="4188" spans="6:7">
      <c r="F4188" s="43"/>
      <c r="G4188" s="61"/>
    </row>
    <row r="4189" spans="6:7">
      <c r="F4189" s="43"/>
      <c r="G4189" s="61"/>
    </row>
    <row r="4190" spans="6:7">
      <c r="F4190" s="43"/>
      <c r="G4190" s="61"/>
    </row>
    <row r="4191" spans="6:7">
      <c r="F4191" s="43"/>
      <c r="G4191" s="61"/>
    </row>
    <row r="4192" spans="6:7">
      <c r="F4192" s="43"/>
      <c r="G4192" s="61"/>
    </row>
    <row r="4193" spans="6:7">
      <c r="F4193" s="43"/>
      <c r="G4193" s="61"/>
    </row>
    <row r="4194" spans="6:7">
      <c r="F4194" s="43"/>
      <c r="G4194" s="61"/>
    </row>
    <row r="4195" spans="6:7">
      <c r="F4195" s="43"/>
      <c r="G4195" s="61"/>
    </row>
    <row r="4196" spans="6:7">
      <c r="F4196" s="43"/>
      <c r="G4196" s="61"/>
    </row>
    <row r="4197" spans="6:7">
      <c r="F4197" s="43"/>
      <c r="G4197" s="61"/>
    </row>
    <row r="4198" spans="6:7">
      <c r="F4198" s="43"/>
      <c r="G4198" s="61"/>
    </row>
    <row r="4199" spans="6:7">
      <c r="F4199" s="43"/>
      <c r="G4199" s="61"/>
    </row>
    <row r="4200" spans="6:7">
      <c r="F4200" s="43"/>
      <c r="G4200" s="61"/>
    </row>
    <row r="4201" spans="6:7">
      <c r="F4201" s="43"/>
      <c r="G4201" s="61"/>
    </row>
    <row r="4202" spans="6:7">
      <c r="F4202" s="43"/>
      <c r="G4202" s="61"/>
    </row>
    <row r="4203" spans="6:7">
      <c r="F4203" s="43"/>
      <c r="G4203" s="61"/>
    </row>
    <row r="4204" spans="6:7">
      <c r="F4204" s="43"/>
      <c r="G4204" s="61"/>
    </row>
    <row r="4205" spans="6:7">
      <c r="F4205" s="43"/>
      <c r="G4205" s="61"/>
    </row>
    <row r="4206" spans="6:7">
      <c r="F4206" s="43"/>
      <c r="G4206" s="61"/>
    </row>
    <row r="4207" spans="6:7">
      <c r="F4207" s="43"/>
      <c r="G4207" s="61"/>
    </row>
    <row r="4208" spans="6:7">
      <c r="F4208" s="43"/>
      <c r="G4208" s="61"/>
    </row>
    <row r="4209" spans="6:7">
      <c r="F4209" s="43"/>
      <c r="G4209" s="61"/>
    </row>
    <row r="4210" spans="6:7">
      <c r="F4210" s="43"/>
      <c r="G4210" s="61"/>
    </row>
    <row r="4211" spans="6:7">
      <c r="F4211" s="43"/>
      <c r="G4211" s="61"/>
    </row>
    <row r="4212" spans="6:7">
      <c r="F4212" s="43"/>
      <c r="G4212" s="61"/>
    </row>
    <row r="4213" spans="6:7">
      <c r="F4213" s="43"/>
      <c r="G4213" s="61"/>
    </row>
    <row r="4214" spans="6:7">
      <c r="F4214" s="43"/>
      <c r="G4214" s="61"/>
    </row>
    <row r="4215" spans="6:7">
      <c r="F4215" s="43"/>
      <c r="G4215" s="61"/>
    </row>
    <row r="4216" spans="6:7">
      <c r="F4216" s="43"/>
      <c r="G4216" s="61"/>
    </row>
    <row r="4217" spans="6:7">
      <c r="F4217" s="43"/>
      <c r="G4217" s="61"/>
    </row>
    <row r="4218" spans="6:7">
      <c r="F4218" s="43"/>
      <c r="G4218" s="61"/>
    </row>
    <row r="4219" spans="6:7">
      <c r="F4219" s="43"/>
      <c r="G4219" s="61"/>
    </row>
    <row r="4220" spans="6:7">
      <c r="F4220" s="43"/>
      <c r="G4220" s="61"/>
    </row>
    <row r="4221" spans="6:7">
      <c r="F4221" s="43"/>
      <c r="G4221" s="61"/>
    </row>
    <row r="4222" spans="6:7">
      <c r="F4222" s="43"/>
      <c r="G4222" s="61"/>
    </row>
    <row r="4223" spans="6:7">
      <c r="F4223" s="43"/>
      <c r="G4223" s="61"/>
    </row>
    <row r="4224" spans="6:7">
      <c r="F4224" s="43"/>
      <c r="G4224" s="61"/>
    </row>
    <row r="4225" spans="6:7">
      <c r="F4225" s="43"/>
      <c r="G4225" s="61"/>
    </row>
    <row r="4226" spans="6:7">
      <c r="F4226" s="43"/>
      <c r="G4226" s="61"/>
    </row>
    <row r="4227" spans="6:7">
      <c r="F4227" s="43"/>
      <c r="G4227" s="61"/>
    </row>
    <row r="4228" spans="6:7">
      <c r="F4228" s="43"/>
      <c r="G4228" s="61"/>
    </row>
    <row r="4229" spans="6:7">
      <c r="F4229" s="43"/>
      <c r="G4229" s="61"/>
    </row>
    <row r="4230" spans="6:7">
      <c r="F4230" s="43"/>
      <c r="G4230" s="61"/>
    </row>
    <row r="4231" spans="6:7">
      <c r="F4231" s="43"/>
      <c r="G4231" s="61"/>
    </row>
    <row r="4232" spans="6:7">
      <c r="F4232" s="43"/>
      <c r="G4232" s="61"/>
    </row>
    <row r="4233" spans="6:7">
      <c r="F4233" s="43"/>
      <c r="G4233" s="61"/>
    </row>
    <row r="4234" spans="6:7">
      <c r="F4234" s="43"/>
      <c r="G4234" s="61"/>
    </row>
    <row r="4235" spans="6:7">
      <c r="F4235" s="43"/>
      <c r="G4235" s="61"/>
    </row>
    <row r="4236" spans="6:7">
      <c r="F4236" s="43"/>
      <c r="G4236" s="61"/>
    </row>
    <row r="4237" spans="6:7">
      <c r="F4237" s="43"/>
      <c r="G4237" s="61"/>
    </row>
    <row r="4238" spans="6:7">
      <c r="F4238" s="43"/>
      <c r="G4238" s="61"/>
    </row>
    <row r="4239" spans="6:7">
      <c r="F4239" s="43"/>
      <c r="G4239" s="61"/>
    </row>
    <row r="4240" spans="6:7">
      <c r="F4240" s="43"/>
      <c r="G4240" s="61"/>
    </row>
    <row r="4241" spans="6:7">
      <c r="F4241" s="43"/>
      <c r="G4241" s="61"/>
    </row>
    <row r="4242" spans="6:7">
      <c r="F4242" s="43"/>
      <c r="G4242" s="61"/>
    </row>
    <row r="4243" spans="6:7">
      <c r="F4243" s="43"/>
      <c r="G4243" s="61"/>
    </row>
    <row r="4244" spans="6:7">
      <c r="F4244" s="43"/>
      <c r="G4244" s="61"/>
    </row>
    <row r="4245" spans="6:7">
      <c r="F4245" s="43"/>
      <c r="G4245" s="61"/>
    </row>
    <row r="4246" spans="6:7">
      <c r="F4246" s="43"/>
      <c r="G4246" s="61"/>
    </row>
    <row r="4247" spans="6:7">
      <c r="F4247" s="43"/>
      <c r="G4247" s="61"/>
    </row>
    <row r="4248" spans="6:7">
      <c r="F4248" s="43"/>
      <c r="G4248" s="61"/>
    </row>
    <row r="4249" spans="6:7">
      <c r="F4249" s="43"/>
      <c r="G4249" s="61"/>
    </row>
    <row r="4250" spans="6:7">
      <c r="F4250" s="43"/>
      <c r="G4250" s="61"/>
    </row>
    <row r="4251" spans="6:7">
      <c r="F4251" s="43"/>
      <c r="G4251" s="61"/>
    </row>
    <row r="4252" spans="6:7">
      <c r="F4252" s="43"/>
      <c r="G4252" s="61"/>
    </row>
    <row r="4253" spans="6:7">
      <c r="F4253" s="43"/>
      <c r="G4253" s="61"/>
    </row>
    <row r="4254" spans="6:7">
      <c r="F4254" s="43"/>
      <c r="G4254" s="61"/>
    </row>
    <row r="4255" spans="6:7">
      <c r="F4255" s="43"/>
      <c r="G4255" s="61"/>
    </row>
    <row r="4256" spans="6:7">
      <c r="F4256" s="43"/>
      <c r="G4256" s="61"/>
    </row>
    <row r="4257" spans="6:7">
      <c r="F4257" s="43"/>
      <c r="G4257" s="61"/>
    </row>
    <row r="4258" spans="6:7">
      <c r="F4258" s="43"/>
      <c r="G4258" s="61"/>
    </row>
    <row r="4259" spans="6:7">
      <c r="F4259" s="43"/>
      <c r="G4259" s="61"/>
    </row>
    <row r="4260" spans="6:7">
      <c r="F4260" s="43"/>
      <c r="G4260" s="61"/>
    </row>
    <row r="4261" spans="6:7">
      <c r="F4261" s="43"/>
      <c r="G4261" s="61"/>
    </row>
    <row r="4262" spans="6:7">
      <c r="F4262" s="43"/>
      <c r="G4262" s="61"/>
    </row>
    <row r="4263" spans="6:7">
      <c r="F4263" s="43"/>
      <c r="G4263" s="61"/>
    </row>
    <row r="4264" spans="6:7">
      <c r="F4264" s="43"/>
      <c r="G4264" s="61"/>
    </row>
    <row r="4265" spans="6:7">
      <c r="F4265" s="43"/>
      <c r="G4265" s="61"/>
    </row>
    <row r="4266" spans="6:7">
      <c r="F4266" s="43"/>
      <c r="G4266" s="61"/>
    </row>
    <row r="4267" spans="6:7">
      <c r="F4267" s="43"/>
      <c r="G4267" s="61"/>
    </row>
    <row r="4268" spans="6:7">
      <c r="F4268" s="43"/>
      <c r="G4268" s="61"/>
    </row>
    <row r="4269" spans="6:7">
      <c r="F4269" s="43"/>
      <c r="G4269" s="61"/>
    </row>
    <row r="4270" spans="6:7">
      <c r="F4270" s="43"/>
      <c r="G4270" s="61"/>
    </row>
    <row r="4271" spans="6:7">
      <c r="F4271" s="43"/>
      <c r="G4271" s="61"/>
    </row>
    <row r="4272" spans="6:7">
      <c r="F4272" s="43"/>
      <c r="G4272" s="61"/>
    </row>
    <row r="4273" spans="6:7">
      <c r="F4273" s="43"/>
      <c r="G4273" s="61"/>
    </row>
    <row r="4274" spans="6:7">
      <c r="F4274" s="43"/>
      <c r="G4274" s="61"/>
    </row>
    <row r="4275" spans="6:7">
      <c r="F4275" s="43"/>
      <c r="G4275" s="61"/>
    </row>
    <row r="4276" spans="6:7">
      <c r="F4276" s="43"/>
      <c r="G4276" s="61"/>
    </row>
    <row r="4277" spans="6:7">
      <c r="F4277" s="43"/>
      <c r="G4277" s="61"/>
    </row>
    <row r="4278" spans="6:7">
      <c r="F4278" s="43"/>
      <c r="G4278" s="61"/>
    </row>
    <row r="4279" spans="6:7">
      <c r="F4279" s="43"/>
      <c r="G4279" s="61"/>
    </row>
    <row r="4280" spans="6:7">
      <c r="F4280" s="43"/>
      <c r="G4280" s="61"/>
    </row>
    <row r="4281" spans="6:7">
      <c r="F4281" s="43"/>
      <c r="G4281" s="61"/>
    </row>
    <row r="4282" spans="6:7">
      <c r="F4282" s="43"/>
      <c r="G4282" s="61"/>
    </row>
    <row r="4283" spans="6:7">
      <c r="F4283" s="43"/>
      <c r="G4283" s="61"/>
    </row>
    <row r="4284" spans="6:7">
      <c r="F4284" s="43"/>
      <c r="G4284" s="61"/>
    </row>
    <row r="4285" spans="6:7">
      <c r="F4285" s="43"/>
      <c r="G4285" s="61"/>
    </row>
    <row r="4286" spans="6:7">
      <c r="F4286" s="43"/>
      <c r="G4286" s="61"/>
    </row>
    <row r="4287" spans="6:7">
      <c r="F4287" s="43"/>
      <c r="G4287" s="61"/>
    </row>
    <row r="4288" spans="6:7">
      <c r="F4288" s="43"/>
      <c r="G4288" s="61"/>
    </row>
    <row r="4289" spans="6:7">
      <c r="F4289" s="43"/>
      <c r="G4289" s="61"/>
    </row>
    <row r="4290" spans="6:7">
      <c r="F4290" s="43"/>
      <c r="G4290" s="61"/>
    </row>
    <row r="4291" spans="6:7">
      <c r="F4291" s="43"/>
      <c r="G4291" s="61"/>
    </row>
    <row r="4292" spans="6:7">
      <c r="F4292" s="43"/>
      <c r="G4292" s="61"/>
    </row>
    <row r="4293" spans="6:7">
      <c r="F4293" s="43"/>
      <c r="G4293" s="61"/>
    </row>
    <row r="4294" spans="6:7">
      <c r="F4294" s="43"/>
      <c r="G4294" s="61"/>
    </row>
    <row r="4295" spans="6:7">
      <c r="F4295" s="43"/>
      <c r="G4295" s="61"/>
    </row>
    <row r="4296" spans="6:7">
      <c r="F4296" s="43"/>
      <c r="G4296" s="61"/>
    </row>
    <row r="4297" spans="6:7">
      <c r="F4297" s="43"/>
      <c r="G4297" s="61"/>
    </row>
    <row r="4298" spans="6:7">
      <c r="F4298" s="43"/>
      <c r="G4298" s="61"/>
    </row>
    <row r="4299" spans="6:7">
      <c r="F4299" s="43"/>
      <c r="G4299" s="61"/>
    </row>
    <row r="4300" spans="6:7">
      <c r="F4300" s="43"/>
      <c r="G4300" s="61"/>
    </row>
    <row r="4301" spans="6:7">
      <c r="F4301" s="43"/>
      <c r="G4301" s="61"/>
    </row>
    <row r="4302" spans="6:7">
      <c r="F4302" s="43"/>
      <c r="G4302" s="61"/>
    </row>
    <row r="4303" spans="6:7">
      <c r="F4303" s="43"/>
      <c r="G4303" s="61"/>
    </row>
    <row r="4304" spans="6:7">
      <c r="F4304" s="43"/>
      <c r="G4304" s="61"/>
    </row>
    <row r="4305" spans="6:7">
      <c r="F4305" s="43"/>
      <c r="G4305" s="61"/>
    </row>
    <row r="4306" spans="6:7">
      <c r="F4306" s="43"/>
      <c r="G4306" s="61"/>
    </row>
    <row r="4307" spans="6:7">
      <c r="F4307" s="43"/>
      <c r="G4307" s="61"/>
    </row>
    <row r="4308" spans="6:7">
      <c r="F4308" s="43"/>
      <c r="G4308" s="61"/>
    </row>
    <row r="4309" spans="6:7">
      <c r="F4309" s="43"/>
      <c r="G4309" s="61"/>
    </row>
    <row r="4310" spans="6:7">
      <c r="F4310" s="43"/>
      <c r="G4310" s="61"/>
    </row>
    <row r="4311" spans="6:7">
      <c r="F4311" s="43"/>
      <c r="G4311" s="61"/>
    </row>
    <row r="4312" spans="6:7">
      <c r="F4312" s="43"/>
      <c r="G4312" s="61"/>
    </row>
    <row r="4313" spans="6:7">
      <c r="F4313" s="43"/>
      <c r="G4313" s="61"/>
    </row>
    <row r="4314" spans="6:7">
      <c r="F4314" s="43"/>
      <c r="G4314" s="61"/>
    </row>
    <row r="4315" spans="6:7">
      <c r="F4315" s="43"/>
      <c r="G4315" s="61"/>
    </row>
    <row r="4316" spans="6:7">
      <c r="F4316" s="43"/>
      <c r="G4316" s="61"/>
    </row>
    <row r="4317" spans="6:7">
      <c r="F4317" s="43"/>
      <c r="G4317" s="61"/>
    </row>
    <row r="4318" spans="6:7">
      <c r="F4318" s="43"/>
      <c r="G4318" s="61"/>
    </row>
    <row r="4319" spans="6:7">
      <c r="F4319" s="43"/>
      <c r="G4319" s="61"/>
    </row>
    <row r="4320" spans="6:7">
      <c r="F4320" s="43"/>
      <c r="G4320" s="61"/>
    </row>
    <row r="4321" spans="6:7">
      <c r="F4321" s="43"/>
      <c r="G4321" s="61"/>
    </row>
    <row r="4322" spans="6:7">
      <c r="F4322" s="43"/>
      <c r="G4322" s="61"/>
    </row>
    <row r="4323" spans="6:7">
      <c r="F4323" s="43"/>
      <c r="G4323" s="61"/>
    </row>
    <row r="4324" spans="6:7">
      <c r="F4324" s="43"/>
      <c r="G4324" s="61"/>
    </row>
    <row r="4325" spans="6:7">
      <c r="F4325" s="43"/>
      <c r="G4325" s="61"/>
    </row>
    <row r="4326" spans="6:7">
      <c r="F4326" s="43"/>
      <c r="G4326" s="61"/>
    </row>
    <row r="4327" spans="6:7">
      <c r="F4327" s="43"/>
      <c r="G4327" s="61"/>
    </row>
    <row r="4328" spans="6:7">
      <c r="F4328" s="43"/>
      <c r="G4328" s="61"/>
    </row>
    <row r="4329" spans="6:7">
      <c r="F4329" s="43"/>
      <c r="G4329" s="61"/>
    </row>
    <row r="4330" spans="6:7">
      <c r="F4330" s="43"/>
      <c r="G4330" s="61"/>
    </row>
    <row r="4331" spans="6:7">
      <c r="F4331" s="43"/>
      <c r="G4331" s="61"/>
    </row>
    <row r="4332" spans="6:7">
      <c r="F4332" s="43"/>
      <c r="G4332" s="61"/>
    </row>
    <row r="4333" spans="6:7">
      <c r="F4333" s="43"/>
      <c r="G4333" s="61"/>
    </row>
    <row r="4334" spans="6:7">
      <c r="F4334" s="43"/>
      <c r="G4334" s="61"/>
    </row>
    <row r="4335" spans="6:7">
      <c r="F4335" s="43"/>
      <c r="G4335" s="61"/>
    </row>
    <row r="4336" spans="6:7">
      <c r="F4336" s="43"/>
      <c r="G4336" s="61"/>
    </row>
    <row r="4337" spans="6:7">
      <c r="F4337" s="43"/>
      <c r="G4337" s="61"/>
    </row>
    <row r="4338" spans="6:7">
      <c r="F4338" s="43"/>
      <c r="G4338" s="61"/>
    </row>
    <row r="4339" spans="6:7">
      <c r="F4339" s="43"/>
      <c r="G4339" s="61"/>
    </row>
    <row r="4340" spans="6:7">
      <c r="F4340" s="43"/>
      <c r="G4340" s="61"/>
    </row>
    <row r="4341" spans="6:7">
      <c r="F4341" s="43"/>
      <c r="G4341" s="61"/>
    </row>
    <row r="4342" spans="6:7">
      <c r="F4342" s="43"/>
      <c r="G4342" s="61"/>
    </row>
    <row r="4343" spans="6:7">
      <c r="F4343" s="43"/>
      <c r="G4343" s="61"/>
    </row>
    <row r="4344" spans="6:7">
      <c r="F4344" s="43"/>
      <c r="G4344" s="61"/>
    </row>
    <row r="4345" spans="6:7">
      <c r="F4345" s="43"/>
      <c r="G4345" s="61"/>
    </row>
    <row r="4346" spans="6:7">
      <c r="F4346" s="43"/>
      <c r="G4346" s="61"/>
    </row>
    <row r="4347" spans="6:7">
      <c r="F4347" s="43"/>
      <c r="G4347" s="61"/>
    </row>
    <row r="4348" spans="6:7">
      <c r="F4348" s="43"/>
      <c r="G4348" s="61"/>
    </row>
    <row r="4349" spans="6:7">
      <c r="F4349" s="43"/>
      <c r="G4349" s="61"/>
    </row>
    <row r="4350" spans="6:7">
      <c r="F4350" s="43"/>
      <c r="G4350" s="61"/>
    </row>
    <row r="4351" spans="6:7">
      <c r="F4351" s="43"/>
      <c r="G4351" s="61"/>
    </row>
    <row r="4352" spans="6:7">
      <c r="F4352" s="43"/>
      <c r="G4352" s="61"/>
    </row>
    <row r="4353" spans="6:7">
      <c r="F4353" s="43"/>
      <c r="G4353" s="61"/>
    </row>
    <row r="4354" spans="6:7">
      <c r="F4354" s="43"/>
      <c r="G4354" s="61"/>
    </row>
    <row r="4355" spans="6:7">
      <c r="F4355" s="43"/>
      <c r="G4355" s="61"/>
    </row>
    <row r="4356" spans="6:7">
      <c r="F4356" s="43"/>
      <c r="G4356" s="61"/>
    </row>
    <row r="4357" spans="6:7">
      <c r="F4357" s="43"/>
      <c r="G4357" s="61"/>
    </row>
    <row r="4358" spans="6:7">
      <c r="F4358" s="43"/>
      <c r="G4358" s="61"/>
    </row>
    <row r="4359" spans="6:7">
      <c r="F4359" s="43"/>
      <c r="G4359" s="61"/>
    </row>
    <row r="4360" spans="6:7">
      <c r="F4360" s="43"/>
      <c r="G4360" s="61"/>
    </row>
    <row r="4361" spans="6:7">
      <c r="F4361" s="43"/>
      <c r="G4361" s="61"/>
    </row>
    <row r="4362" spans="6:7">
      <c r="F4362" s="43"/>
      <c r="G4362" s="61"/>
    </row>
    <row r="4363" spans="6:7">
      <c r="F4363" s="43"/>
      <c r="G4363" s="61"/>
    </row>
    <row r="4364" spans="6:7">
      <c r="F4364" s="43"/>
      <c r="G4364" s="61"/>
    </row>
    <row r="4365" spans="6:7">
      <c r="F4365" s="43"/>
      <c r="G4365" s="61"/>
    </row>
    <row r="4366" spans="6:7">
      <c r="F4366" s="43"/>
      <c r="G4366" s="61"/>
    </row>
    <row r="4367" spans="6:7">
      <c r="F4367" s="43"/>
      <c r="G4367" s="61"/>
    </row>
    <row r="4368" spans="6:7">
      <c r="F4368" s="43"/>
      <c r="G4368" s="61"/>
    </row>
    <row r="4369" spans="6:7">
      <c r="F4369" s="43"/>
      <c r="G4369" s="61"/>
    </row>
    <row r="4370" spans="6:7">
      <c r="F4370" s="43"/>
      <c r="G4370" s="61"/>
    </row>
    <row r="4371" spans="6:7">
      <c r="F4371" s="43"/>
      <c r="G4371" s="61"/>
    </row>
    <row r="4372" spans="6:7">
      <c r="F4372" s="43"/>
      <c r="G4372" s="61"/>
    </row>
    <row r="4373" spans="6:7">
      <c r="F4373" s="43"/>
      <c r="G4373" s="61"/>
    </row>
    <row r="4374" spans="6:7">
      <c r="F4374" s="43"/>
      <c r="G4374" s="61"/>
    </row>
    <row r="4375" spans="6:7">
      <c r="F4375" s="43"/>
      <c r="G4375" s="61"/>
    </row>
    <row r="4376" spans="6:7">
      <c r="F4376" s="43"/>
      <c r="G4376" s="61"/>
    </row>
    <row r="4377" spans="6:7">
      <c r="F4377" s="43"/>
      <c r="G4377" s="61"/>
    </row>
    <row r="4378" spans="6:7">
      <c r="F4378" s="43"/>
      <c r="G4378" s="61"/>
    </row>
    <row r="4379" spans="6:7">
      <c r="F4379" s="43"/>
      <c r="G4379" s="61"/>
    </row>
    <row r="4380" spans="6:7">
      <c r="F4380" s="43"/>
      <c r="G4380" s="61"/>
    </row>
    <row r="4381" spans="6:7">
      <c r="F4381" s="43"/>
      <c r="G4381" s="61"/>
    </row>
    <row r="4382" spans="6:7">
      <c r="F4382" s="43"/>
      <c r="G4382" s="61"/>
    </row>
    <row r="4383" spans="6:7">
      <c r="F4383" s="43"/>
      <c r="G4383" s="61"/>
    </row>
    <row r="4384" spans="6:7">
      <c r="F4384" s="43"/>
      <c r="G4384" s="61"/>
    </row>
    <row r="4385" spans="6:7">
      <c r="F4385" s="43"/>
      <c r="G4385" s="61"/>
    </row>
    <row r="4386" spans="6:7">
      <c r="F4386" s="43"/>
      <c r="G4386" s="61"/>
    </row>
    <row r="4387" spans="6:7">
      <c r="F4387" s="43"/>
      <c r="G4387" s="61"/>
    </row>
    <row r="4388" spans="6:7">
      <c r="F4388" s="43"/>
      <c r="G4388" s="61"/>
    </row>
    <row r="4389" spans="6:7">
      <c r="F4389" s="43"/>
      <c r="G4389" s="61"/>
    </row>
    <row r="4390" spans="6:7">
      <c r="F4390" s="43"/>
      <c r="G4390" s="61"/>
    </row>
    <row r="4391" spans="6:7">
      <c r="F4391" s="43"/>
      <c r="G4391" s="61"/>
    </row>
    <row r="4392" spans="6:7">
      <c r="F4392" s="43"/>
      <c r="G4392" s="61"/>
    </row>
    <row r="4393" spans="6:7">
      <c r="F4393" s="43"/>
      <c r="G4393" s="61"/>
    </row>
    <row r="4394" spans="6:7">
      <c r="F4394" s="43"/>
      <c r="G4394" s="61"/>
    </row>
    <row r="4395" spans="6:7">
      <c r="F4395" s="43"/>
      <c r="G4395" s="61"/>
    </row>
    <row r="4396" spans="6:7">
      <c r="F4396" s="43"/>
      <c r="G4396" s="61"/>
    </row>
    <row r="4397" spans="6:7">
      <c r="F4397" s="43"/>
      <c r="G4397" s="61"/>
    </row>
    <row r="4398" spans="6:7">
      <c r="F4398" s="43"/>
      <c r="G4398" s="61"/>
    </row>
    <row r="4399" spans="6:7">
      <c r="F4399" s="43"/>
      <c r="G4399" s="61"/>
    </row>
    <row r="4400" spans="6:7">
      <c r="F4400" s="43"/>
      <c r="G4400" s="61"/>
    </row>
    <row r="4401" spans="6:7">
      <c r="F4401" s="43"/>
      <c r="G4401" s="61"/>
    </row>
    <row r="4402" spans="6:7">
      <c r="F4402" s="43"/>
      <c r="G4402" s="61"/>
    </row>
    <row r="4403" spans="6:7">
      <c r="F4403" s="43"/>
      <c r="G4403" s="61"/>
    </row>
    <row r="4404" spans="6:7">
      <c r="F4404" s="43"/>
      <c r="G4404" s="61"/>
    </row>
    <row r="4405" spans="6:7">
      <c r="F4405" s="43"/>
      <c r="G4405" s="61"/>
    </row>
    <row r="4406" spans="6:7">
      <c r="F4406" s="43"/>
      <c r="G4406" s="61"/>
    </row>
    <row r="4407" spans="6:7">
      <c r="F4407" s="43"/>
      <c r="G4407" s="61"/>
    </row>
    <row r="4408" spans="6:7">
      <c r="F4408" s="43"/>
      <c r="G4408" s="61"/>
    </row>
    <row r="4409" spans="6:7">
      <c r="F4409" s="43"/>
      <c r="G4409" s="61"/>
    </row>
    <row r="4410" spans="6:7">
      <c r="F4410" s="43"/>
      <c r="G4410" s="61"/>
    </row>
    <row r="4411" spans="6:7">
      <c r="F4411" s="43"/>
      <c r="G4411" s="61"/>
    </row>
    <row r="4412" spans="6:7">
      <c r="F4412" s="43"/>
      <c r="G4412" s="61"/>
    </row>
    <row r="4413" spans="6:7">
      <c r="F4413" s="43"/>
      <c r="G4413" s="61"/>
    </row>
    <row r="4414" spans="6:7">
      <c r="F4414" s="43"/>
      <c r="G4414" s="61"/>
    </row>
    <row r="4415" spans="6:7">
      <c r="F4415" s="43"/>
      <c r="G4415" s="61"/>
    </row>
    <row r="4416" spans="6:7">
      <c r="F4416" s="43"/>
      <c r="G4416" s="61"/>
    </row>
    <row r="4417" spans="6:7">
      <c r="F4417" s="43"/>
      <c r="G4417" s="61"/>
    </row>
    <row r="4418" spans="6:7">
      <c r="F4418" s="43"/>
      <c r="G4418" s="61"/>
    </row>
    <row r="4419" spans="6:7">
      <c r="F4419" s="43"/>
      <c r="G4419" s="61"/>
    </row>
    <row r="4420" spans="6:7">
      <c r="F4420" s="43"/>
      <c r="G4420" s="61"/>
    </row>
    <row r="4421" spans="6:7">
      <c r="F4421" s="43"/>
      <c r="G4421" s="61"/>
    </row>
    <row r="4422" spans="6:7">
      <c r="F4422" s="43"/>
      <c r="G4422" s="61"/>
    </row>
    <row r="4423" spans="6:7">
      <c r="F4423" s="43"/>
      <c r="G4423" s="61"/>
    </row>
    <row r="4424" spans="6:7">
      <c r="F4424" s="43"/>
      <c r="G4424" s="61"/>
    </row>
    <row r="4425" spans="6:7">
      <c r="F4425" s="43"/>
      <c r="G4425" s="61"/>
    </row>
    <row r="4426" spans="6:7">
      <c r="F4426" s="43"/>
      <c r="G4426" s="61"/>
    </row>
    <row r="4427" spans="6:7">
      <c r="F4427" s="43"/>
      <c r="G4427" s="61"/>
    </row>
    <row r="4428" spans="6:7">
      <c r="F4428" s="43"/>
      <c r="G4428" s="61"/>
    </row>
    <row r="4429" spans="6:7">
      <c r="F4429" s="43"/>
      <c r="G4429" s="61"/>
    </row>
    <row r="4430" spans="6:7">
      <c r="F4430" s="43"/>
      <c r="G4430" s="61"/>
    </row>
    <row r="4431" spans="6:7">
      <c r="F4431" s="43"/>
      <c r="G4431" s="61"/>
    </row>
    <row r="4432" spans="6:7">
      <c r="F4432" s="43"/>
      <c r="G4432" s="61"/>
    </row>
    <row r="4433" spans="6:7">
      <c r="F4433" s="43"/>
      <c r="G4433" s="61"/>
    </row>
    <row r="4434" spans="6:7">
      <c r="F4434" s="43"/>
      <c r="G4434" s="61"/>
    </row>
    <row r="4435" spans="6:7">
      <c r="F4435" s="43"/>
      <c r="G4435" s="61"/>
    </row>
    <row r="4436" spans="6:7">
      <c r="F4436" s="43"/>
      <c r="G4436" s="61"/>
    </row>
    <row r="4437" spans="6:7">
      <c r="F4437" s="43"/>
      <c r="G4437" s="61"/>
    </row>
    <row r="4438" spans="6:7">
      <c r="F4438" s="43"/>
      <c r="G4438" s="61"/>
    </row>
    <row r="4439" spans="6:7">
      <c r="F4439" s="43"/>
      <c r="G4439" s="61"/>
    </row>
    <row r="4440" spans="6:7">
      <c r="F4440" s="43"/>
      <c r="G4440" s="61"/>
    </row>
    <row r="4441" spans="6:7">
      <c r="F4441" s="43"/>
      <c r="G4441" s="61"/>
    </row>
    <row r="4442" spans="6:7">
      <c r="F4442" s="43"/>
      <c r="G4442" s="61"/>
    </row>
    <row r="4443" spans="6:7">
      <c r="F4443" s="43"/>
      <c r="G4443" s="61"/>
    </row>
    <row r="4444" spans="6:7">
      <c r="F4444" s="43"/>
      <c r="G4444" s="61"/>
    </row>
    <row r="4445" spans="6:7">
      <c r="F4445" s="43"/>
      <c r="G4445" s="61"/>
    </row>
    <row r="4446" spans="6:7">
      <c r="F4446" s="43"/>
      <c r="G4446" s="61"/>
    </row>
    <row r="4447" spans="6:7">
      <c r="F4447" s="43"/>
      <c r="G4447" s="61"/>
    </row>
    <row r="4448" spans="6:7">
      <c r="F4448" s="43"/>
      <c r="G4448" s="61"/>
    </row>
    <row r="4449" spans="6:7">
      <c r="F4449" s="43"/>
      <c r="G4449" s="61"/>
    </row>
    <row r="4450" spans="6:7">
      <c r="F4450" s="43"/>
      <c r="G4450" s="61"/>
    </row>
    <row r="4451" spans="6:7">
      <c r="F4451" s="43"/>
      <c r="G4451" s="61"/>
    </row>
    <row r="4452" spans="6:7">
      <c r="F4452" s="43"/>
      <c r="G4452" s="61"/>
    </row>
    <row r="4453" spans="6:7">
      <c r="F4453" s="43"/>
      <c r="G4453" s="61"/>
    </row>
    <row r="4454" spans="6:7">
      <c r="F4454" s="43"/>
      <c r="G4454" s="61"/>
    </row>
    <row r="4455" spans="6:7">
      <c r="F4455" s="43"/>
      <c r="G4455" s="61"/>
    </row>
    <row r="4456" spans="6:7">
      <c r="F4456" s="43"/>
      <c r="G4456" s="61"/>
    </row>
    <row r="4457" spans="6:7">
      <c r="F4457" s="43"/>
      <c r="G4457" s="61"/>
    </row>
    <row r="4458" spans="6:7">
      <c r="F4458" s="43"/>
      <c r="G4458" s="61"/>
    </row>
    <row r="4459" spans="6:7">
      <c r="F4459" s="43"/>
      <c r="G4459" s="61"/>
    </row>
    <row r="4460" spans="6:7">
      <c r="F4460" s="43"/>
      <c r="G4460" s="61"/>
    </row>
    <row r="4461" spans="6:7">
      <c r="F4461" s="43"/>
      <c r="G4461" s="61"/>
    </row>
    <row r="4462" spans="6:7">
      <c r="F4462" s="43"/>
      <c r="G4462" s="61"/>
    </row>
    <row r="4463" spans="6:7">
      <c r="F4463" s="43"/>
      <c r="G4463" s="61"/>
    </row>
    <row r="4464" spans="6:7">
      <c r="F4464" s="43"/>
      <c r="G4464" s="61"/>
    </row>
    <row r="4465" spans="6:7">
      <c r="F4465" s="43"/>
      <c r="G4465" s="61"/>
    </row>
    <row r="4466" spans="6:7">
      <c r="F4466" s="43"/>
      <c r="G4466" s="61"/>
    </row>
    <row r="4467" spans="6:7">
      <c r="F4467" s="43"/>
      <c r="G4467" s="61"/>
    </row>
    <row r="4468" spans="6:7">
      <c r="F4468" s="43"/>
      <c r="G4468" s="61"/>
    </row>
    <row r="4469" spans="6:7">
      <c r="F4469" s="43"/>
      <c r="G4469" s="61"/>
    </row>
    <row r="4470" spans="6:7">
      <c r="F4470" s="43"/>
      <c r="G4470" s="61"/>
    </row>
    <row r="4471" spans="6:7">
      <c r="F4471" s="43"/>
      <c r="G4471" s="61"/>
    </row>
    <row r="4472" spans="6:7">
      <c r="F4472" s="43"/>
      <c r="G4472" s="61"/>
    </row>
    <row r="4473" spans="6:7">
      <c r="F4473" s="43"/>
      <c r="G4473" s="61"/>
    </row>
    <row r="4474" spans="6:7">
      <c r="F4474" s="43"/>
      <c r="G4474" s="61"/>
    </row>
    <row r="4475" spans="6:7">
      <c r="F4475" s="43"/>
      <c r="G4475" s="61"/>
    </row>
    <row r="4476" spans="6:7">
      <c r="F4476" s="43"/>
      <c r="G4476" s="61"/>
    </row>
    <row r="4477" spans="6:7">
      <c r="F4477" s="43"/>
      <c r="G4477" s="61"/>
    </row>
    <row r="4478" spans="6:7">
      <c r="F4478" s="43"/>
      <c r="G4478" s="61"/>
    </row>
    <row r="4479" spans="6:7">
      <c r="F4479" s="43"/>
      <c r="G4479" s="61"/>
    </row>
    <row r="4480" spans="6:7">
      <c r="F4480" s="43"/>
      <c r="G4480" s="61"/>
    </row>
    <row r="4481" spans="6:7">
      <c r="F4481" s="43"/>
      <c r="G4481" s="61"/>
    </row>
    <row r="4482" spans="6:7">
      <c r="F4482" s="43"/>
      <c r="G4482" s="61"/>
    </row>
    <row r="4483" spans="6:7">
      <c r="F4483" s="43"/>
      <c r="G4483" s="61"/>
    </row>
    <row r="4484" spans="6:7">
      <c r="F4484" s="43"/>
      <c r="G4484" s="61"/>
    </row>
    <row r="4485" spans="6:7">
      <c r="F4485" s="43"/>
      <c r="G4485" s="61"/>
    </row>
    <row r="4486" spans="6:7">
      <c r="F4486" s="43"/>
      <c r="G4486" s="61"/>
    </row>
    <row r="4487" spans="6:7">
      <c r="F4487" s="43"/>
      <c r="G4487" s="61"/>
    </row>
    <row r="4488" spans="6:7">
      <c r="F4488" s="43"/>
      <c r="G4488" s="61"/>
    </row>
    <row r="4489" spans="6:7">
      <c r="F4489" s="43"/>
      <c r="G4489" s="61"/>
    </row>
    <row r="4490" spans="6:7">
      <c r="F4490" s="43"/>
      <c r="G4490" s="61"/>
    </row>
    <row r="4491" spans="6:7">
      <c r="F4491" s="43"/>
      <c r="G4491" s="61"/>
    </row>
    <row r="4492" spans="6:7">
      <c r="F4492" s="43"/>
      <c r="G4492" s="61"/>
    </row>
    <row r="4493" spans="6:7">
      <c r="F4493" s="43"/>
      <c r="G4493" s="61"/>
    </row>
    <row r="4494" spans="6:7">
      <c r="F4494" s="43"/>
      <c r="G4494" s="61"/>
    </row>
    <row r="4495" spans="6:7">
      <c r="F4495" s="43"/>
      <c r="G4495" s="61"/>
    </row>
    <row r="4496" spans="6:7">
      <c r="F4496" s="43"/>
      <c r="G4496" s="61"/>
    </row>
    <row r="4497" spans="6:7">
      <c r="F4497" s="43"/>
      <c r="G4497" s="61"/>
    </row>
    <row r="4498" spans="6:7">
      <c r="F4498" s="43"/>
      <c r="G4498" s="61"/>
    </row>
    <row r="4499" spans="6:7">
      <c r="F4499" s="43"/>
      <c r="G4499" s="61"/>
    </row>
    <row r="4500" spans="6:7">
      <c r="F4500" s="43"/>
      <c r="G4500" s="61"/>
    </row>
    <row r="4501" spans="6:7">
      <c r="F4501" s="43"/>
      <c r="G4501" s="61"/>
    </row>
    <row r="4502" spans="6:7">
      <c r="F4502" s="43"/>
      <c r="G4502" s="61"/>
    </row>
    <row r="4503" spans="6:7">
      <c r="F4503" s="43"/>
      <c r="G4503" s="61"/>
    </row>
    <row r="4504" spans="6:7">
      <c r="F4504" s="43"/>
      <c r="G4504" s="61"/>
    </row>
    <row r="4505" spans="6:7">
      <c r="F4505" s="43"/>
      <c r="G4505" s="61"/>
    </row>
    <row r="4506" spans="6:7">
      <c r="F4506" s="43"/>
      <c r="G4506" s="61"/>
    </row>
    <row r="4507" spans="6:7">
      <c r="F4507" s="43"/>
      <c r="G4507" s="61"/>
    </row>
    <row r="4508" spans="6:7">
      <c r="F4508" s="43"/>
      <c r="G4508" s="61"/>
    </row>
    <row r="4509" spans="6:7">
      <c r="F4509" s="43"/>
      <c r="G4509" s="61"/>
    </row>
    <row r="4510" spans="6:7">
      <c r="F4510" s="43"/>
      <c r="G4510" s="61"/>
    </row>
    <row r="4511" spans="6:7">
      <c r="F4511" s="43"/>
      <c r="G4511" s="61"/>
    </row>
    <row r="4512" spans="6:7">
      <c r="F4512" s="43"/>
      <c r="G4512" s="61"/>
    </row>
    <row r="4513" spans="6:7">
      <c r="F4513" s="43"/>
      <c r="G4513" s="61"/>
    </row>
    <row r="4514" spans="6:7">
      <c r="F4514" s="43"/>
      <c r="G4514" s="61"/>
    </row>
    <row r="4515" spans="6:7">
      <c r="F4515" s="43"/>
      <c r="G4515" s="61"/>
    </row>
    <row r="4516" spans="6:7">
      <c r="F4516" s="43"/>
      <c r="G4516" s="61"/>
    </row>
    <row r="4517" spans="6:7">
      <c r="F4517" s="43"/>
      <c r="G4517" s="61"/>
    </row>
    <row r="4518" spans="6:7">
      <c r="F4518" s="43"/>
      <c r="G4518" s="61"/>
    </row>
    <row r="4519" spans="6:7">
      <c r="F4519" s="43"/>
      <c r="G4519" s="61"/>
    </row>
    <row r="4520" spans="6:7">
      <c r="F4520" s="43"/>
      <c r="G4520" s="61"/>
    </row>
    <row r="4521" spans="6:7">
      <c r="F4521" s="43"/>
      <c r="G4521" s="61"/>
    </row>
    <row r="4522" spans="6:7">
      <c r="F4522" s="43"/>
      <c r="G4522" s="61"/>
    </row>
    <row r="4523" spans="6:7">
      <c r="F4523" s="43"/>
      <c r="G4523" s="61"/>
    </row>
    <row r="4524" spans="6:7">
      <c r="F4524" s="43"/>
      <c r="G4524" s="61"/>
    </row>
    <row r="4525" spans="6:7">
      <c r="F4525" s="43"/>
      <c r="G4525" s="61"/>
    </row>
    <row r="4526" spans="6:7">
      <c r="F4526" s="43"/>
      <c r="G4526" s="61"/>
    </row>
    <row r="4527" spans="6:7">
      <c r="F4527" s="43"/>
      <c r="G4527" s="61"/>
    </row>
    <row r="4528" spans="6:7">
      <c r="F4528" s="43"/>
      <c r="G4528" s="61"/>
    </row>
    <row r="4529" spans="6:7">
      <c r="F4529" s="43"/>
      <c r="G4529" s="61"/>
    </row>
    <row r="4530" spans="6:7">
      <c r="F4530" s="43"/>
      <c r="G4530" s="61"/>
    </row>
    <row r="4531" spans="6:7">
      <c r="F4531" s="43"/>
      <c r="G4531" s="61"/>
    </row>
    <row r="4532" spans="6:7">
      <c r="F4532" s="43"/>
      <c r="G4532" s="61"/>
    </row>
    <row r="4533" spans="6:7">
      <c r="F4533" s="43"/>
      <c r="G4533" s="61"/>
    </row>
    <row r="4534" spans="6:7">
      <c r="F4534" s="43"/>
      <c r="G4534" s="61"/>
    </row>
    <row r="4535" spans="6:7">
      <c r="F4535" s="43"/>
      <c r="G4535" s="61"/>
    </row>
    <row r="4536" spans="6:7">
      <c r="F4536" s="43"/>
      <c r="G4536" s="61"/>
    </row>
    <row r="4537" spans="6:7">
      <c r="F4537" s="43"/>
      <c r="G4537" s="61"/>
    </row>
    <row r="4538" spans="6:7">
      <c r="F4538" s="43"/>
      <c r="G4538" s="61"/>
    </row>
    <row r="4539" spans="6:7">
      <c r="F4539" s="43"/>
      <c r="G4539" s="61"/>
    </row>
    <row r="4540" spans="6:7">
      <c r="F4540" s="43"/>
      <c r="G4540" s="61"/>
    </row>
    <row r="4541" spans="6:7">
      <c r="F4541" s="43"/>
      <c r="G4541" s="61"/>
    </row>
    <row r="4542" spans="6:7">
      <c r="F4542" s="43"/>
      <c r="G4542" s="61"/>
    </row>
    <row r="4543" spans="6:7">
      <c r="F4543" s="43"/>
      <c r="G4543" s="61"/>
    </row>
    <row r="4544" spans="6:7">
      <c r="F4544" s="43"/>
      <c r="G4544" s="61"/>
    </row>
    <row r="4545" spans="6:7">
      <c r="F4545" s="43"/>
      <c r="G4545" s="61"/>
    </row>
    <row r="4546" spans="6:7">
      <c r="F4546" s="43"/>
      <c r="G4546" s="61"/>
    </row>
    <row r="4547" spans="6:7">
      <c r="F4547" s="43"/>
      <c r="G4547" s="61"/>
    </row>
    <row r="4548" spans="6:7">
      <c r="F4548" s="43"/>
      <c r="G4548" s="61"/>
    </row>
    <row r="4549" spans="6:7">
      <c r="F4549" s="43"/>
      <c r="G4549" s="61"/>
    </row>
    <row r="4550" spans="6:7">
      <c r="F4550" s="43"/>
      <c r="G4550" s="61"/>
    </row>
    <row r="4551" spans="6:7">
      <c r="F4551" s="43"/>
      <c r="G4551" s="61"/>
    </row>
    <row r="4552" spans="6:7">
      <c r="F4552" s="43"/>
      <c r="G4552" s="61"/>
    </row>
    <row r="4553" spans="6:7">
      <c r="F4553" s="43"/>
      <c r="G4553" s="61"/>
    </row>
    <row r="4554" spans="6:7">
      <c r="F4554" s="43"/>
      <c r="G4554" s="61"/>
    </row>
    <row r="4555" spans="6:7">
      <c r="F4555" s="43"/>
      <c r="G4555" s="61"/>
    </row>
    <row r="4556" spans="6:7">
      <c r="F4556" s="43"/>
      <c r="G4556" s="61"/>
    </row>
    <row r="4557" spans="6:7">
      <c r="F4557" s="43"/>
      <c r="G4557" s="61"/>
    </row>
    <row r="4558" spans="6:7">
      <c r="F4558" s="43"/>
      <c r="G4558" s="61"/>
    </row>
    <row r="4559" spans="6:7">
      <c r="F4559" s="43"/>
      <c r="G4559" s="61"/>
    </row>
    <row r="4560" spans="6:7">
      <c r="F4560" s="43"/>
      <c r="G4560" s="61"/>
    </row>
    <row r="4561" spans="6:7">
      <c r="F4561" s="43"/>
      <c r="G4561" s="61"/>
    </row>
    <row r="4562" spans="6:7">
      <c r="F4562" s="43"/>
      <c r="G4562" s="61"/>
    </row>
    <row r="4563" spans="6:7">
      <c r="F4563" s="43"/>
      <c r="G4563" s="61"/>
    </row>
    <row r="4564" spans="6:7">
      <c r="F4564" s="43"/>
      <c r="G4564" s="61"/>
    </row>
    <row r="4565" spans="6:7">
      <c r="F4565" s="43"/>
      <c r="G4565" s="61"/>
    </row>
    <row r="4566" spans="6:7">
      <c r="F4566" s="43"/>
      <c r="G4566" s="61"/>
    </row>
    <row r="4567" spans="6:7">
      <c r="F4567" s="43"/>
      <c r="G4567" s="61"/>
    </row>
    <row r="4568" spans="6:7">
      <c r="F4568" s="43"/>
      <c r="G4568" s="61"/>
    </row>
    <row r="4569" spans="6:7">
      <c r="F4569" s="43"/>
      <c r="G4569" s="61"/>
    </row>
    <row r="4570" spans="6:7">
      <c r="F4570" s="43"/>
      <c r="G4570" s="61"/>
    </row>
    <row r="4571" spans="6:7">
      <c r="F4571" s="43"/>
      <c r="G4571" s="61"/>
    </row>
    <row r="4572" spans="6:7">
      <c r="F4572" s="43"/>
      <c r="G4572" s="61"/>
    </row>
    <row r="4573" spans="6:7">
      <c r="F4573" s="43"/>
      <c r="G4573" s="61"/>
    </row>
    <row r="4574" spans="6:7">
      <c r="F4574" s="43"/>
      <c r="G4574" s="61"/>
    </row>
    <row r="4575" spans="6:7">
      <c r="F4575" s="43"/>
      <c r="G4575" s="61"/>
    </row>
    <row r="4576" spans="6:7">
      <c r="F4576" s="43"/>
      <c r="G4576" s="61"/>
    </row>
    <row r="4577" spans="6:7">
      <c r="F4577" s="43"/>
      <c r="G4577" s="61"/>
    </row>
    <row r="4578" spans="6:7">
      <c r="F4578" s="43"/>
      <c r="G4578" s="61"/>
    </row>
    <row r="4579" spans="6:7">
      <c r="F4579" s="43"/>
      <c r="G4579" s="61"/>
    </row>
    <row r="4580" spans="6:7">
      <c r="F4580" s="43"/>
      <c r="G4580" s="61"/>
    </row>
    <row r="4581" spans="6:7">
      <c r="F4581" s="43"/>
      <c r="G4581" s="61"/>
    </row>
    <row r="4582" spans="6:7">
      <c r="F4582" s="43"/>
      <c r="G4582" s="61"/>
    </row>
    <row r="4583" spans="6:7">
      <c r="F4583" s="43"/>
      <c r="G4583" s="61"/>
    </row>
    <row r="4584" spans="6:7">
      <c r="F4584" s="43"/>
      <c r="G4584" s="61"/>
    </row>
    <row r="4585" spans="6:7">
      <c r="F4585" s="43"/>
      <c r="G4585" s="61"/>
    </row>
    <row r="4586" spans="6:7">
      <c r="F4586" s="43"/>
      <c r="G4586" s="61"/>
    </row>
    <row r="4587" spans="6:7">
      <c r="F4587" s="43"/>
      <c r="G4587" s="61"/>
    </row>
    <row r="4588" spans="6:7">
      <c r="F4588" s="43"/>
      <c r="G4588" s="61"/>
    </row>
    <row r="4589" spans="6:7">
      <c r="F4589" s="43"/>
      <c r="G4589" s="61"/>
    </row>
    <row r="4590" spans="6:7">
      <c r="F4590" s="43"/>
      <c r="G4590" s="61"/>
    </row>
    <row r="4591" spans="6:7">
      <c r="F4591" s="43"/>
      <c r="G4591" s="61"/>
    </row>
    <row r="4592" spans="6:7">
      <c r="F4592" s="43"/>
      <c r="G4592" s="61"/>
    </row>
    <row r="4593" spans="6:7">
      <c r="F4593" s="43"/>
      <c r="G4593" s="61"/>
    </row>
    <row r="4594" spans="6:7">
      <c r="F4594" s="43"/>
      <c r="G4594" s="61"/>
    </row>
    <row r="4595" spans="6:7">
      <c r="F4595" s="43"/>
      <c r="G4595" s="61"/>
    </row>
    <row r="4596" spans="6:7">
      <c r="F4596" s="43"/>
      <c r="G4596" s="61"/>
    </row>
    <row r="4597" spans="6:7">
      <c r="F4597" s="43"/>
      <c r="G4597" s="61"/>
    </row>
    <row r="4598" spans="6:7">
      <c r="F4598" s="43"/>
      <c r="G4598" s="61"/>
    </row>
    <row r="4599" spans="6:7">
      <c r="F4599" s="43"/>
      <c r="G4599" s="61"/>
    </row>
    <row r="4600" spans="6:7">
      <c r="F4600" s="43"/>
      <c r="G4600" s="61"/>
    </row>
    <row r="4601" spans="6:7">
      <c r="F4601" s="43"/>
      <c r="G4601" s="61"/>
    </row>
    <row r="4602" spans="6:7">
      <c r="F4602" s="43"/>
      <c r="G4602" s="61"/>
    </row>
    <row r="4603" spans="6:7">
      <c r="F4603" s="43"/>
      <c r="G4603" s="61"/>
    </row>
    <row r="4604" spans="6:7">
      <c r="F4604" s="43"/>
      <c r="G4604" s="61"/>
    </row>
    <row r="4605" spans="6:7">
      <c r="F4605" s="43"/>
      <c r="G4605" s="61"/>
    </row>
    <row r="4606" spans="6:7">
      <c r="F4606" s="43"/>
      <c r="G4606" s="61"/>
    </row>
    <row r="4607" spans="6:7">
      <c r="F4607" s="43"/>
      <c r="G4607" s="61"/>
    </row>
    <row r="4608" spans="6:7">
      <c r="F4608" s="43"/>
      <c r="G4608" s="61"/>
    </row>
    <row r="4609" spans="6:7">
      <c r="F4609" s="43"/>
      <c r="G4609" s="61"/>
    </row>
    <row r="4610" spans="6:7">
      <c r="F4610" s="43"/>
      <c r="G4610" s="61"/>
    </row>
    <row r="4611" spans="6:7">
      <c r="F4611" s="43"/>
      <c r="G4611" s="61"/>
    </row>
    <row r="4612" spans="6:7">
      <c r="F4612" s="43"/>
      <c r="G4612" s="61"/>
    </row>
    <row r="4613" spans="6:7">
      <c r="F4613" s="43"/>
      <c r="G4613" s="61"/>
    </row>
    <row r="4614" spans="6:7">
      <c r="F4614" s="43"/>
      <c r="G4614" s="61"/>
    </row>
    <row r="4615" spans="6:7">
      <c r="F4615" s="43"/>
      <c r="G4615" s="61"/>
    </row>
    <row r="4616" spans="6:7">
      <c r="F4616" s="43"/>
      <c r="G4616" s="61"/>
    </row>
    <row r="4617" spans="6:7">
      <c r="F4617" s="43"/>
      <c r="G4617" s="61"/>
    </row>
    <row r="4618" spans="6:7">
      <c r="F4618" s="43"/>
      <c r="G4618" s="61"/>
    </row>
    <row r="4619" spans="6:7">
      <c r="F4619" s="43"/>
      <c r="G4619" s="61"/>
    </row>
    <row r="4620" spans="6:7">
      <c r="F4620" s="43"/>
      <c r="G4620" s="61"/>
    </row>
    <row r="4621" spans="6:7">
      <c r="F4621" s="43"/>
      <c r="G4621" s="61"/>
    </row>
    <row r="4622" spans="6:7">
      <c r="F4622" s="43"/>
      <c r="G4622" s="61"/>
    </row>
    <row r="4623" spans="6:7">
      <c r="F4623" s="43"/>
      <c r="G4623" s="61"/>
    </row>
    <row r="4624" spans="6:7">
      <c r="F4624" s="43"/>
      <c r="G4624" s="61"/>
    </row>
    <row r="4625" spans="6:7">
      <c r="F4625" s="43"/>
      <c r="G4625" s="61"/>
    </row>
    <row r="4626" spans="6:7">
      <c r="F4626" s="43"/>
      <c r="G4626" s="61"/>
    </row>
    <row r="4627" spans="6:7">
      <c r="F4627" s="43"/>
      <c r="G4627" s="61"/>
    </row>
    <row r="4628" spans="6:7">
      <c r="F4628" s="43"/>
      <c r="G4628" s="61"/>
    </row>
    <row r="4629" spans="6:7">
      <c r="F4629" s="43"/>
      <c r="G4629" s="61"/>
    </row>
    <row r="4630" spans="6:7">
      <c r="F4630" s="43"/>
      <c r="G4630" s="61"/>
    </row>
    <row r="4631" spans="6:7">
      <c r="F4631" s="43"/>
      <c r="G4631" s="61"/>
    </row>
    <row r="4632" spans="6:7">
      <c r="F4632" s="43"/>
      <c r="G4632" s="61"/>
    </row>
    <row r="4633" spans="6:7">
      <c r="F4633" s="43"/>
      <c r="G4633" s="61"/>
    </row>
    <row r="4634" spans="6:7">
      <c r="F4634" s="43"/>
      <c r="G4634" s="61"/>
    </row>
    <row r="4635" spans="6:7">
      <c r="F4635" s="43"/>
      <c r="G4635" s="61"/>
    </row>
    <row r="4636" spans="6:7">
      <c r="F4636" s="43"/>
      <c r="G4636" s="61"/>
    </row>
    <row r="4637" spans="6:7">
      <c r="F4637" s="43"/>
      <c r="G4637" s="61"/>
    </row>
    <row r="4638" spans="6:7">
      <c r="F4638" s="43"/>
      <c r="G4638" s="61"/>
    </row>
    <row r="4639" spans="6:7">
      <c r="F4639" s="43"/>
      <c r="G4639" s="61"/>
    </row>
    <row r="4640" spans="6:7">
      <c r="F4640" s="43"/>
      <c r="G4640" s="61"/>
    </row>
    <row r="4641" spans="6:7">
      <c r="F4641" s="43"/>
      <c r="G4641" s="61"/>
    </row>
    <row r="4642" spans="6:7">
      <c r="F4642" s="43"/>
      <c r="G4642" s="61"/>
    </row>
    <row r="4643" spans="6:7">
      <c r="F4643" s="43"/>
      <c r="G4643" s="61"/>
    </row>
    <row r="4644" spans="6:7">
      <c r="F4644" s="43"/>
      <c r="G4644" s="61"/>
    </row>
    <row r="4645" spans="6:7">
      <c r="F4645" s="43"/>
      <c r="G4645" s="61"/>
    </row>
    <row r="4646" spans="6:7">
      <c r="F4646" s="43"/>
      <c r="G4646" s="61"/>
    </row>
    <row r="4647" spans="6:7">
      <c r="F4647" s="43"/>
      <c r="G4647" s="61"/>
    </row>
    <row r="4648" spans="6:7">
      <c r="F4648" s="43"/>
      <c r="G4648" s="61"/>
    </row>
    <row r="4649" spans="6:7">
      <c r="F4649" s="43"/>
      <c r="G4649" s="61"/>
    </row>
    <row r="4650" spans="6:7">
      <c r="F4650" s="43"/>
      <c r="G4650" s="61"/>
    </row>
    <row r="4651" spans="6:7">
      <c r="F4651" s="43"/>
      <c r="G4651" s="61"/>
    </row>
    <row r="4652" spans="6:7">
      <c r="F4652" s="43"/>
      <c r="G4652" s="61"/>
    </row>
    <row r="4653" spans="6:7">
      <c r="F4653" s="43"/>
      <c r="G4653" s="61"/>
    </row>
    <row r="4654" spans="6:7">
      <c r="F4654" s="43"/>
      <c r="G4654" s="61"/>
    </row>
    <row r="4655" spans="6:7">
      <c r="F4655" s="43"/>
      <c r="G4655" s="61"/>
    </row>
    <row r="4656" spans="6:7">
      <c r="F4656" s="43"/>
      <c r="G4656" s="61"/>
    </row>
    <row r="4657" spans="6:7">
      <c r="F4657" s="43"/>
      <c r="G4657" s="61"/>
    </row>
    <row r="4658" spans="6:7">
      <c r="F4658" s="43"/>
      <c r="G4658" s="61"/>
    </row>
    <row r="4659" spans="6:7">
      <c r="F4659" s="43"/>
      <c r="G4659" s="61"/>
    </row>
    <row r="4660" spans="6:7">
      <c r="F4660" s="43"/>
      <c r="G4660" s="61"/>
    </row>
    <row r="4661" spans="6:7">
      <c r="F4661" s="43"/>
      <c r="G4661" s="61"/>
    </row>
    <row r="4662" spans="6:7">
      <c r="F4662" s="43"/>
      <c r="G4662" s="61"/>
    </row>
    <row r="4663" spans="6:7">
      <c r="F4663" s="43"/>
      <c r="G4663" s="61"/>
    </row>
    <row r="4664" spans="6:7">
      <c r="F4664" s="43"/>
      <c r="G4664" s="61"/>
    </row>
    <row r="4665" spans="6:7">
      <c r="F4665" s="43"/>
      <c r="G4665" s="61"/>
    </row>
    <row r="4666" spans="6:7">
      <c r="F4666" s="43"/>
      <c r="G4666" s="61"/>
    </row>
    <row r="4667" spans="6:7">
      <c r="F4667" s="43"/>
      <c r="G4667" s="61"/>
    </row>
    <row r="4668" spans="6:7">
      <c r="F4668" s="43"/>
      <c r="G4668" s="61"/>
    </row>
    <row r="4669" spans="6:7">
      <c r="F4669" s="43"/>
      <c r="G4669" s="61"/>
    </row>
    <row r="4670" spans="6:7">
      <c r="F4670" s="43"/>
      <c r="G4670" s="61"/>
    </row>
    <row r="4671" spans="6:7">
      <c r="F4671" s="43"/>
      <c r="G4671" s="61"/>
    </row>
    <row r="4672" spans="6:7">
      <c r="F4672" s="43"/>
      <c r="G4672" s="61"/>
    </row>
    <row r="4673" spans="6:7">
      <c r="F4673" s="43"/>
      <c r="G4673" s="61"/>
    </row>
    <row r="4674" spans="6:7">
      <c r="F4674" s="43"/>
      <c r="G4674" s="61"/>
    </row>
    <row r="4675" spans="6:7">
      <c r="F4675" s="43"/>
      <c r="G4675" s="61"/>
    </row>
    <row r="4676" spans="6:7">
      <c r="F4676" s="43"/>
      <c r="G4676" s="61"/>
    </row>
    <row r="4677" spans="6:7">
      <c r="F4677" s="43"/>
      <c r="G4677" s="61"/>
    </row>
    <row r="4678" spans="6:7">
      <c r="F4678" s="43"/>
      <c r="G4678" s="61"/>
    </row>
    <row r="4679" spans="6:7">
      <c r="F4679" s="43"/>
      <c r="G4679" s="61"/>
    </row>
    <row r="4680" spans="6:7">
      <c r="F4680" s="43"/>
      <c r="G4680" s="61"/>
    </row>
    <row r="4681" spans="6:7">
      <c r="F4681" s="43"/>
      <c r="G4681" s="61"/>
    </row>
    <row r="4682" spans="6:7">
      <c r="F4682" s="43"/>
      <c r="G4682" s="61"/>
    </row>
    <row r="4683" spans="6:7">
      <c r="F4683" s="43"/>
      <c r="G4683" s="61"/>
    </row>
    <row r="4684" spans="6:7">
      <c r="F4684" s="43"/>
      <c r="G4684" s="61"/>
    </row>
    <row r="4685" spans="6:7">
      <c r="F4685" s="43"/>
      <c r="G4685" s="61"/>
    </row>
    <row r="4686" spans="6:7">
      <c r="F4686" s="43"/>
      <c r="G4686" s="61"/>
    </row>
    <row r="4687" spans="6:7">
      <c r="F4687" s="43"/>
      <c r="G4687" s="61"/>
    </row>
    <row r="4688" spans="6:7">
      <c r="F4688" s="43"/>
      <c r="G4688" s="61"/>
    </row>
    <row r="4689" spans="6:7">
      <c r="F4689" s="43"/>
      <c r="G4689" s="61"/>
    </row>
    <row r="4690" spans="6:7">
      <c r="F4690" s="43"/>
      <c r="G4690" s="61"/>
    </row>
    <row r="4691" spans="6:7">
      <c r="F4691" s="43"/>
      <c r="G4691" s="61"/>
    </row>
    <row r="4692" spans="6:7">
      <c r="F4692" s="43"/>
      <c r="G4692" s="61"/>
    </row>
    <row r="4693" spans="6:7">
      <c r="F4693" s="43"/>
      <c r="G4693" s="61"/>
    </row>
    <row r="4694" spans="6:7">
      <c r="F4694" s="43"/>
      <c r="G4694" s="61"/>
    </row>
    <row r="4695" spans="6:7">
      <c r="F4695" s="43"/>
      <c r="G4695" s="61"/>
    </row>
    <row r="4696" spans="6:7">
      <c r="F4696" s="43"/>
      <c r="G4696" s="61"/>
    </row>
    <row r="4697" spans="6:7">
      <c r="F4697" s="43"/>
      <c r="G4697" s="61"/>
    </row>
    <row r="4698" spans="6:7">
      <c r="F4698" s="43"/>
      <c r="G4698" s="61"/>
    </row>
    <row r="4699" spans="6:7">
      <c r="F4699" s="43"/>
      <c r="G4699" s="61"/>
    </row>
    <row r="4700" spans="6:7">
      <c r="F4700" s="43"/>
      <c r="G4700" s="61"/>
    </row>
    <row r="4701" spans="6:7">
      <c r="F4701" s="43"/>
      <c r="G4701" s="61"/>
    </row>
    <row r="4702" spans="6:7">
      <c r="F4702" s="43"/>
      <c r="G4702" s="61"/>
    </row>
    <row r="4703" spans="6:7">
      <c r="F4703" s="43"/>
      <c r="G4703" s="61"/>
    </row>
    <row r="4704" spans="6:7">
      <c r="F4704" s="43"/>
      <c r="G4704" s="61"/>
    </row>
    <row r="4705" spans="6:7">
      <c r="F4705" s="43"/>
      <c r="G4705" s="61"/>
    </row>
    <row r="4706" spans="6:7">
      <c r="F4706" s="43"/>
      <c r="G4706" s="61"/>
    </row>
    <row r="4707" spans="6:7">
      <c r="F4707" s="43"/>
      <c r="G4707" s="61"/>
    </row>
    <row r="4708" spans="6:7">
      <c r="F4708" s="43"/>
      <c r="G4708" s="61"/>
    </row>
    <row r="4709" spans="6:7">
      <c r="F4709" s="43"/>
      <c r="G4709" s="61"/>
    </row>
    <row r="4710" spans="6:7">
      <c r="F4710" s="43"/>
      <c r="G4710" s="61"/>
    </row>
    <row r="4711" spans="6:7">
      <c r="F4711" s="43"/>
      <c r="G4711" s="61"/>
    </row>
    <row r="4712" spans="6:7">
      <c r="F4712" s="43"/>
      <c r="G4712" s="61"/>
    </row>
    <row r="4713" spans="6:7">
      <c r="F4713" s="43"/>
      <c r="G4713" s="61"/>
    </row>
    <row r="4714" spans="6:7">
      <c r="F4714" s="43"/>
      <c r="G4714" s="61"/>
    </row>
    <row r="4715" spans="6:7">
      <c r="F4715" s="43"/>
      <c r="G4715" s="61"/>
    </row>
    <row r="4716" spans="6:7">
      <c r="F4716" s="43"/>
      <c r="G4716" s="61"/>
    </row>
    <row r="4717" spans="6:7">
      <c r="F4717" s="43"/>
      <c r="G4717" s="61"/>
    </row>
    <row r="4718" spans="6:7">
      <c r="F4718" s="43"/>
      <c r="G4718" s="61"/>
    </row>
    <row r="4719" spans="6:7">
      <c r="F4719" s="43"/>
      <c r="G4719" s="61"/>
    </row>
    <row r="4720" spans="6:7">
      <c r="F4720" s="43"/>
      <c r="G4720" s="61"/>
    </row>
    <row r="4721" spans="6:7">
      <c r="F4721" s="43"/>
      <c r="G4721" s="61"/>
    </row>
    <row r="4722" spans="6:7">
      <c r="F4722" s="43"/>
      <c r="G4722" s="61"/>
    </row>
    <row r="4723" spans="6:7">
      <c r="F4723" s="43"/>
      <c r="G4723" s="61"/>
    </row>
    <row r="4724" spans="6:7">
      <c r="F4724" s="43"/>
      <c r="G4724" s="61"/>
    </row>
    <row r="4725" spans="6:7">
      <c r="F4725" s="43"/>
      <c r="G4725" s="61"/>
    </row>
    <row r="4726" spans="6:7">
      <c r="F4726" s="43"/>
      <c r="G4726" s="61"/>
    </row>
    <row r="4727" spans="6:7">
      <c r="F4727" s="43"/>
      <c r="G4727" s="61"/>
    </row>
    <row r="4728" spans="6:7">
      <c r="F4728" s="43"/>
      <c r="G4728" s="61"/>
    </row>
    <row r="4729" spans="6:7">
      <c r="F4729" s="43"/>
      <c r="G4729" s="61"/>
    </row>
    <row r="4730" spans="6:7">
      <c r="F4730" s="43"/>
      <c r="G4730" s="61"/>
    </row>
    <row r="4731" spans="6:7">
      <c r="F4731" s="43"/>
      <c r="G4731" s="61"/>
    </row>
    <row r="4732" spans="6:7">
      <c r="F4732" s="43"/>
      <c r="G4732" s="61"/>
    </row>
    <row r="4733" spans="6:7">
      <c r="F4733" s="43"/>
      <c r="G4733" s="61"/>
    </row>
    <row r="4734" spans="6:7">
      <c r="F4734" s="43"/>
      <c r="G4734" s="61"/>
    </row>
    <row r="4735" spans="6:7">
      <c r="F4735" s="43"/>
      <c r="G4735" s="61"/>
    </row>
    <row r="4736" spans="6:7">
      <c r="F4736" s="43"/>
      <c r="G4736" s="61"/>
    </row>
    <row r="4737" spans="6:7">
      <c r="F4737" s="43"/>
      <c r="G4737" s="61"/>
    </row>
    <row r="4738" spans="6:7">
      <c r="F4738" s="43"/>
      <c r="G4738" s="61"/>
    </row>
    <row r="4739" spans="6:7">
      <c r="F4739" s="43"/>
      <c r="G4739" s="61"/>
    </row>
    <row r="4740" spans="6:7">
      <c r="F4740" s="43"/>
      <c r="G4740" s="61"/>
    </row>
    <row r="4741" spans="6:7">
      <c r="F4741" s="43"/>
      <c r="G4741" s="61"/>
    </row>
    <row r="4742" spans="6:7">
      <c r="F4742" s="43"/>
      <c r="G4742" s="61"/>
    </row>
    <row r="4743" spans="6:7">
      <c r="F4743" s="43"/>
      <c r="G4743" s="61"/>
    </row>
    <row r="4744" spans="6:7">
      <c r="F4744" s="43"/>
      <c r="G4744" s="61"/>
    </row>
    <row r="4745" spans="6:7">
      <c r="F4745" s="43"/>
      <c r="G4745" s="61"/>
    </row>
    <row r="4746" spans="6:7">
      <c r="F4746" s="43"/>
      <c r="G4746" s="61"/>
    </row>
    <row r="4747" spans="6:7">
      <c r="F4747" s="43"/>
      <c r="G4747" s="61"/>
    </row>
    <row r="4748" spans="6:7">
      <c r="F4748" s="43"/>
      <c r="G4748" s="61"/>
    </row>
    <row r="4749" spans="6:7">
      <c r="F4749" s="43"/>
      <c r="G4749" s="61"/>
    </row>
    <row r="4750" spans="6:7">
      <c r="F4750" s="43"/>
      <c r="G4750" s="61"/>
    </row>
    <row r="4751" spans="6:7">
      <c r="F4751" s="43"/>
      <c r="G4751" s="61"/>
    </row>
    <row r="4752" spans="6:7">
      <c r="F4752" s="43"/>
      <c r="G4752" s="61"/>
    </row>
    <row r="4753" spans="6:7">
      <c r="F4753" s="43"/>
      <c r="G4753" s="61"/>
    </row>
    <row r="4754" spans="6:7">
      <c r="F4754" s="43"/>
      <c r="G4754" s="61"/>
    </row>
    <row r="4755" spans="6:7">
      <c r="F4755" s="43"/>
      <c r="G4755" s="61"/>
    </row>
    <row r="4756" spans="6:7">
      <c r="F4756" s="43"/>
      <c r="G4756" s="61"/>
    </row>
    <row r="4757" spans="6:7">
      <c r="F4757" s="43"/>
      <c r="G4757" s="61"/>
    </row>
    <row r="4758" spans="6:7">
      <c r="F4758" s="43"/>
      <c r="G4758" s="61"/>
    </row>
    <row r="4759" spans="6:7">
      <c r="F4759" s="43"/>
      <c r="G4759" s="61"/>
    </row>
    <row r="4760" spans="6:7">
      <c r="F4760" s="43"/>
      <c r="G4760" s="61"/>
    </row>
    <row r="4761" spans="6:7">
      <c r="F4761" s="43"/>
      <c r="G4761" s="61"/>
    </row>
    <row r="4762" spans="6:7">
      <c r="F4762" s="43"/>
      <c r="G4762" s="61"/>
    </row>
    <row r="4763" spans="6:7">
      <c r="F4763" s="43"/>
      <c r="G4763" s="61"/>
    </row>
    <row r="4764" spans="6:7">
      <c r="F4764" s="43"/>
      <c r="G4764" s="61"/>
    </row>
    <row r="4765" spans="6:7">
      <c r="F4765" s="43"/>
      <c r="G4765" s="61"/>
    </row>
    <row r="4766" spans="6:7">
      <c r="F4766" s="43"/>
      <c r="G4766" s="61"/>
    </row>
    <row r="4767" spans="6:7">
      <c r="F4767" s="43"/>
      <c r="G4767" s="61"/>
    </row>
    <row r="4768" spans="6:7">
      <c r="F4768" s="43"/>
      <c r="G4768" s="61"/>
    </row>
    <row r="4769" spans="6:7">
      <c r="F4769" s="43"/>
      <c r="G4769" s="61"/>
    </row>
    <row r="4770" spans="6:7">
      <c r="F4770" s="43"/>
      <c r="G4770" s="61"/>
    </row>
    <row r="4771" spans="6:7">
      <c r="F4771" s="43"/>
      <c r="G4771" s="61"/>
    </row>
    <row r="4772" spans="6:7">
      <c r="F4772" s="43"/>
      <c r="G4772" s="61"/>
    </row>
    <row r="4773" spans="6:7">
      <c r="F4773" s="43"/>
      <c r="G4773" s="61"/>
    </row>
    <row r="4774" spans="6:7">
      <c r="F4774" s="43"/>
      <c r="G4774" s="61"/>
    </row>
    <row r="4775" spans="6:7">
      <c r="F4775" s="43"/>
      <c r="G4775" s="61"/>
    </row>
    <row r="4776" spans="6:7">
      <c r="F4776" s="43"/>
      <c r="G4776" s="61"/>
    </row>
    <row r="4777" spans="6:7">
      <c r="F4777" s="43"/>
      <c r="G4777" s="61"/>
    </row>
    <row r="4778" spans="6:7">
      <c r="F4778" s="43"/>
      <c r="G4778" s="61"/>
    </row>
    <row r="4779" spans="6:7">
      <c r="F4779" s="43"/>
      <c r="G4779" s="61"/>
    </row>
    <row r="4780" spans="6:7">
      <c r="F4780" s="43"/>
      <c r="G4780" s="61"/>
    </row>
    <row r="4781" spans="6:7">
      <c r="F4781" s="43"/>
      <c r="G4781" s="61"/>
    </row>
    <row r="4782" spans="6:7">
      <c r="F4782" s="43"/>
      <c r="G4782" s="61"/>
    </row>
    <row r="4783" spans="6:7">
      <c r="F4783" s="43"/>
      <c r="G4783" s="61"/>
    </row>
    <row r="4784" spans="6:7">
      <c r="F4784" s="43"/>
      <c r="G4784" s="61"/>
    </row>
    <row r="4785" spans="6:7">
      <c r="F4785" s="43"/>
      <c r="G4785" s="61"/>
    </row>
    <row r="4786" spans="6:7">
      <c r="F4786" s="43"/>
      <c r="G4786" s="61"/>
    </row>
    <row r="4787" spans="6:7">
      <c r="F4787" s="43"/>
      <c r="G4787" s="61"/>
    </row>
    <row r="4788" spans="6:7">
      <c r="F4788" s="43"/>
      <c r="G4788" s="61"/>
    </row>
    <row r="4789" spans="6:7">
      <c r="F4789" s="43"/>
      <c r="G4789" s="61"/>
    </row>
    <row r="4790" spans="6:7">
      <c r="F4790" s="43"/>
      <c r="G4790" s="61"/>
    </row>
    <row r="4791" spans="6:7">
      <c r="F4791" s="43"/>
      <c r="G4791" s="61"/>
    </row>
    <row r="4792" spans="6:7">
      <c r="F4792" s="43"/>
      <c r="G4792" s="61"/>
    </row>
    <row r="4793" spans="6:7">
      <c r="F4793" s="43"/>
      <c r="G4793" s="61"/>
    </row>
    <row r="4794" spans="6:7">
      <c r="F4794" s="43"/>
      <c r="G4794" s="61"/>
    </row>
    <row r="4795" spans="6:7">
      <c r="F4795" s="43"/>
      <c r="G4795" s="61"/>
    </row>
    <row r="4796" spans="6:7">
      <c r="F4796" s="43"/>
      <c r="G4796" s="61"/>
    </row>
    <row r="4797" spans="6:7">
      <c r="F4797" s="43"/>
      <c r="G4797" s="61"/>
    </row>
    <row r="4798" spans="6:7">
      <c r="F4798" s="43"/>
      <c r="G4798" s="61"/>
    </row>
    <row r="4799" spans="6:7">
      <c r="F4799" s="43"/>
      <c r="G4799" s="61"/>
    </row>
    <row r="4800" spans="6:7">
      <c r="F4800" s="43"/>
      <c r="G4800" s="61"/>
    </row>
    <row r="4801" spans="6:7">
      <c r="F4801" s="43"/>
      <c r="G4801" s="61"/>
    </row>
    <row r="4802" spans="6:7">
      <c r="F4802" s="43"/>
      <c r="G4802" s="61"/>
    </row>
    <row r="4803" spans="6:7">
      <c r="F4803" s="43"/>
      <c r="G4803" s="61"/>
    </row>
    <row r="4804" spans="6:7">
      <c r="F4804" s="43"/>
      <c r="G4804" s="61"/>
    </row>
    <row r="4805" spans="6:7">
      <c r="F4805" s="43"/>
      <c r="G4805" s="61"/>
    </row>
    <row r="4806" spans="6:7">
      <c r="F4806" s="43"/>
      <c r="G4806" s="61"/>
    </row>
    <row r="4807" spans="6:7">
      <c r="F4807" s="43"/>
      <c r="G4807" s="61"/>
    </row>
    <row r="4808" spans="6:7">
      <c r="F4808" s="43"/>
      <c r="G4808" s="61"/>
    </row>
    <row r="4809" spans="6:7">
      <c r="F4809" s="43"/>
      <c r="G4809" s="61"/>
    </row>
    <row r="4810" spans="6:7">
      <c r="F4810" s="43"/>
      <c r="G4810" s="61"/>
    </row>
    <row r="4811" spans="6:7">
      <c r="F4811" s="43"/>
      <c r="G4811" s="61"/>
    </row>
    <row r="4812" spans="6:7">
      <c r="F4812" s="43"/>
      <c r="G4812" s="61"/>
    </row>
    <row r="4813" spans="6:7">
      <c r="F4813" s="43"/>
      <c r="G4813" s="61"/>
    </row>
    <row r="4814" spans="6:7">
      <c r="F4814" s="43"/>
      <c r="G4814" s="61"/>
    </row>
    <row r="4815" spans="6:7">
      <c r="F4815" s="43"/>
      <c r="G4815" s="61"/>
    </row>
    <row r="4816" spans="6:7">
      <c r="F4816" s="43"/>
      <c r="G4816" s="61"/>
    </row>
    <row r="4817" spans="6:7">
      <c r="F4817" s="43"/>
      <c r="G4817" s="61"/>
    </row>
    <row r="4818" spans="6:7">
      <c r="F4818" s="43"/>
      <c r="G4818" s="61"/>
    </row>
    <row r="4819" spans="6:7">
      <c r="F4819" s="43"/>
      <c r="G4819" s="61"/>
    </row>
    <row r="4820" spans="6:7">
      <c r="F4820" s="43"/>
      <c r="G4820" s="61"/>
    </row>
    <row r="4821" spans="6:7">
      <c r="F4821" s="43"/>
      <c r="G4821" s="61"/>
    </row>
    <row r="4822" spans="6:7">
      <c r="F4822" s="43"/>
      <c r="G4822" s="61"/>
    </row>
    <row r="4823" spans="6:7">
      <c r="F4823" s="43"/>
      <c r="G4823" s="61"/>
    </row>
    <row r="4824" spans="6:7">
      <c r="F4824" s="43"/>
      <c r="G4824" s="61"/>
    </row>
    <row r="4825" spans="6:7">
      <c r="F4825" s="43"/>
      <c r="G4825" s="61"/>
    </row>
    <row r="4826" spans="6:7">
      <c r="F4826" s="43"/>
      <c r="G4826" s="61"/>
    </row>
    <row r="4827" spans="6:7">
      <c r="F4827" s="43"/>
      <c r="G4827" s="61"/>
    </row>
    <row r="4828" spans="6:7">
      <c r="F4828" s="43"/>
      <c r="G4828" s="61"/>
    </row>
    <row r="4829" spans="6:7">
      <c r="F4829" s="43"/>
      <c r="G4829" s="61"/>
    </row>
    <row r="4830" spans="6:7">
      <c r="F4830" s="43"/>
      <c r="G4830" s="61"/>
    </row>
    <row r="4831" spans="6:7">
      <c r="F4831" s="43"/>
      <c r="G4831" s="61"/>
    </row>
    <row r="4832" spans="6:7">
      <c r="F4832" s="43"/>
      <c r="G4832" s="61"/>
    </row>
    <row r="4833" spans="6:7">
      <c r="F4833" s="43"/>
      <c r="G4833" s="61"/>
    </row>
    <row r="4834" spans="6:7">
      <c r="F4834" s="43"/>
      <c r="G4834" s="61"/>
    </row>
    <row r="4835" spans="6:7">
      <c r="F4835" s="43"/>
      <c r="G4835" s="61"/>
    </row>
    <row r="4836" spans="6:7">
      <c r="F4836" s="43"/>
      <c r="G4836" s="61"/>
    </row>
    <row r="4837" spans="6:7">
      <c r="F4837" s="43"/>
      <c r="G4837" s="61"/>
    </row>
    <row r="4838" spans="6:7">
      <c r="F4838" s="43"/>
      <c r="G4838" s="61"/>
    </row>
    <row r="4839" spans="6:7">
      <c r="F4839" s="43"/>
      <c r="G4839" s="61"/>
    </row>
    <row r="4840" spans="6:7">
      <c r="F4840" s="43"/>
      <c r="G4840" s="61"/>
    </row>
    <row r="4841" spans="6:7">
      <c r="F4841" s="43"/>
      <c r="G4841" s="61"/>
    </row>
    <row r="4842" spans="6:7">
      <c r="F4842" s="43"/>
      <c r="G4842" s="61"/>
    </row>
    <row r="4843" spans="6:7">
      <c r="F4843" s="43"/>
      <c r="G4843" s="61"/>
    </row>
    <row r="4844" spans="6:7">
      <c r="F4844" s="43"/>
      <c r="G4844" s="61"/>
    </row>
    <row r="4845" spans="6:7">
      <c r="F4845" s="43"/>
      <c r="G4845" s="61"/>
    </row>
    <row r="4846" spans="6:7">
      <c r="F4846" s="43"/>
      <c r="G4846" s="61"/>
    </row>
    <row r="4847" spans="6:7">
      <c r="F4847" s="43"/>
      <c r="G4847" s="61"/>
    </row>
    <row r="4848" spans="6:7">
      <c r="F4848" s="43"/>
      <c r="G4848" s="61"/>
    </row>
    <row r="4849" spans="6:7">
      <c r="F4849" s="43"/>
      <c r="G4849" s="61"/>
    </row>
    <row r="4850" spans="6:7">
      <c r="F4850" s="43"/>
      <c r="G4850" s="61"/>
    </row>
    <row r="4851" spans="6:7">
      <c r="F4851" s="43"/>
      <c r="G4851" s="61"/>
    </row>
    <row r="4852" spans="6:7">
      <c r="F4852" s="43"/>
      <c r="G4852" s="61"/>
    </row>
    <row r="4853" spans="6:7">
      <c r="F4853" s="43"/>
      <c r="G4853" s="61"/>
    </row>
    <row r="4854" spans="6:7">
      <c r="F4854" s="43"/>
      <c r="G4854" s="61"/>
    </row>
    <row r="4855" spans="6:7">
      <c r="F4855" s="43"/>
      <c r="G4855" s="61"/>
    </row>
    <row r="4856" spans="6:7">
      <c r="F4856" s="43"/>
      <c r="G4856" s="61"/>
    </row>
    <row r="4857" spans="6:7">
      <c r="F4857" s="43"/>
      <c r="G4857" s="61"/>
    </row>
    <row r="4858" spans="6:7">
      <c r="F4858" s="43"/>
      <c r="G4858" s="61"/>
    </row>
    <row r="4859" spans="6:7">
      <c r="F4859" s="43"/>
      <c r="G4859" s="61"/>
    </row>
    <row r="4860" spans="6:7">
      <c r="F4860" s="43"/>
      <c r="G4860" s="61"/>
    </row>
    <row r="4861" spans="6:7">
      <c r="F4861" s="43"/>
      <c r="G4861" s="61"/>
    </row>
    <row r="4862" spans="6:7">
      <c r="F4862" s="43"/>
      <c r="G4862" s="61"/>
    </row>
    <row r="4863" spans="6:7">
      <c r="F4863" s="43"/>
      <c r="G4863" s="61"/>
    </row>
    <row r="4864" spans="6:7">
      <c r="F4864" s="43"/>
      <c r="G4864" s="61"/>
    </row>
    <row r="4865" spans="6:7">
      <c r="F4865" s="43"/>
      <c r="G4865" s="61"/>
    </row>
    <row r="4866" spans="6:7">
      <c r="F4866" s="43"/>
      <c r="G4866" s="61"/>
    </row>
    <row r="4867" spans="6:7">
      <c r="F4867" s="43"/>
      <c r="G4867" s="61"/>
    </row>
    <row r="4868" spans="6:7">
      <c r="F4868" s="43"/>
      <c r="G4868" s="61"/>
    </row>
    <row r="4869" spans="6:7">
      <c r="F4869" s="43"/>
      <c r="G4869" s="61"/>
    </row>
    <row r="4870" spans="6:7">
      <c r="F4870" s="43"/>
      <c r="G4870" s="61"/>
    </row>
    <row r="4871" spans="6:7">
      <c r="F4871" s="43"/>
      <c r="G4871" s="61"/>
    </row>
    <row r="4872" spans="6:7">
      <c r="F4872" s="43"/>
      <c r="G4872" s="61"/>
    </row>
    <row r="4873" spans="6:7">
      <c r="F4873" s="43"/>
      <c r="G4873" s="61"/>
    </row>
    <row r="4874" spans="6:7">
      <c r="F4874" s="43"/>
      <c r="G4874" s="61"/>
    </row>
    <row r="4875" spans="6:7">
      <c r="F4875" s="43"/>
      <c r="G4875" s="61"/>
    </row>
    <row r="4876" spans="6:7">
      <c r="F4876" s="43"/>
      <c r="G4876" s="61"/>
    </row>
    <row r="4877" spans="6:7">
      <c r="F4877" s="43"/>
      <c r="G4877" s="61"/>
    </row>
    <row r="4878" spans="6:7">
      <c r="F4878" s="43"/>
      <c r="G4878" s="61"/>
    </row>
    <row r="4879" spans="6:7">
      <c r="F4879" s="43"/>
      <c r="G4879" s="61"/>
    </row>
    <row r="4880" spans="6:7">
      <c r="F4880" s="43"/>
      <c r="G4880" s="61"/>
    </row>
    <row r="4881" spans="6:7">
      <c r="F4881" s="43"/>
      <c r="G4881" s="61"/>
    </row>
    <row r="4882" spans="6:7">
      <c r="F4882" s="43"/>
      <c r="G4882" s="61"/>
    </row>
    <row r="4883" spans="6:7">
      <c r="F4883" s="43"/>
      <c r="G4883" s="61"/>
    </row>
    <row r="4884" spans="6:7">
      <c r="F4884" s="43"/>
      <c r="G4884" s="61"/>
    </row>
    <row r="4885" spans="6:7">
      <c r="F4885" s="43"/>
      <c r="G4885" s="61"/>
    </row>
    <row r="4886" spans="6:7">
      <c r="F4886" s="43"/>
      <c r="G4886" s="61"/>
    </row>
    <row r="4887" spans="6:7">
      <c r="F4887" s="43"/>
      <c r="G4887" s="61"/>
    </row>
    <row r="4888" spans="6:7">
      <c r="F4888" s="43"/>
      <c r="G4888" s="61"/>
    </row>
    <row r="4889" spans="6:7">
      <c r="F4889" s="43"/>
      <c r="G4889" s="61"/>
    </row>
    <row r="4890" spans="6:7">
      <c r="F4890" s="43"/>
      <c r="G4890" s="61"/>
    </row>
    <row r="4891" spans="6:7">
      <c r="F4891" s="43"/>
      <c r="G4891" s="61"/>
    </row>
    <row r="4892" spans="6:7">
      <c r="F4892" s="43"/>
      <c r="G4892" s="61"/>
    </row>
    <row r="4893" spans="6:7">
      <c r="F4893" s="43"/>
      <c r="G4893" s="61"/>
    </row>
    <row r="4894" spans="6:7">
      <c r="F4894" s="43"/>
      <c r="G4894" s="61"/>
    </row>
    <row r="4895" spans="6:7">
      <c r="F4895" s="43"/>
      <c r="G4895" s="61"/>
    </row>
    <row r="4896" spans="6:7">
      <c r="F4896" s="43"/>
      <c r="G4896" s="61"/>
    </row>
    <row r="4897" spans="6:7">
      <c r="F4897" s="43"/>
      <c r="G4897" s="61"/>
    </row>
    <row r="4898" spans="6:7">
      <c r="F4898" s="43"/>
      <c r="G4898" s="61"/>
    </row>
    <row r="4899" spans="6:7">
      <c r="F4899" s="43"/>
      <c r="G4899" s="61"/>
    </row>
    <row r="4900" spans="6:7">
      <c r="F4900" s="43"/>
      <c r="G4900" s="61"/>
    </row>
    <row r="4901" spans="6:7">
      <c r="F4901" s="43"/>
      <c r="G4901" s="61"/>
    </row>
    <row r="4902" spans="6:7">
      <c r="F4902" s="43"/>
      <c r="G4902" s="61"/>
    </row>
    <row r="4903" spans="6:7">
      <c r="F4903" s="43"/>
      <c r="G4903" s="61"/>
    </row>
    <row r="4904" spans="6:7">
      <c r="F4904" s="43"/>
      <c r="G4904" s="61"/>
    </row>
    <row r="4905" spans="6:7">
      <c r="F4905" s="43"/>
      <c r="G4905" s="61"/>
    </row>
    <row r="4906" spans="6:7">
      <c r="F4906" s="43"/>
      <c r="G4906" s="61"/>
    </row>
    <row r="4907" spans="6:7">
      <c r="F4907" s="43"/>
      <c r="G4907" s="61"/>
    </row>
    <row r="4908" spans="6:7">
      <c r="F4908" s="43"/>
      <c r="G4908" s="61"/>
    </row>
    <row r="4909" spans="6:7">
      <c r="F4909" s="43"/>
      <c r="G4909" s="61"/>
    </row>
    <row r="4910" spans="6:7">
      <c r="F4910" s="43"/>
      <c r="G4910" s="61"/>
    </row>
    <row r="4911" spans="6:7">
      <c r="F4911" s="43"/>
      <c r="G4911" s="61"/>
    </row>
    <row r="4912" spans="6:7">
      <c r="F4912" s="43"/>
      <c r="G4912" s="61"/>
    </row>
    <row r="4913" spans="6:7">
      <c r="F4913" s="43"/>
      <c r="G4913" s="61"/>
    </row>
    <row r="4914" spans="6:7">
      <c r="F4914" s="43"/>
      <c r="G4914" s="61"/>
    </row>
    <row r="4915" spans="6:7">
      <c r="F4915" s="43"/>
      <c r="G4915" s="61"/>
    </row>
    <row r="4916" spans="6:7">
      <c r="F4916" s="43"/>
      <c r="G4916" s="61"/>
    </row>
    <row r="4917" spans="6:7">
      <c r="F4917" s="43"/>
      <c r="G4917" s="61"/>
    </row>
    <row r="4918" spans="6:7">
      <c r="F4918" s="43"/>
      <c r="G4918" s="61"/>
    </row>
    <row r="4919" spans="6:7">
      <c r="F4919" s="43"/>
      <c r="G4919" s="61"/>
    </row>
    <row r="4920" spans="6:7">
      <c r="F4920" s="43"/>
      <c r="G4920" s="61"/>
    </row>
    <row r="4921" spans="6:7">
      <c r="F4921" s="43"/>
      <c r="G4921" s="61"/>
    </row>
    <row r="4922" spans="6:7">
      <c r="F4922" s="43"/>
      <c r="G4922" s="61"/>
    </row>
    <row r="4923" spans="6:7">
      <c r="F4923" s="43"/>
      <c r="G4923" s="61"/>
    </row>
    <row r="4924" spans="6:7">
      <c r="F4924" s="43"/>
      <c r="G4924" s="61"/>
    </row>
    <row r="4925" spans="6:7">
      <c r="F4925" s="43"/>
      <c r="G4925" s="61"/>
    </row>
    <row r="4926" spans="6:7">
      <c r="F4926" s="43"/>
      <c r="G4926" s="61"/>
    </row>
    <row r="4927" spans="6:7">
      <c r="F4927" s="43"/>
      <c r="G4927" s="61"/>
    </row>
    <row r="4928" spans="6:7">
      <c r="F4928" s="43"/>
      <c r="G4928" s="61"/>
    </row>
    <row r="4929" spans="6:7">
      <c r="F4929" s="43"/>
      <c r="G4929" s="61"/>
    </row>
    <row r="4930" spans="6:7">
      <c r="F4930" s="43"/>
      <c r="G4930" s="61"/>
    </row>
    <row r="4931" spans="6:7">
      <c r="F4931" s="43"/>
      <c r="G4931" s="61"/>
    </row>
    <row r="4932" spans="6:7">
      <c r="F4932" s="43"/>
      <c r="G4932" s="61"/>
    </row>
    <row r="4933" spans="6:7">
      <c r="F4933" s="43"/>
      <c r="G4933" s="61"/>
    </row>
    <row r="4934" spans="6:7">
      <c r="F4934" s="43"/>
      <c r="G4934" s="61"/>
    </row>
    <row r="4935" spans="6:7">
      <c r="F4935" s="43"/>
      <c r="G4935" s="61"/>
    </row>
    <row r="4936" spans="6:7">
      <c r="F4936" s="43"/>
      <c r="G4936" s="61"/>
    </row>
    <row r="4937" spans="6:7">
      <c r="F4937" s="43"/>
      <c r="G4937" s="61"/>
    </row>
    <row r="4938" spans="6:7">
      <c r="F4938" s="43"/>
      <c r="G4938" s="61"/>
    </row>
    <row r="4939" spans="6:7">
      <c r="F4939" s="43"/>
      <c r="G4939" s="61"/>
    </row>
    <row r="4940" spans="6:7">
      <c r="F4940" s="43"/>
      <c r="G4940" s="61"/>
    </row>
    <row r="4941" spans="6:7">
      <c r="F4941" s="43"/>
      <c r="G4941" s="61"/>
    </row>
    <row r="4942" spans="6:7">
      <c r="F4942" s="43"/>
      <c r="G4942" s="61"/>
    </row>
    <row r="4943" spans="6:7">
      <c r="F4943" s="43"/>
      <c r="G4943" s="61"/>
    </row>
    <row r="4944" spans="6:7">
      <c r="F4944" s="43"/>
      <c r="G4944" s="61"/>
    </row>
    <row r="4945" spans="6:7">
      <c r="F4945" s="43"/>
      <c r="G4945" s="61"/>
    </row>
    <row r="4946" spans="6:7">
      <c r="F4946" s="43"/>
      <c r="G4946" s="61"/>
    </row>
    <row r="4947" spans="6:7">
      <c r="F4947" s="43"/>
      <c r="G4947" s="61"/>
    </row>
    <row r="4948" spans="6:7">
      <c r="F4948" s="43"/>
      <c r="G4948" s="61"/>
    </row>
    <row r="4949" spans="6:7">
      <c r="F4949" s="43"/>
      <c r="G4949" s="61"/>
    </row>
    <row r="4950" spans="6:7">
      <c r="F4950" s="43"/>
      <c r="G4950" s="61"/>
    </row>
    <row r="4951" spans="6:7">
      <c r="F4951" s="43"/>
      <c r="G4951" s="61"/>
    </row>
    <row r="4952" spans="6:7">
      <c r="F4952" s="43"/>
      <c r="G4952" s="61"/>
    </row>
    <row r="4953" spans="6:7">
      <c r="F4953" s="43"/>
      <c r="G4953" s="61"/>
    </row>
    <row r="4954" spans="6:7">
      <c r="F4954" s="43"/>
      <c r="G4954" s="61"/>
    </row>
    <row r="4955" spans="6:7">
      <c r="F4955" s="43"/>
      <c r="G4955" s="61"/>
    </row>
    <row r="4956" spans="6:7">
      <c r="F4956" s="43"/>
      <c r="G4956" s="61"/>
    </row>
    <row r="4957" spans="6:7">
      <c r="F4957" s="43"/>
      <c r="G4957" s="61"/>
    </row>
    <row r="4958" spans="6:7">
      <c r="F4958" s="43"/>
      <c r="G4958" s="61"/>
    </row>
    <row r="4959" spans="6:7">
      <c r="F4959" s="43"/>
      <c r="G4959" s="61"/>
    </row>
    <row r="4960" spans="6:7">
      <c r="F4960" s="43"/>
      <c r="G4960" s="61"/>
    </row>
    <row r="4961" spans="6:7">
      <c r="F4961" s="43"/>
      <c r="G4961" s="61"/>
    </row>
    <row r="4962" spans="6:7">
      <c r="F4962" s="43"/>
      <c r="G4962" s="61"/>
    </row>
    <row r="4963" spans="6:7">
      <c r="F4963" s="43"/>
      <c r="G4963" s="61"/>
    </row>
    <row r="4964" spans="6:7">
      <c r="F4964" s="43"/>
      <c r="G4964" s="61"/>
    </row>
    <row r="4965" spans="6:7">
      <c r="F4965" s="43"/>
      <c r="G4965" s="61"/>
    </row>
    <row r="4966" spans="6:7">
      <c r="F4966" s="43"/>
      <c r="G4966" s="61"/>
    </row>
    <row r="4967" spans="6:7">
      <c r="F4967" s="43"/>
      <c r="G4967" s="61"/>
    </row>
    <row r="4968" spans="6:7">
      <c r="F4968" s="43"/>
      <c r="G4968" s="61"/>
    </row>
    <row r="4969" spans="6:7">
      <c r="F4969" s="43"/>
      <c r="G4969" s="61"/>
    </row>
    <row r="4970" spans="6:7">
      <c r="F4970" s="43"/>
      <c r="G4970" s="61"/>
    </row>
    <row r="4971" spans="6:7">
      <c r="F4971" s="43"/>
      <c r="G4971" s="61"/>
    </row>
    <row r="4972" spans="6:7">
      <c r="F4972" s="43"/>
      <c r="G4972" s="61"/>
    </row>
    <row r="4973" spans="6:7">
      <c r="F4973" s="43"/>
      <c r="G4973" s="61"/>
    </row>
    <row r="4974" spans="6:7">
      <c r="F4974" s="43"/>
      <c r="G4974" s="61"/>
    </row>
    <row r="4975" spans="6:7">
      <c r="F4975" s="43"/>
      <c r="G4975" s="61"/>
    </row>
    <row r="4976" spans="6:7">
      <c r="F4976" s="43"/>
      <c r="G4976" s="61"/>
    </row>
    <row r="4977" spans="6:7">
      <c r="F4977" s="43"/>
      <c r="G4977" s="61"/>
    </row>
    <row r="4978" spans="6:7">
      <c r="F4978" s="43"/>
      <c r="G4978" s="61"/>
    </row>
    <row r="4979" spans="6:7">
      <c r="F4979" s="43"/>
      <c r="G4979" s="61"/>
    </row>
    <row r="4980" spans="6:7">
      <c r="F4980" s="43"/>
      <c r="G4980" s="61"/>
    </row>
    <row r="4981" spans="6:7">
      <c r="F4981" s="43"/>
      <c r="G4981" s="61"/>
    </row>
    <row r="4982" spans="6:7">
      <c r="F4982" s="43"/>
      <c r="G4982" s="61"/>
    </row>
    <row r="4983" spans="6:7">
      <c r="F4983" s="43"/>
      <c r="G4983" s="61"/>
    </row>
    <row r="4984" spans="6:7">
      <c r="F4984" s="43"/>
      <c r="G4984" s="61"/>
    </row>
    <row r="4985" spans="6:7">
      <c r="F4985" s="43"/>
      <c r="G4985" s="61"/>
    </row>
    <row r="4986" spans="6:7">
      <c r="F4986" s="43"/>
      <c r="G4986" s="61"/>
    </row>
    <row r="4987" spans="6:7">
      <c r="F4987" s="43"/>
      <c r="G4987" s="61"/>
    </row>
    <row r="4988" spans="6:7">
      <c r="F4988" s="43"/>
      <c r="G4988" s="61"/>
    </row>
    <row r="4989" spans="6:7">
      <c r="F4989" s="43"/>
      <c r="G4989" s="61"/>
    </row>
    <row r="4990" spans="6:7">
      <c r="F4990" s="43"/>
      <c r="G4990" s="61"/>
    </row>
    <row r="4991" spans="6:7">
      <c r="F4991" s="43"/>
      <c r="G4991" s="61"/>
    </row>
    <row r="4992" spans="6:7">
      <c r="F4992" s="43"/>
      <c r="G4992" s="61"/>
    </row>
    <row r="4993" spans="6:7">
      <c r="F4993" s="43"/>
      <c r="G4993" s="61"/>
    </row>
    <row r="4994" spans="6:7">
      <c r="F4994" s="43"/>
      <c r="G4994" s="61"/>
    </row>
    <row r="4995" spans="6:7">
      <c r="F4995" s="43"/>
      <c r="G4995" s="61"/>
    </row>
    <row r="4996" spans="6:7">
      <c r="F4996" s="43"/>
      <c r="G4996" s="61"/>
    </row>
    <row r="4997" spans="6:7">
      <c r="F4997" s="43"/>
      <c r="G4997" s="61"/>
    </row>
    <row r="4998" spans="6:7">
      <c r="F4998" s="43"/>
      <c r="G4998" s="61"/>
    </row>
    <row r="4999" spans="6:7">
      <c r="F4999" s="43"/>
      <c r="G4999" s="61"/>
    </row>
    <row r="5000" spans="6:7">
      <c r="F5000" s="43"/>
      <c r="G5000" s="61"/>
    </row>
    <row r="5001" spans="6:7">
      <c r="F5001" s="43"/>
      <c r="G5001" s="61"/>
    </row>
    <row r="5002" spans="6:7">
      <c r="F5002" s="43"/>
      <c r="G5002" s="61"/>
    </row>
    <row r="5003" spans="6:7">
      <c r="F5003" s="43"/>
      <c r="G5003" s="61"/>
    </row>
    <row r="5004" spans="6:7">
      <c r="F5004" s="43"/>
      <c r="G5004" s="61"/>
    </row>
    <row r="5005" spans="6:7">
      <c r="F5005" s="43"/>
      <c r="G5005" s="61"/>
    </row>
    <row r="5006" spans="6:7">
      <c r="F5006" s="43"/>
      <c r="G5006" s="61"/>
    </row>
    <row r="5007" spans="6:7">
      <c r="F5007" s="43"/>
      <c r="G5007" s="61"/>
    </row>
    <row r="5008" spans="6:7">
      <c r="F5008" s="43"/>
      <c r="G5008" s="61"/>
    </row>
    <row r="5009" spans="6:7">
      <c r="F5009" s="43"/>
      <c r="G5009" s="61"/>
    </row>
    <row r="5010" spans="6:7">
      <c r="F5010" s="43"/>
      <c r="G5010" s="61"/>
    </row>
    <row r="5011" spans="6:7">
      <c r="F5011" s="43"/>
      <c r="G5011" s="61"/>
    </row>
  </sheetData>
  <autoFilter ref="F12:K12" xr:uid="{B1FDB03E-E721-4761-B715-DBC53F82C9E7}"/>
  <conditionalFormatting sqref="D14:D133">
    <cfRule type="expression" dxfId="0" priority="4">
      <formula>D14&gt;0</formula>
    </cfRule>
  </conditionalFormatting>
  <dataValidations count="3">
    <dataValidation type="list" allowBlank="1" showInputMessage="1" showErrorMessage="1" sqref="N9" xr:uid="{9312C346-F2A1-4523-8326-7037F6999ACB}">
      <formula1>"ANNUAL,SEMI-ANNUAL,QUARTERLY"</formula1>
    </dataValidation>
    <dataValidation type="list" allowBlank="1" showInputMessage="1" showErrorMessage="1" sqref="N3" xr:uid="{C97E68A0-D28E-434A-B48E-03DFB5B89C73}">
      <formula1>"BUY,SELL"</formula1>
    </dataValidation>
    <dataValidation type="list" allowBlank="1" showInputMessage="1" showErrorMessage="1" sqref="C8" xr:uid="{060543FE-5621-4AD7-9EF3-0950573695CA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unMonteCarloForCDS">
                <anchor moveWithCells="1" sizeWithCells="1">
                  <from>
                    <xdr:col>1</xdr:col>
                    <xdr:colOff>9525</xdr:colOff>
                    <xdr:row>0</xdr:row>
                    <xdr:rowOff>104775</xdr:rowOff>
                  </from>
                  <to>
                    <xdr:col>2</xdr:col>
                    <xdr:colOff>838200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36</vt:i4>
      </vt:variant>
    </vt:vector>
  </HeadingPairs>
  <TitlesOfParts>
    <vt:vector size="38" baseType="lpstr">
      <vt:lpstr>CDS-Analytical</vt:lpstr>
      <vt:lpstr>CDS-MC</vt:lpstr>
      <vt:lpstr>'CDS-MC'!AccruedInterestTotalPV</vt:lpstr>
      <vt:lpstr>AccruedInterestTotalPV</vt:lpstr>
      <vt:lpstr>AccruedInterestTotalPV2</vt:lpstr>
      <vt:lpstr>DefaultTime</vt:lpstr>
      <vt:lpstr>'CDS-MC'!DefaultTime2</vt:lpstr>
      <vt:lpstr>'CDS-MC'!Frequency</vt:lpstr>
      <vt:lpstr>Frequency</vt:lpstr>
      <vt:lpstr>'CDS-MC'!HazardRate</vt:lpstr>
      <vt:lpstr>HazardRate</vt:lpstr>
      <vt:lpstr>'CDS-MC'!LongOrShort</vt:lpstr>
      <vt:lpstr>LongOrShort</vt:lpstr>
      <vt:lpstr>'CDS-MC'!Maturity</vt:lpstr>
      <vt:lpstr>Maturity</vt:lpstr>
      <vt:lpstr>MCResultsCount</vt:lpstr>
      <vt:lpstr>MCResultsCurrent</vt:lpstr>
      <vt:lpstr>MCSimulationData</vt:lpstr>
      <vt:lpstr>'CDS-MC'!Notional</vt:lpstr>
      <vt:lpstr>Notional</vt:lpstr>
      <vt:lpstr>nSimulations</vt:lpstr>
      <vt:lpstr>'CDS-MC'!Phi</vt:lpstr>
      <vt:lpstr>Phi</vt:lpstr>
      <vt:lpstr>'CDS-MC'!Premium</vt:lpstr>
      <vt:lpstr>Premium</vt:lpstr>
      <vt:lpstr>'CDS-MC'!PremiumLegTotalPV</vt:lpstr>
      <vt:lpstr>PremiumLegTotalPV</vt:lpstr>
      <vt:lpstr>PremiumLegTotalPV2</vt:lpstr>
      <vt:lpstr>'CDS-MC'!ProtectionLegTotalPV</vt:lpstr>
      <vt:lpstr>ProtectionLegTotalPV</vt:lpstr>
      <vt:lpstr>ProtectionLegTotalPV2</vt:lpstr>
      <vt:lpstr>'CDS-MC'!RecoveryRate</vt:lpstr>
      <vt:lpstr>RecoveryRate</vt:lpstr>
      <vt:lpstr>ShowIterations</vt:lpstr>
      <vt:lpstr>'CDS-MC'!YearFraction</vt:lpstr>
      <vt:lpstr>YearFraction</vt:lpstr>
      <vt:lpstr>'CDS-MC'!ZeroRate</vt:lpstr>
      <vt:lpstr>ZeroRate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2018-02-15T22:42:46Z</dcterms:created>
  <dcterms:modified xsi:type="dcterms:W3CDTF">2023-02-12T01:01:02Z</dcterms:modified>
</cp:coreProperties>
</file>